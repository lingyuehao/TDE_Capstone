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Client Working Files\Cooper Surgical\"/>
    </mc:Choice>
  </mc:AlternateContent>
  <xr:revisionPtr revIDLastSave="0" documentId="13_ncr:1_{5A9057AE-D0A2-42BF-A567-3637AA9A863C}" xr6:coauthVersionLast="47" xr6:coauthVersionMax="47" xr10:uidLastSave="{00000000-0000-0000-0000-000000000000}"/>
  <bookViews>
    <workbookView xWindow="2190" yWindow="825" windowWidth="28470" windowHeight="15000" firstSheet="2" activeTab="8" xr2:uid="{00000000-000D-0000-FFFF-FFFF00000000}"/>
  </bookViews>
  <sheets>
    <sheet name="TOTAL VOLUME" sheetId="3" r:id="rId1"/>
    <sheet name="Sheet1" sheetId="12" r:id="rId2"/>
    <sheet name="UPS RATES" sheetId="4" r:id="rId3"/>
    <sheet name="UPS TOTAL SPEND" sheetId="5" r:id="rId4"/>
    <sheet name="FedEx Rates" sheetId="6" r:id="rId5"/>
    <sheet name="FedEx Total Spend" sheetId="7" r:id="rId6"/>
    <sheet name="Side by Side Amount" sheetId="9" r:id="rId7"/>
    <sheet name="Side by Side Percentage" sheetId="11" r:id="rId8"/>
    <sheet name="Per Cell Savings" sheetId="1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00" i="13" l="1"/>
  <c r="AB100" i="13"/>
  <c r="AA100" i="13"/>
  <c r="Z100" i="13"/>
  <c r="Y100" i="13"/>
  <c r="X100" i="13"/>
  <c r="W100" i="13"/>
  <c r="V100" i="13"/>
  <c r="U100" i="13"/>
  <c r="T100" i="13"/>
  <c r="S100" i="13"/>
  <c r="R100" i="13"/>
  <c r="Q100" i="13"/>
  <c r="P100" i="13"/>
  <c r="O100" i="13"/>
  <c r="N100" i="13"/>
  <c r="M100" i="13"/>
  <c r="L100" i="13"/>
  <c r="K100" i="13"/>
  <c r="J100" i="13"/>
  <c r="I100" i="13"/>
  <c r="H100" i="13"/>
  <c r="G100" i="13"/>
  <c r="F100" i="13"/>
  <c r="E100" i="13"/>
  <c r="D100" i="13"/>
  <c r="C100" i="13"/>
  <c r="B100" i="13"/>
  <c r="AC99" i="13"/>
  <c r="AB99" i="13"/>
  <c r="AA99" i="13"/>
  <c r="Z99" i="13"/>
  <c r="Y99" i="13"/>
  <c r="X99" i="13"/>
  <c r="W99" i="13"/>
  <c r="V99" i="13"/>
  <c r="U99" i="13"/>
  <c r="T99" i="13"/>
  <c r="S99" i="13"/>
  <c r="R99" i="13"/>
  <c r="Q99" i="13"/>
  <c r="P99" i="13"/>
  <c r="O99" i="13"/>
  <c r="N99" i="13"/>
  <c r="M99" i="13"/>
  <c r="L99" i="13"/>
  <c r="K99" i="13"/>
  <c r="J99" i="13"/>
  <c r="I99" i="13"/>
  <c r="H99" i="13"/>
  <c r="G99" i="13"/>
  <c r="F99" i="13"/>
  <c r="E99" i="13"/>
  <c r="D99" i="13"/>
  <c r="C99" i="13"/>
  <c r="B99" i="13"/>
  <c r="AC98" i="13"/>
  <c r="AB98" i="13"/>
  <c r="AA98" i="13"/>
  <c r="Z98" i="13"/>
  <c r="Y98" i="13"/>
  <c r="X98" i="13"/>
  <c r="W98" i="13"/>
  <c r="V98" i="13"/>
  <c r="U98" i="13"/>
  <c r="T98" i="13"/>
  <c r="S98" i="13"/>
  <c r="R98" i="13"/>
  <c r="Q98" i="13"/>
  <c r="P98" i="13"/>
  <c r="O98" i="13"/>
  <c r="N98" i="13"/>
  <c r="M98" i="13"/>
  <c r="L98" i="13"/>
  <c r="K98" i="13"/>
  <c r="J98" i="13"/>
  <c r="I98" i="13"/>
  <c r="H98" i="13"/>
  <c r="G98" i="13"/>
  <c r="F98" i="13"/>
  <c r="E98" i="13"/>
  <c r="D98" i="13"/>
  <c r="C98" i="13"/>
  <c r="B98" i="13"/>
  <c r="AC97" i="13"/>
  <c r="AB97" i="13"/>
  <c r="AA97" i="13"/>
  <c r="Z97" i="13"/>
  <c r="Y97" i="13"/>
  <c r="X97" i="13"/>
  <c r="W97" i="13"/>
  <c r="V97" i="13"/>
  <c r="U97" i="13"/>
  <c r="T97" i="13"/>
  <c r="S97" i="13"/>
  <c r="R97" i="13"/>
  <c r="Q97" i="13"/>
  <c r="P97" i="13"/>
  <c r="O97" i="13"/>
  <c r="N97" i="13"/>
  <c r="M97" i="13"/>
  <c r="L97" i="13"/>
  <c r="K97" i="13"/>
  <c r="J97" i="13"/>
  <c r="I97" i="13"/>
  <c r="H97" i="13"/>
  <c r="G97" i="13"/>
  <c r="F97" i="13"/>
  <c r="E97" i="13"/>
  <c r="D97" i="13"/>
  <c r="C97" i="13"/>
  <c r="B97" i="13"/>
  <c r="AC96" i="13"/>
  <c r="AB96" i="13"/>
  <c r="AA96" i="13"/>
  <c r="Z96" i="13"/>
  <c r="Y96" i="13"/>
  <c r="X96" i="13"/>
  <c r="W96" i="13"/>
  <c r="V96" i="13"/>
  <c r="U96" i="13"/>
  <c r="T96" i="13"/>
  <c r="S96" i="13"/>
  <c r="R96" i="13"/>
  <c r="Q96" i="13"/>
  <c r="P96" i="13"/>
  <c r="O96" i="13"/>
  <c r="N96" i="13"/>
  <c r="M96" i="13"/>
  <c r="L96" i="13"/>
  <c r="K96" i="13"/>
  <c r="J96" i="13"/>
  <c r="I96" i="13"/>
  <c r="H96" i="13"/>
  <c r="G96" i="13"/>
  <c r="F96" i="13"/>
  <c r="E96" i="13"/>
  <c r="D96" i="13"/>
  <c r="C96" i="13"/>
  <c r="B96" i="13"/>
  <c r="AC95" i="13"/>
  <c r="AB95" i="13"/>
  <c r="AA95" i="13"/>
  <c r="Z95" i="13"/>
  <c r="Y95" i="13"/>
  <c r="X95" i="13"/>
  <c r="W95" i="13"/>
  <c r="V95" i="13"/>
  <c r="U95" i="13"/>
  <c r="T95" i="13"/>
  <c r="S95" i="13"/>
  <c r="R95" i="13"/>
  <c r="Q95" i="13"/>
  <c r="P95" i="13"/>
  <c r="O95" i="13"/>
  <c r="N95" i="13"/>
  <c r="M95" i="13"/>
  <c r="L95" i="13"/>
  <c r="K95" i="13"/>
  <c r="J95" i="13"/>
  <c r="I95" i="13"/>
  <c r="H95" i="13"/>
  <c r="G95" i="13"/>
  <c r="F95" i="13"/>
  <c r="E95" i="13"/>
  <c r="D95" i="13"/>
  <c r="C95" i="13"/>
  <c r="B95" i="13"/>
  <c r="AC94" i="13"/>
  <c r="AB94" i="13"/>
  <c r="AA94" i="13"/>
  <c r="Z94" i="13"/>
  <c r="Y94" i="13"/>
  <c r="X94" i="13"/>
  <c r="W94" i="13"/>
  <c r="V94" i="13"/>
  <c r="U94" i="13"/>
  <c r="T94" i="13"/>
  <c r="S94" i="13"/>
  <c r="R94" i="13"/>
  <c r="Q94" i="13"/>
  <c r="P94" i="13"/>
  <c r="O94" i="13"/>
  <c r="N94" i="13"/>
  <c r="M94" i="13"/>
  <c r="L94" i="13"/>
  <c r="K94" i="13"/>
  <c r="J94" i="13"/>
  <c r="I94" i="13"/>
  <c r="H94" i="13"/>
  <c r="G94" i="13"/>
  <c r="F94" i="13"/>
  <c r="E94" i="13"/>
  <c r="D94" i="13"/>
  <c r="C94" i="13"/>
  <c r="B94" i="13"/>
  <c r="AC93" i="13"/>
  <c r="AB93" i="13"/>
  <c r="AA93" i="13"/>
  <c r="Z93" i="13"/>
  <c r="Y93" i="13"/>
  <c r="X93" i="13"/>
  <c r="W93" i="13"/>
  <c r="V93" i="13"/>
  <c r="U93" i="13"/>
  <c r="T93" i="13"/>
  <c r="S93" i="13"/>
  <c r="R93" i="13"/>
  <c r="Q93" i="13"/>
  <c r="P93" i="13"/>
  <c r="O93" i="13"/>
  <c r="N93" i="13"/>
  <c r="M93" i="13"/>
  <c r="L93" i="13"/>
  <c r="K93" i="13"/>
  <c r="J93" i="13"/>
  <c r="I93" i="13"/>
  <c r="H93" i="13"/>
  <c r="G93" i="13"/>
  <c r="F93" i="13"/>
  <c r="E93" i="13"/>
  <c r="D93" i="13"/>
  <c r="C93" i="13"/>
  <c r="B93" i="13"/>
  <c r="AC92" i="13"/>
  <c r="AB92" i="13"/>
  <c r="AA92" i="13"/>
  <c r="Z92" i="13"/>
  <c r="Y92" i="13"/>
  <c r="X92" i="13"/>
  <c r="W92" i="13"/>
  <c r="V92" i="13"/>
  <c r="U92" i="13"/>
  <c r="T92" i="13"/>
  <c r="S92" i="13"/>
  <c r="R92" i="13"/>
  <c r="Q92" i="13"/>
  <c r="P92" i="13"/>
  <c r="O92" i="13"/>
  <c r="N92" i="13"/>
  <c r="M92" i="13"/>
  <c r="L92" i="13"/>
  <c r="K92" i="13"/>
  <c r="J92" i="13"/>
  <c r="I92" i="13"/>
  <c r="H92" i="13"/>
  <c r="G92" i="13"/>
  <c r="F92" i="13"/>
  <c r="E92" i="13"/>
  <c r="D92" i="13"/>
  <c r="C92" i="13"/>
  <c r="B92" i="13"/>
  <c r="AC91" i="13"/>
  <c r="AB91" i="13"/>
  <c r="AA91" i="13"/>
  <c r="Z91" i="13"/>
  <c r="Y91" i="13"/>
  <c r="X91" i="13"/>
  <c r="W91" i="13"/>
  <c r="V91" i="13"/>
  <c r="U91" i="13"/>
  <c r="T91" i="13"/>
  <c r="S91" i="13"/>
  <c r="R91" i="13"/>
  <c r="Q91" i="13"/>
  <c r="P91" i="13"/>
  <c r="O91" i="13"/>
  <c r="N91" i="13"/>
  <c r="M91" i="13"/>
  <c r="L91" i="13"/>
  <c r="K91" i="13"/>
  <c r="J91" i="13"/>
  <c r="I91" i="13"/>
  <c r="H91" i="13"/>
  <c r="G91" i="13"/>
  <c r="F91" i="13"/>
  <c r="E91" i="13"/>
  <c r="D91" i="13"/>
  <c r="C91" i="13"/>
  <c r="B91" i="13"/>
  <c r="AC90" i="13"/>
  <c r="AB90" i="13"/>
  <c r="AA90" i="13"/>
  <c r="Z90" i="13"/>
  <c r="Y90" i="13"/>
  <c r="X90" i="13"/>
  <c r="W90" i="13"/>
  <c r="V90" i="13"/>
  <c r="U90" i="13"/>
  <c r="T90" i="13"/>
  <c r="S90" i="13"/>
  <c r="R90" i="13"/>
  <c r="Q90" i="13"/>
  <c r="P90" i="13"/>
  <c r="O90" i="13"/>
  <c r="N90" i="13"/>
  <c r="M90" i="13"/>
  <c r="L90" i="13"/>
  <c r="K90" i="13"/>
  <c r="J90" i="13"/>
  <c r="I90" i="13"/>
  <c r="H90" i="13"/>
  <c r="G90" i="13"/>
  <c r="F90" i="13"/>
  <c r="E90" i="13"/>
  <c r="D90" i="13"/>
  <c r="C90" i="13"/>
  <c r="B90" i="13"/>
  <c r="AC89" i="13"/>
  <c r="AB89" i="13"/>
  <c r="AA89" i="13"/>
  <c r="Z89" i="13"/>
  <c r="Y89" i="13"/>
  <c r="X89" i="13"/>
  <c r="W89" i="13"/>
  <c r="V89" i="13"/>
  <c r="U89" i="13"/>
  <c r="T89" i="13"/>
  <c r="S89" i="13"/>
  <c r="R89" i="13"/>
  <c r="Q89" i="13"/>
  <c r="P89" i="13"/>
  <c r="O89" i="13"/>
  <c r="N89" i="13"/>
  <c r="M89" i="13"/>
  <c r="L89" i="13"/>
  <c r="K89" i="13"/>
  <c r="J89" i="13"/>
  <c r="I89" i="13"/>
  <c r="H89" i="13"/>
  <c r="G89" i="13"/>
  <c r="F89" i="13"/>
  <c r="E89" i="13"/>
  <c r="D89" i="13"/>
  <c r="C89" i="13"/>
  <c r="B89" i="13"/>
  <c r="AC88" i="13"/>
  <c r="AB88" i="13"/>
  <c r="AA88" i="13"/>
  <c r="Z88" i="13"/>
  <c r="Y88" i="13"/>
  <c r="X88" i="13"/>
  <c r="W88" i="13"/>
  <c r="V88" i="13"/>
  <c r="U88" i="13"/>
  <c r="T88" i="13"/>
  <c r="S88" i="13"/>
  <c r="R88" i="13"/>
  <c r="Q88" i="13"/>
  <c r="P88" i="13"/>
  <c r="O88" i="13"/>
  <c r="N88" i="13"/>
  <c r="M88" i="13"/>
  <c r="L88" i="13"/>
  <c r="K88" i="13"/>
  <c r="J88" i="13"/>
  <c r="I88" i="13"/>
  <c r="H88" i="13"/>
  <c r="G88" i="13"/>
  <c r="F88" i="13"/>
  <c r="E88" i="13"/>
  <c r="D88" i="13"/>
  <c r="C88" i="13"/>
  <c r="B88" i="13"/>
  <c r="AC87" i="13"/>
  <c r="AB87" i="13"/>
  <c r="AA87" i="13"/>
  <c r="Z87" i="13"/>
  <c r="Y87" i="13"/>
  <c r="X87" i="13"/>
  <c r="W87" i="13"/>
  <c r="V87" i="13"/>
  <c r="U87" i="13"/>
  <c r="T87" i="13"/>
  <c r="S87" i="13"/>
  <c r="R87" i="13"/>
  <c r="Q87" i="13"/>
  <c r="P87" i="13"/>
  <c r="O87" i="13"/>
  <c r="N87" i="13"/>
  <c r="M87" i="13"/>
  <c r="L87" i="13"/>
  <c r="K87" i="13"/>
  <c r="J87" i="13"/>
  <c r="I87" i="13"/>
  <c r="H87" i="13"/>
  <c r="G87" i="13"/>
  <c r="F87" i="13"/>
  <c r="E87" i="13"/>
  <c r="D87" i="13"/>
  <c r="C87" i="13"/>
  <c r="B87" i="13"/>
  <c r="AC86" i="13"/>
  <c r="AB86" i="13"/>
  <c r="AA86" i="13"/>
  <c r="Z86" i="13"/>
  <c r="Y86" i="13"/>
  <c r="X86" i="13"/>
  <c r="W86" i="13"/>
  <c r="V86" i="13"/>
  <c r="U86" i="13"/>
  <c r="T86" i="13"/>
  <c r="S86" i="13"/>
  <c r="R86" i="13"/>
  <c r="Q86" i="13"/>
  <c r="P86" i="13"/>
  <c r="O86" i="13"/>
  <c r="N86" i="13"/>
  <c r="M86" i="13"/>
  <c r="L86" i="13"/>
  <c r="K86" i="13"/>
  <c r="J86" i="13"/>
  <c r="I86" i="13"/>
  <c r="H86" i="13"/>
  <c r="G86" i="13"/>
  <c r="F86" i="13"/>
  <c r="E86" i="13"/>
  <c r="D86" i="13"/>
  <c r="C86" i="13"/>
  <c r="B86" i="13"/>
  <c r="AC85" i="13"/>
  <c r="AB85" i="13"/>
  <c r="AA85" i="13"/>
  <c r="Z85" i="13"/>
  <c r="Y85" i="13"/>
  <c r="X85" i="13"/>
  <c r="W85" i="13"/>
  <c r="V85" i="13"/>
  <c r="U85" i="13"/>
  <c r="T85" i="13"/>
  <c r="S85" i="13"/>
  <c r="R85" i="13"/>
  <c r="Q85" i="13"/>
  <c r="P85" i="13"/>
  <c r="O85" i="13"/>
  <c r="N85" i="13"/>
  <c r="M85" i="13"/>
  <c r="L85" i="13"/>
  <c r="K85" i="13"/>
  <c r="J85" i="13"/>
  <c r="I85" i="13"/>
  <c r="H85" i="13"/>
  <c r="G85" i="13"/>
  <c r="F85" i="13"/>
  <c r="E85" i="13"/>
  <c r="D85" i="13"/>
  <c r="C85" i="13"/>
  <c r="B85" i="13"/>
  <c r="AC84" i="13"/>
  <c r="AB84" i="13"/>
  <c r="AA84" i="13"/>
  <c r="Z84" i="13"/>
  <c r="Y84" i="13"/>
  <c r="X84" i="13"/>
  <c r="W84" i="13"/>
  <c r="V84" i="13"/>
  <c r="U84" i="13"/>
  <c r="T84" i="13"/>
  <c r="S84" i="13"/>
  <c r="R84" i="13"/>
  <c r="Q84" i="13"/>
  <c r="P84" i="13"/>
  <c r="O84" i="13"/>
  <c r="N84" i="13"/>
  <c r="M84" i="13"/>
  <c r="L84" i="13"/>
  <c r="K84" i="13"/>
  <c r="J84" i="13"/>
  <c r="I84" i="13"/>
  <c r="H84" i="13"/>
  <c r="G84" i="13"/>
  <c r="F84" i="13"/>
  <c r="E84" i="13"/>
  <c r="D84" i="13"/>
  <c r="C84" i="13"/>
  <c r="B84" i="13"/>
  <c r="AC83" i="13"/>
  <c r="AB83" i="13"/>
  <c r="AA83" i="13"/>
  <c r="Z83" i="13"/>
  <c r="Y83" i="13"/>
  <c r="X83" i="13"/>
  <c r="W83" i="13"/>
  <c r="V83" i="13"/>
  <c r="U83" i="13"/>
  <c r="T83" i="13"/>
  <c r="S83" i="13"/>
  <c r="R83" i="13"/>
  <c r="Q83" i="13"/>
  <c r="P83" i="13"/>
  <c r="O83" i="13"/>
  <c r="N83" i="13"/>
  <c r="M83" i="13"/>
  <c r="L83" i="13"/>
  <c r="K83" i="13"/>
  <c r="J83" i="13"/>
  <c r="I83" i="13"/>
  <c r="H83" i="13"/>
  <c r="G83" i="13"/>
  <c r="F83" i="13"/>
  <c r="E83" i="13"/>
  <c r="D83" i="13"/>
  <c r="C83" i="13"/>
  <c r="B83" i="13"/>
  <c r="AC82" i="13"/>
  <c r="AB82" i="13"/>
  <c r="AA82" i="13"/>
  <c r="Z82" i="13"/>
  <c r="Y82" i="13"/>
  <c r="X82" i="13"/>
  <c r="W82" i="13"/>
  <c r="V82" i="13"/>
  <c r="U82" i="13"/>
  <c r="T82" i="13"/>
  <c r="S82" i="13"/>
  <c r="R82" i="13"/>
  <c r="Q82" i="13"/>
  <c r="P82" i="13"/>
  <c r="O82" i="13"/>
  <c r="N82" i="13"/>
  <c r="M82" i="13"/>
  <c r="L82" i="13"/>
  <c r="K82" i="13"/>
  <c r="J82" i="13"/>
  <c r="I82" i="13"/>
  <c r="H82" i="13"/>
  <c r="G82" i="13"/>
  <c r="F82" i="13"/>
  <c r="E82" i="13"/>
  <c r="D82" i="13"/>
  <c r="C82" i="13"/>
  <c r="B82" i="13"/>
  <c r="AC81" i="13"/>
  <c r="AB81" i="13"/>
  <c r="AA81" i="13"/>
  <c r="Z81" i="13"/>
  <c r="Y81" i="13"/>
  <c r="X81" i="13"/>
  <c r="W81" i="13"/>
  <c r="V81" i="13"/>
  <c r="U81" i="13"/>
  <c r="T81" i="13"/>
  <c r="S81" i="13"/>
  <c r="R81" i="13"/>
  <c r="Q81" i="13"/>
  <c r="P81" i="13"/>
  <c r="O81" i="13"/>
  <c r="N81" i="13"/>
  <c r="M81" i="13"/>
  <c r="L81" i="13"/>
  <c r="K81" i="13"/>
  <c r="J81" i="13"/>
  <c r="I81" i="13"/>
  <c r="H81" i="13"/>
  <c r="G81" i="13"/>
  <c r="F81" i="13"/>
  <c r="E81" i="13"/>
  <c r="D81" i="13"/>
  <c r="C81" i="13"/>
  <c r="B81" i="13"/>
  <c r="AC80" i="13"/>
  <c r="AB80" i="13"/>
  <c r="AA80" i="13"/>
  <c r="Z80" i="13"/>
  <c r="Y80" i="13"/>
  <c r="X80" i="13"/>
  <c r="W80" i="13"/>
  <c r="V80" i="13"/>
  <c r="U80" i="13"/>
  <c r="T80" i="13"/>
  <c r="S80" i="13"/>
  <c r="R80" i="13"/>
  <c r="Q80" i="13"/>
  <c r="P80" i="13"/>
  <c r="O80" i="13"/>
  <c r="N80" i="13"/>
  <c r="M80" i="13"/>
  <c r="L80" i="13"/>
  <c r="K80" i="13"/>
  <c r="J80" i="13"/>
  <c r="I80" i="13"/>
  <c r="H80" i="13"/>
  <c r="G80" i="13"/>
  <c r="F80" i="13"/>
  <c r="E80" i="13"/>
  <c r="D80" i="13"/>
  <c r="C80" i="13"/>
  <c r="B80" i="13"/>
  <c r="AC79" i="13"/>
  <c r="AB79" i="13"/>
  <c r="AA79" i="13"/>
  <c r="Z79" i="13"/>
  <c r="Y79" i="13"/>
  <c r="X79" i="13"/>
  <c r="W79" i="13"/>
  <c r="V79" i="13"/>
  <c r="U79" i="13"/>
  <c r="T79" i="13"/>
  <c r="S79" i="13"/>
  <c r="R79" i="13"/>
  <c r="Q79" i="13"/>
  <c r="P79" i="13"/>
  <c r="O79" i="13"/>
  <c r="N79" i="13"/>
  <c r="M79" i="13"/>
  <c r="L79" i="13"/>
  <c r="K79" i="13"/>
  <c r="J79" i="13"/>
  <c r="I79" i="13"/>
  <c r="H79" i="13"/>
  <c r="G79" i="13"/>
  <c r="F79" i="13"/>
  <c r="E79" i="13"/>
  <c r="D79" i="13"/>
  <c r="C79" i="13"/>
  <c r="B79" i="13"/>
  <c r="AC78" i="13"/>
  <c r="AB78" i="13"/>
  <c r="AA78" i="13"/>
  <c r="Z78" i="13"/>
  <c r="Y78" i="13"/>
  <c r="X78" i="13"/>
  <c r="W78" i="13"/>
  <c r="V78" i="13"/>
  <c r="U78" i="13"/>
  <c r="T78" i="13"/>
  <c r="S78" i="13"/>
  <c r="R78" i="13"/>
  <c r="Q78" i="13"/>
  <c r="P78" i="13"/>
  <c r="O78" i="13"/>
  <c r="N78" i="13"/>
  <c r="M78" i="13"/>
  <c r="L78" i="13"/>
  <c r="K78" i="13"/>
  <c r="J78" i="13"/>
  <c r="I78" i="13"/>
  <c r="H78" i="13"/>
  <c r="G78" i="13"/>
  <c r="F78" i="13"/>
  <c r="E78" i="13"/>
  <c r="D78" i="13"/>
  <c r="C78" i="13"/>
  <c r="B78" i="13"/>
  <c r="AC77" i="13"/>
  <c r="AB77" i="13"/>
  <c r="AA77" i="13"/>
  <c r="Z77" i="13"/>
  <c r="Y77" i="13"/>
  <c r="X77" i="13"/>
  <c r="W77" i="13"/>
  <c r="V77" i="13"/>
  <c r="U77" i="13"/>
  <c r="T77" i="13"/>
  <c r="S77" i="13"/>
  <c r="R77" i="13"/>
  <c r="Q77" i="13"/>
  <c r="P77" i="13"/>
  <c r="O77" i="13"/>
  <c r="N77" i="13"/>
  <c r="M77" i="13"/>
  <c r="L77" i="13"/>
  <c r="K77" i="13"/>
  <c r="J77" i="13"/>
  <c r="I77" i="13"/>
  <c r="H77" i="13"/>
  <c r="G77" i="13"/>
  <c r="F77" i="13"/>
  <c r="E77" i="13"/>
  <c r="D77" i="13"/>
  <c r="C77" i="13"/>
  <c r="B77" i="13"/>
  <c r="AC76" i="13"/>
  <c r="AB76" i="13"/>
  <c r="AA76" i="13"/>
  <c r="Z76" i="13"/>
  <c r="Y76" i="13"/>
  <c r="X76" i="13"/>
  <c r="W76" i="13"/>
  <c r="V76" i="13"/>
  <c r="U76" i="13"/>
  <c r="T76" i="13"/>
  <c r="S76" i="13"/>
  <c r="R76" i="13"/>
  <c r="Q76" i="13"/>
  <c r="P76" i="13"/>
  <c r="O76" i="13"/>
  <c r="N76" i="13"/>
  <c r="M76" i="13"/>
  <c r="L76" i="13"/>
  <c r="K76" i="13"/>
  <c r="J76" i="13"/>
  <c r="I76" i="13"/>
  <c r="H76" i="13"/>
  <c r="G76" i="13"/>
  <c r="F76" i="13"/>
  <c r="E76" i="13"/>
  <c r="D76" i="13"/>
  <c r="C76" i="13"/>
  <c r="B76" i="13"/>
  <c r="AC75" i="13"/>
  <c r="AB75" i="13"/>
  <c r="AA75" i="13"/>
  <c r="Z75" i="13"/>
  <c r="Y75" i="13"/>
  <c r="X75" i="13"/>
  <c r="W75" i="13"/>
  <c r="V75" i="13"/>
  <c r="U75" i="13"/>
  <c r="T75" i="13"/>
  <c r="S75" i="13"/>
  <c r="R75" i="13"/>
  <c r="Q75" i="13"/>
  <c r="P75" i="13"/>
  <c r="O75" i="13"/>
  <c r="N75" i="13"/>
  <c r="M75" i="13"/>
  <c r="L75" i="13"/>
  <c r="K75" i="13"/>
  <c r="J75" i="13"/>
  <c r="I75" i="13"/>
  <c r="H75" i="13"/>
  <c r="G75" i="13"/>
  <c r="F75" i="13"/>
  <c r="E75" i="13"/>
  <c r="D75" i="13"/>
  <c r="C75" i="13"/>
  <c r="B75" i="13"/>
  <c r="AC74" i="13"/>
  <c r="AB74" i="13"/>
  <c r="AA74" i="13"/>
  <c r="Z74" i="13"/>
  <c r="Y74" i="13"/>
  <c r="X74" i="13"/>
  <c r="W74" i="13"/>
  <c r="V74" i="13"/>
  <c r="U74" i="13"/>
  <c r="T74" i="13"/>
  <c r="S74" i="13"/>
  <c r="R74" i="13"/>
  <c r="Q74" i="13"/>
  <c r="P74" i="13"/>
  <c r="O74" i="13"/>
  <c r="N74" i="13"/>
  <c r="M74" i="13"/>
  <c r="L74" i="13"/>
  <c r="K74" i="13"/>
  <c r="J74" i="13"/>
  <c r="I74" i="13"/>
  <c r="H74" i="13"/>
  <c r="G74" i="13"/>
  <c r="F74" i="13"/>
  <c r="E74" i="13"/>
  <c r="D74" i="13"/>
  <c r="C74" i="13"/>
  <c r="B74" i="13"/>
  <c r="AC73" i="13"/>
  <c r="AB73" i="13"/>
  <c r="AA73" i="13"/>
  <c r="Z73" i="13"/>
  <c r="Y73" i="13"/>
  <c r="X73" i="13"/>
  <c r="W73" i="13"/>
  <c r="V73" i="13"/>
  <c r="U73" i="13"/>
  <c r="T73" i="13"/>
  <c r="S73" i="13"/>
  <c r="R73" i="13"/>
  <c r="Q73" i="13"/>
  <c r="P73" i="13"/>
  <c r="O73" i="13"/>
  <c r="N73" i="13"/>
  <c r="M73" i="13"/>
  <c r="L73" i="13"/>
  <c r="K73" i="13"/>
  <c r="J73" i="13"/>
  <c r="I73" i="13"/>
  <c r="H73" i="13"/>
  <c r="G73" i="13"/>
  <c r="F73" i="13"/>
  <c r="E73" i="13"/>
  <c r="D73" i="13"/>
  <c r="C73" i="13"/>
  <c r="B73" i="13"/>
  <c r="AC72" i="13"/>
  <c r="AB72" i="13"/>
  <c r="AA72" i="13"/>
  <c r="Z72" i="13"/>
  <c r="Y72" i="13"/>
  <c r="X72" i="13"/>
  <c r="W72" i="13"/>
  <c r="V72" i="13"/>
  <c r="U72" i="13"/>
  <c r="T72" i="13"/>
  <c r="S72" i="13"/>
  <c r="R72" i="13"/>
  <c r="Q72" i="13"/>
  <c r="P72" i="13"/>
  <c r="O72" i="13"/>
  <c r="N72" i="13"/>
  <c r="M72" i="13"/>
  <c r="L72" i="13"/>
  <c r="K72" i="13"/>
  <c r="J72" i="13"/>
  <c r="I72" i="13"/>
  <c r="H72" i="13"/>
  <c r="G72" i="13"/>
  <c r="F72" i="13"/>
  <c r="E72" i="13"/>
  <c r="D72" i="13"/>
  <c r="C72" i="13"/>
  <c r="B72" i="13"/>
  <c r="AC71" i="13"/>
  <c r="AB71" i="13"/>
  <c r="AA71" i="13"/>
  <c r="Z71" i="13"/>
  <c r="Y71" i="13"/>
  <c r="X71" i="13"/>
  <c r="W71" i="13"/>
  <c r="V71" i="13"/>
  <c r="U71" i="13"/>
  <c r="T71" i="13"/>
  <c r="S71" i="13"/>
  <c r="R71" i="13"/>
  <c r="Q71" i="13"/>
  <c r="P71" i="13"/>
  <c r="O71" i="13"/>
  <c r="N71" i="13"/>
  <c r="M71" i="13"/>
  <c r="L71" i="13"/>
  <c r="K71" i="13"/>
  <c r="J71" i="13"/>
  <c r="I71" i="13"/>
  <c r="H71" i="13"/>
  <c r="G71" i="13"/>
  <c r="F71" i="13"/>
  <c r="E71" i="13"/>
  <c r="D71" i="13"/>
  <c r="C71" i="13"/>
  <c r="B71" i="13"/>
  <c r="AC70" i="13"/>
  <c r="AB70" i="13"/>
  <c r="AA70" i="13"/>
  <c r="Z70" i="13"/>
  <c r="Y70" i="13"/>
  <c r="X70" i="13"/>
  <c r="W70" i="13"/>
  <c r="V70" i="13"/>
  <c r="U70" i="13"/>
  <c r="T70" i="13"/>
  <c r="S70" i="13"/>
  <c r="R70" i="13"/>
  <c r="Q70" i="13"/>
  <c r="P70" i="13"/>
  <c r="O70" i="13"/>
  <c r="N70" i="13"/>
  <c r="M70" i="13"/>
  <c r="L70" i="13"/>
  <c r="K70" i="13"/>
  <c r="J70" i="13"/>
  <c r="I70" i="13"/>
  <c r="H70" i="13"/>
  <c r="G70" i="13"/>
  <c r="F70" i="13"/>
  <c r="E70" i="13"/>
  <c r="D70" i="13"/>
  <c r="C70" i="13"/>
  <c r="B70" i="13"/>
  <c r="AC69" i="13"/>
  <c r="AB69" i="13"/>
  <c r="AA69" i="13"/>
  <c r="Z69" i="13"/>
  <c r="Y69" i="13"/>
  <c r="X69" i="13"/>
  <c r="W69" i="13"/>
  <c r="V69" i="13"/>
  <c r="U69" i="13"/>
  <c r="T69" i="13"/>
  <c r="S69" i="13"/>
  <c r="R69" i="13"/>
  <c r="Q69" i="13"/>
  <c r="P69" i="13"/>
  <c r="O69" i="13"/>
  <c r="N69" i="13"/>
  <c r="M69" i="13"/>
  <c r="L69" i="13"/>
  <c r="K69" i="13"/>
  <c r="J69" i="13"/>
  <c r="I69" i="13"/>
  <c r="H69" i="13"/>
  <c r="G69" i="13"/>
  <c r="F69" i="13"/>
  <c r="E69" i="13"/>
  <c r="D69" i="13"/>
  <c r="C69" i="13"/>
  <c r="B69" i="13"/>
  <c r="AC68" i="13"/>
  <c r="AB68" i="13"/>
  <c r="AA68" i="13"/>
  <c r="Z68" i="13"/>
  <c r="Y68" i="13"/>
  <c r="X68" i="13"/>
  <c r="W68" i="13"/>
  <c r="V68" i="13"/>
  <c r="U68" i="13"/>
  <c r="T68" i="13"/>
  <c r="S68" i="13"/>
  <c r="R68" i="13"/>
  <c r="Q68" i="13"/>
  <c r="P68" i="13"/>
  <c r="O68" i="13"/>
  <c r="N68" i="13"/>
  <c r="M68" i="13"/>
  <c r="L68" i="13"/>
  <c r="K68" i="13"/>
  <c r="J68" i="13"/>
  <c r="I68" i="13"/>
  <c r="H68" i="13"/>
  <c r="G68" i="13"/>
  <c r="F68" i="13"/>
  <c r="E68" i="13"/>
  <c r="D68" i="13"/>
  <c r="C68" i="13"/>
  <c r="B68" i="13"/>
  <c r="AC67" i="13"/>
  <c r="AB67" i="13"/>
  <c r="AA67" i="13"/>
  <c r="Z67" i="13"/>
  <c r="Y67" i="13"/>
  <c r="X67" i="13"/>
  <c r="W67" i="13"/>
  <c r="V67" i="13"/>
  <c r="U67" i="13"/>
  <c r="T67" i="13"/>
  <c r="S67" i="13"/>
  <c r="R67" i="13"/>
  <c r="Q67" i="13"/>
  <c r="P67" i="13"/>
  <c r="O67" i="13"/>
  <c r="N67" i="13"/>
  <c r="M67" i="13"/>
  <c r="L67" i="13"/>
  <c r="K67" i="13"/>
  <c r="J67" i="13"/>
  <c r="I67" i="13"/>
  <c r="H67" i="13"/>
  <c r="G67" i="13"/>
  <c r="F67" i="13"/>
  <c r="E67" i="13"/>
  <c r="D67" i="13"/>
  <c r="C67" i="13"/>
  <c r="B67" i="13"/>
  <c r="AC66" i="13"/>
  <c r="AB66" i="13"/>
  <c r="AA66" i="13"/>
  <c r="Z66" i="13"/>
  <c r="Y66" i="13"/>
  <c r="X66" i="13"/>
  <c r="W66" i="13"/>
  <c r="V66" i="13"/>
  <c r="U66" i="13"/>
  <c r="T66" i="13"/>
  <c r="S66" i="13"/>
  <c r="R66" i="13"/>
  <c r="Q66" i="13"/>
  <c r="P66" i="13"/>
  <c r="O66" i="13"/>
  <c r="N66" i="13"/>
  <c r="M66" i="13"/>
  <c r="L66" i="13"/>
  <c r="K66" i="13"/>
  <c r="J66" i="13"/>
  <c r="I66" i="13"/>
  <c r="H66" i="13"/>
  <c r="G66" i="13"/>
  <c r="F66" i="13"/>
  <c r="E66" i="13"/>
  <c r="D66" i="13"/>
  <c r="C66" i="13"/>
  <c r="B66" i="13"/>
  <c r="AC65" i="13"/>
  <c r="AB65" i="13"/>
  <c r="AA65" i="13"/>
  <c r="Z65" i="13"/>
  <c r="Y65" i="13"/>
  <c r="X65" i="13"/>
  <c r="W65" i="13"/>
  <c r="V65" i="13"/>
  <c r="U65" i="13"/>
  <c r="T65" i="13"/>
  <c r="S65" i="13"/>
  <c r="R65" i="13"/>
  <c r="Q65" i="13"/>
  <c r="P65" i="13"/>
  <c r="O65" i="13"/>
  <c r="N65" i="13"/>
  <c r="M65" i="13"/>
  <c r="L65" i="13"/>
  <c r="K65" i="13"/>
  <c r="J65" i="13"/>
  <c r="I65" i="13"/>
  <c r="H65" i="13"/>
  <c r="G65" i="13"/>
  <c r="F65" i="13"/>
  <c r="E65" i="13"/>
  <c r="D65" i="13"/>
  <c r="C65" i="13"/>
  <c r="B65" i="13"/>
  <c r="AC64" i="13"/>
  <c r="AB64" i="13"/>
  <c r="AA64" i="13"/>
  <c r="Z64" i="13"/>
  <c r="Y64" i="13"/>
  <c r="X64" i="13"/>
  <c r="W64" i="13"/>
  <c r="V64" i="13"/>
  <c r="U64" i="13"/>
  <c r="T64" i="13"/>
  <c r="S64" i="13"/>
  <c r="R64" i="13"/>
  <c r="Q64" i="13"/>
  <c r="P64" i="13"/>
  <c r="O64" i="13"/>
  <c r="N64" i="13"/>
  <c r="M64" i="13"/>
  <c r="L64" i="13"/>
  <c r="K64" i="13"/>
  <c r="J64" i="13"/>
  <c r="I64" i="13"/>
  <c r="H64" i="13"/>
  <c r="G64" i="13"/>
  <c r="F64" i="13"/>
  <c r="E64" i="13"/>
  <c r="D64" i="13"/>
  <c r="C64" i="13"/>
  <c r="B64" i="13"/>
  <c r="AC63" i="13"/>
  <c r="AB63" i="13"/>
  <c r="AA63" i="13"/>
  <c r="Z63" i="13"/>
  <c r="Y63" i="13"/>
  <c r="X63" i="13"/>
  <c r="W63" i="13"/>
  <c r="V63" i="13"/>
  <c r="U63" i="13"/>
  <c r="T63" i="13"/>
  <c r="S63" i="13"/>
  <c r="R63" i="13"/>
  <c r="Q63" i="13"/>
  <c r="P63" i="13"/>
  <c r="O63" i="13"/>
  <c r="N63" i="13"/>
  <c r="M63" i="13"/>
  <c r="L63" i="13"/>
  <c r="K63" i="13"/>
  <c r="J63" i="13"/>
  <c r="I63" i="13"/>
  <c r="H63" i="13"/>
  <c r="G63" i="13"/>
  <c r="F63" i="13"/>
  <c r="E63" i="13"/>
  <c r="D63" i="13"/>
  <c r="C63" i="13"/>
  <c r="B63" i="13"/>
  <c r="AC62" i="13"/>
  <c r="AB62" i="13"/>
  <c r="AA62" i="13"/>
  <c r="Z62" i="13"/>
  <c r="Y62" i="13"/>
  <c r="X62" i="13"/>
  <c r="W62" i="13"/>
  <c r="V62" i="13"/>
  <c r="U62" i="13"/>
  <c r="T62" i="13"/>
  <c r="S62" i="13"/>
  <c r="R62" i="13"/>
  <c r="Q62" i="13"/>
  <c r="P62" i="13"/>
  <c r="O62" i="13"/>
  <c r="N62" i="13"/>
  <c r="M62" i="13"/>
  <c r="L62" i="13"/>
  <c r="K62" i="13"/>
  <c r="J62" i="13"/>
  <c r="I62" i="13"/>
  <c r="H62" i="13"/>
  <c r="G62" i="13"/>
  <c r="F62" i="13"/>
  <c r="E62" i="13"/>
  <c r="D62" i="13"/>
  <c r="C62" i="13"/>
  <c r="B62" i="13"/>
  <c r="AC61" i="13"/>
  <c r="AB61" i="13"/>
  <c r="AA61" i="13"/>
  <c r="Z61" i="13"/>
  <c r="Y61" i="13"/>
  <c r="X61" i="13"/>
  <c r="W61" i="13"/>
  <c r="V61" i="13"/>
  <c r="U61" i="13"/>
  <c r="T61" i="13"/>
  <c r="S61" i="13"/>
  <c r="R61" i="13"/>
  <c r="Q61" i="13"/>
  <c r="P61" i="13"/>
  <c r="O61" i="13"/>
  <c r="N61" i="13"/>
  <c r="M61" i="13"/>
  <c r="L61" i="13"/>
  <c r="K61" i="13"/>
  <c r="J61" i="13"/>
  <c r="I61" i="13"/>
  <c r="H61" i="13"/>
  <c r="G61" i="13"/>
  <c r="F61" i="13"/>
  <c r="E61" i="13"/>
  <c r="D61" i="13"/>
  <c r="C61" i="13"/>
  <c r="B61" i="13"/>
  <c r="AC60" i="13"/>
  <c r="AB60" i="13"/>
  <c r="AA60" i="13"/>
  <c r="Z60" i="13"/>
  <c r="Y60" i="13"/>
  <c r="X60" i="13"/>
  <c r="W60" i="13"/>
  <c r="V60" i="13"/>
  <c r="U60" i="13"/>
  <c r="T60" i="13"/>
  <c r="S60" i="13"/>
  <c r="R60" i="13"/>
  <c r="Q60" i="13"/>
  <c r="P60" i="13"/>
  <c r="O60" i="13"/>
  <c r="N60" i="13"/>
  <c r="M60" i="13"/>
  <c r="L60" i="13"/>
  <c r="K60" i="13"/>
  <c r="J60" i="13"/>
  <c r="I60" i="13"/>
  <c r="H60" i="13"/>
  <c r="G60" i="13"/>
  <c r="F60" i="13"/>
  <c r="E60" i="13"/>
  <c r="D60" i="13"/>
  <c r="C60" i="13"/>
  <c r="B60" i="13"/>
  <c r="AC59" i="13"/>
  <c r="AB59" i="13"/>
  <c r="AA59" i="13"/>
  <c r="Z59" i="13"/>
  <c r="Y59" i="13"/>
  <c r="X59" i="13"/>
  <c r="W59" i="13"/>
  <c r="V59" i="13"/>
  <c r="U59" i="13"/>
  <c r="T59" i="13"/>
  <c r="S59" i="13"/>
  <c r="R59" i="13"/>
  <c r="Q59" i="13"/>
  <c r="P59" i="13"/>
  <c r="O59" i="13"/>
  <c r="N59" i="13"/>
  <c r="M59" i="13"/>
  <c r="L59" i="13"/>
  <c r="K59" i="13"/>
  <c r="J59" i="13"/>
  <c r="I59" i="13"/>
  <c r="H59" i="13"/>
  <c r="G59" i="13"/>
  <c r="F59" i="13"/>
  <c r="E59" i="13"/>
  <c r="D59" i="13"/>
  <c r="C59" i="13"/>
  <c r="B59" i="13"/>
  <c r="AC58" i="13"/>
  <c r="AB58" i="13"/>
  <c r="AA58" i="13"/>
  <c r="Z58" i="13"/>
  <c r="Y58" i="13"/>
  <c r="X58" i="13"/>
  <c r="W58" i="13"/>
  <c r="V58" i="13"/>
  <c r="U58" i="13"/>
  <c r="T58" i="13"/>
  <c r="S58" i="13"/>
  <c r="R58" i="13"/>
  <c r="Q58" i="13"/>
  <c r="P58" i="13"/>
  <c r="O58" i="13"/>
  <c r="N58" i="13"/>
  <c r="M58" i="13"/>
  <c r="L58" i="13"/>
  <c r="K58" i="13"/>
  <c r="J58" i="13"/>
  <c r="I58" i="13"/>
  <c r="H58" i="13"/>
  <c r="G58" i="13"/>
  <c r="F58" i="13"/>
  <c r="E58" i="13"/>
  <c r="D58" i="13"/>
  <c r="C58" i="13"/>
  <c r="B58" i="13"/>
  <c r="AC57" i="13"/>
  <c r="AB57" i="13"/>
  <c r="AA57" i="13"/>
  <c r="Z57" i="13"/>
  <c r="Y57" i="13"/>
  <c r="X57" i="13"/>
  <c r="W57" i="13"/>
  <c r="V57" i="13"/>
  <c r="U57" i="13"/>
  <c r="T57" i="13"/>
  <c r="S57" i="13"/>
  <c r="R57" i="13"/>
  <c r="Q57" i="13"/>
  <c r="P57" i="13"/>
  <c r="O57" i="13"/>
  <c r="N57" i="13"/>
  <c r="M57" i="13"/>
  <c r="L57" i="13"/>
  <c r="K57" i="13"/>
  <c r="J57" i="13"/>
  <c r="I57" i="13"/>
  <c r="H57" i="13"/>
  <c r="G57" i="13"/>
  <c r="F57" i="13"/>
  <c r="E57" i="13"/>
  <c r="D57" i="13"/>
  <c r="C57" i="13"/>
  <c r="B57" i="13"/>
  <c r="AC56" i="13"/>
  <c r="AB56" i="13"/>
  <c r="AA56" i="13"/>
  <c r="Z56" i="13"/>
  <c r="Y56" i="13"/>
  <c r="X56" i="13"/>
  <c r="W56" i="13"/>
  <c r="V56" i="13"/>
  <c r="U56" i="13"/>
  <c r="T56" i="13"/>
  <c r="S56" i="13"/>
  <c r="R56" i="13"/>
  <c r="Q56" i="13"/>
  <c r="P56" i="13"/>
  <c r="O56" i="13"/>
  <c r="N56" i="13"/>
  <c r="M56" i="13"/>
  <c r="L56" i="13"/>
  <c r="K56" i="13"/>
  <c r="J56" i="13"/>
  <c r="I56" i="13"/>
  <c r="H56" i="13"/>
  <c r="G56" i="13"/>
  <c r="F56" i="13"/>
  <c r="E56" i="13"/>
  <c r="D56" i="13"/>
  <c r="C56" i="13"/>
  <c r="B56" i="13"/>
  <c r="AC55" i="13"/>
  <c r="AB55" i="13"/>
  <c r="AA55" i="13"/>
  <c r="Z55" i="13"/>
  <c r="Y55" i="13"/>
  <c r="X55" i="13"/>
  <c r="W55" i="13"/>
  <c r="V55" i="13"/>
  <c r="U55" i="13"/>
  <c r="T55" i="13"/>
  <c r="S55" i="13"/>
  <c r="R55" i="13"/>
  <c r="Q55" i="13"/>
  <c r="P55" i="13"/>
  <c r="O55" i="13"/>
  <c r="N55" i="13"/>
  <c r="M55" i="13"/>
  <c r="L55" i="13"/>
  <c r="K55" i="13"/>
  <c r="J55" i="13"/>
  <c r="I55" i="13"/>
  <c r="H55" i="13"/>
  <c r="G55" i="13"/>
  <c r="F55" i="13"/>
  <c r="E55" i="13"/>
  <c r="D55" i="13"/>
  <c r="C55" i="13"/>
  <c r="B55" i="13"/>
  <c r="AC54" i="13"/>
  <c r="AB54" i="13"/>
  <c r="AA54" i="13"/>
  <c r="Z54" i="13"/>
  <c r="Y54" i="13"/>
  <c r="X54" i="13"/>
  <c r="W54" i="13"/>
  <c r="V54" i="13"/>
  <c r="U54" i="13"/>
  <c r="T54" i="13"/>
  <c r="S54" i="13"/>
  <c r="R54" i="13"/>
  <c r="Q54" i="13"/>
  <c r="P54" i="13"/>
  <c r="O54" i="13"/>
  <c r="N54" i="13"/>
  <c r="M54" i="13"/>
  <c r="L54" i="13"/>
  <c r="K54" i="13"/>
  <c r="J54" i="13"/>
  <c r="I54" i="13"/>
  <c r="H54" i="13"/>
  <c r="G54" i="13"/>
  <c r="F54" i="13"/>
  <c r="E54" i="13"/>
  <c r="D54" i="13"/>
  <c r="C54" i="13"/>
  <c r="B54" i="13"/>
  <c r="AC53" i="13"/>
  <c r="AB53" i="13"/>
  <c r="AA53" i="13"/>
  <c r="Z53" i="13"/>
  <c r="Y53" i="13"/>
  <c r="X53" i="13"/>
  <c r="W53" i="13"/>
  <c r="V53" i="13"/>
  <c r="U53" i="13"/>
  <c r="T53" i="13"/>
  <c r="S53" i="13"/>
  <c r="R53" i="13"/>
  <c r="Q53" i="13"/>
  <c r="P53" i="13"/>
  <c r="O53" i="13"/>
  <c r="N53" i="13"/>
  <c r="M53" i="13"/>
  <c r="L53" i="13"/>
  <c r="K53" i="13"/>
  <c r="J53" i="13"/>
  <c r="I53" i="13"/>
  <c r="H53" i="13"/>
  <c r="G53" i="13"/>
  <c r="F53" i="13"/>
  <c r="E53" i="13"/>
  <c r="D53" i="13"/>
  <c r="C53" i="13"/>
  <c r="B53" i="13"/>
  <c r="AC52" i="13"/>
  <c r="AB52" i="13"/>
  <c r="AA52" i="13"/>
  <c r="Z52" i="13"/>
  <c r="Y52" i="13"/>
  <c r="X52" i="13"/>
  <c r="W52" i="13"/>
  <c r="V52" i="13"/>
  <c r="U52" i="13"/>
  <c r="T52" i="13"/>
  <c r="S52" i="13"/>
  <c r="R52" i="13"/>
  <c r="Q52" i="13"/>
  <c r="P52" i="13"/>
  <c r="O52" i="13"/>
  <c r="N52" i="13"/>
  <c r="M52" i="13"/>
  <c r="L52" i="13"/>
  <c r="K52" i="13"/>
  <c r="J52" i="13"/>
  <c r="I52" i="13"/>
  <c r="H52" i="13"/>
  <c r="G52" i="13"/>
  <c r="F52" i="13"/>
  <c r="E52" i="13"/>
  <c r="D52" i="13"/>
  <c r="C52" i="13"/>
  <c r="B52" i="13"/>
  <c r="AC51" i="13"/>
  <c r="AB51" i="13"/>
  <c r="AA51" i="13"/>
  <c r="Z51" i="13"/>
  <c r="Y51" i="13"/>
  <c r="X51" i="13"/>
  <c r="W51" i="13"/>
  <c r="V51" i="13"/>
  <c r="U51" i="13"/>
  <c r="T51" i="13"/>
  <c r="S51" i="13"/>
  <c r="R51" i="13"/>
  <c r="Q51" i="13"/>
  <c r="P51" i="13"/>
  <c r="O51" i="13"/>
  <c r="N51" i="13"/>
  <c r="M51" i="13"/>
  <c r="L51" i="13"/>
  <c r="K51" i="13"/>
  <c r="J51" i="13"/>
  <c r="I51" i="13"/>
  <c r="H51" i="13"/>
  <c r="G51" i="13"/>
  <c r="F51" i="13"/>
  <c r="E51" i="13"/>
  <c r="D51" i="13"/>
  <c r="C51" i="13"/>
  <c r="B51" i="13"/>
  <c r="AC50" i="13"/>
  <c r="AB50" i="13"/>
  <c r="AA50" i="13"/>
  <c r="Z50" i="13"/>
  <c r="Y50" i="13"/>
  <c r="X50" i="13"/>
  <c r="W50" i="13"/>
  <c r="V50" i="13"/>
  <c r="U50" i="13"/>
  <c r="T50" i="13"/>
  <c r="S50" i="13"/>
  <c r="R50" i="13"/>
  <c r="Q50" i="13"/>
  <c r="P50" i="13"/>
  <c r="O50" i="13"/>
  <c r="N50" i="13"/>
  <c r="M50" i="13"/>
  <c r="L50" i="13"/>
  <c r="K50" i="13"/>
  <c r="J50" i="13"/>
  <c r="I50" i="13"/>
  <c r="H50" i="13"/>
  <c r="G50" i="13"/>
  <c r="F50" i="13"/>
  <c r="E50" i="13"/>
  <c r="D50" i="13"/>
  <c r="C50" i="13"/>
  <c r="B50" i="13"/>
  <c r="AC49" i="13"/>
  <c r="AB49" i="13"/>
  <c r="AA49" i="13"/>
  <c r="Z49" i="13"/>
  <c r="Y49" i="13"/>
  <c r="X49" i="13"/>
  <c r="W49" i="13"/>
  <c r="V49" i="13"/>
  <c r="U49" i="13"/>
  <c r="T49" i="13"/>
  <c r="S49" i="13"/>
  <c r="R49" i="13"/>
  <c r="Q49" i="13"/>
  <c r="P49" i="13"/>
  <c r="O49" i="13"/>
  <c r="N49" i="13"/>
  <c r="M49" i="13"/>
  <c r="L49" i="13"/>
  <c r="K49" i="13"/>
  <c r="J49" i="13"/>
  <c r="I49" i="13"/>
  <c r="H49" i="13"/>
  <c r="G49" i="13"/>
  <c r="F49" i="13"/>
  <c r="E49" i="13"/>
  <c r="D49" i="13"/>
  <c r="C49" i="13"/>
  <c r="B49" i="13"/>
  <c r="AC48" i="13"/>
  <c r="AB48" i="13"/>
  <c r="AA48" i="13"/>
  <c r="Z48" i="13"/>
  <c r="Y48" i="13"/>
  <c r="X48" i="13"/>
  <c r="W48" i="13"/>
  <c r="V48" i="13"/>
  <c r="U48" i="13"/>
  <c r="T48" i="13"/>
  <c r="S48" i="13"/>
  <c r="R48" i="13"/>
  <c r="Q48" i="13"/>
  <c r="P48" i="13"/>
  <c r="O48" i="13"/>
  <c r="N48" i="13"/>
  <c r="M48" i="13"/>
  <c r="L48" i="13"/>
  <c r="K48" i="13"/>
  <c r="J48" i="13"/>
  <c r="I48" i="13"/>
  <c r="H48" i="13"/>
  <c r="G48" i="13"/>
  <c r="F48" i="13"/>
  <c r="E48" i="13"/>
  <c r="D48" i="13"/>
  <c r="C48" i="13"/>
  <c r="B48" i="13"/>
  <c r="AC47" i="13"/>
  <c r="AB47" i="13"/>
  <c r="AA47" i="13"/>
  <c r="Z47" i="13"/>
  <c r="Y47" i="13"/>
  <c r="X47" i="13"/>
  <c r="W47" i="13"/>
  <c r="V47" i="13"/>
  <c r="U47" i="13"/>
  <c r="T47" i="13"/>
  <c r="S47" i="13"/>
  <c r="R47" i="13"/>
  <c r="Q47" i="13"/>
  <c r="P47" i="13"/>
  <c r="O47" i="13"/>
  <c r="N47" i="13"/>
  <c r="M47" i="13"/>
  <c r="L47" i="13"/>
  <c r="K47" i="13"/>
  <c r="J47" i="13"/>
  <c r="I47" i="13"/>
  <c r="H47" i="13"/>
  <c r="G47" i="13"/>
  <c r="F47" i="13"/>
  <c r="E47" i="13"/>
  <c r="D47" i="13"/>
  <c r="C47" i="13"/>
  <c r="B47" i="13"/>
  <c r="AC46" i="13"/>
  <c r="AB46" i="13"/>
  <c r="AA46" i="13"/>
  <c r="Z46" i="13"/>
  <c r="Y46" i="13"/>
  <c r="X46" i="13"/>
  <c r="W46" i="13"/>
  <c r="V46" i="13"/>
  <c r="U46" i="13"/>
  <c r="T46" i="13"/>
  <c r="S46" i="13"/>
  <c r="R46" i="13"/>
  <c r="Q46" i="13"/>
  <c r="P46" i="13"/>
  <c r="O46" i="13"/>
  <c r="N46" i="13"/>
  <c r="M46" i="13"/>
  <c r="L46" i="13"/>
  <c r="K46" i="13"/>
  <c r="J46" i="13"/>
  <c r="I46" i="13"/>
  <c r="H46" i="13"/>
  <c r="G46" i="13"/>
  <c r="F46" i="13"/>
  <c r="E46" i="13"/>
  <c r="D46" i="13"/>
  <c r="C46" i="13"/>
  <c r="B46" i="13"/>
  <c r="AC45" i="13"/>
  <c r="AB45" i="13"/>
  <c r="AA45" i="13"/>
  <c r="Z45" i="13"/>
  <c r="Y45" i="13"/>
  <c r="X45" i="13"/>
  <c r="W45" i="13"/>
  <c r="V45" i="13"/>
  <c r="U45" i="13"/>
  <c r="T45" i="13"/>
  <c r="S45" i="13"/>
  <c r="R45" i="13"/>
  <c r="Q45" i="13"/>
  <c r="P45" i="13"/>
  <c r="O45" i="13"/>
  <c r="N45" i="13"/>
  <c r="M45" i="13"/>
  <c r="L45" i="13"/>
  <c r="K45" i="13"/>
  <c r="J45" i="13"/>
  <c r="I45" i="13"/>
  <c r="H45" i="13"/>
  <c r="G45" i="13"/>
  <c r="F45" i="13"/>
  <c r="E45" i="13"/>
  <c r="D45" i="13"/>
  <c r="C45" i="13"/>
  <c r="B45" i="13"/>
  <c r="AC44" i="13"/>
  <c r="AB44" i="13"/>
  <c r="AA44" i="13"/>
  <c r="Z44" i="13"/>
  <c r="Y44" i="13"/>
  <c r="X44" i="13"/>
  <c r="W44" i="13"/>
  <c r="V44" i="13"/>
  <c r="U44" i="13"/>
  <c r="T44" i="13"/>
  <c r="S44" i="13"/>
  <c r="R44" i="13"/>
  <c r="Q44" i="13"/>
  <c r="P44" i="13"/>
  <c r="O44" i="13"/>
  <c r="N44" i="13"/>
  <c r="M44" i="13"/>
  <c r="L44" i="13"/>
  <c r="K44" i="13"/>
  <c r="J44" i="13"/>
  <c r="I44" i="13"/>
  <c r="H44" i="13"/>
  <c r="G44" i="13"/>
  <c r="F44" i="13"/>
  <c r="E44" i="13"/>
  <c r="D44" i="13"/>
  <c r="C44" i="13"/>
  <c r="B44" i="13"/>
  <c r="AC43" i="13"/>
  <c r="AB43" i="13"/>
  <c r="AA43" i="13"/>
  <c r="Z43" i="13"/>
  <c r="Y43" i="13"/>
  <c r="X43" i="13"/>
  <c r="W43" i="13"/>
  <c r="V43" i="13"/>
  <c r="U43" i="13"/>
  <c r="T43" i="13"/>
  <c r="S43" i="13"/>
  <c r="R43" i="13"/>
  <c r="Q43" i="13"/>
  <c r="P43" i="13"/>
  <c r="O43" i="13"/>
  <c r="N43" i="13"/>
  <c r="M43" i="13"/>
  <c r="L43" i="13"/>
  <c r="K43" i="13"/>
  <c r="J43" i="13"/>
  <c r="I43" i="13"/>
  <c r="H43" i="13"/>
  <c r="G43" i="13"/>
  <c r="F43" i="13"/>
  <c r="E43" i="13"/>
  <c r="D43" i="13"/>
  <c r="C43" i="13"/>
  <c r="B43" i="13"/>
  <c r="AC42" i="13"/>
  <c r="AB42" i="13"/>
  <c r="AA42" i="13"/>
  <c r="Z42" i="13"/>
  <c r="Y42" i="13"/>
  <c r="X42" i="13"/>
  <c r="W42" i="13"/>
  <c r="V42" i="13"/>
  <c r="U42" i="13"/>
  <c r="T42" i="13"/>
  <c r="S42" i="13"/>
  <c r="R42" i="13"/>
  <c r="Q42" i="13"/>
  <c r="P42" i="13"/>
  <c r="O42" i="13"/>
  <c r="N42" i="13"/>
  <c r="M42" i="13"/>
  <c r="L42" i="13"/>
  <c r="K42" i="13"/>
  <c r="J42" i="13"/>
  <c r="I42" i="13"/>
  <c r="H42" i="13"/>
  <c r="G42" i="13"/>
  <c r="F42" i="13"/>
  <c r="E42" i="13"/>
  <c r="D42" i="13"/>
  <c r="C42" i="13"/>
  <c r="B42" i="13"/>
  <c r="AC41" i="13"/>
  <c r="AB41" i="13"/>
  <c r="AA41" i="13"/>
  <c r="Z41" i="13"/>
  <c r="Y41" i="13"/>
  <c r="X41" i="13"/>
  <c r="W41" i="13"/>
  <c r="V41" i="13"/>
  <c r="U41" i="13"/>
  <c r="T41" i="13"/>
  <c r="S41" i="13"/>
  <c r="R41" i="13"/>
  <c r="Q41" i="13"/>
  <c r="P41" i="13"/>
  <c r="O41" i="13"/>
  <c r="N41" i="13"/>
  <c r="M41" i="13"/>
  <c r="L41" i="13"/>
  <c r="K41" i="13"/>
  <c r="J41" i="13"/>
  <c r="I41" i="13"/>
  <c r="H41" i="13"/>
  <c r="G41" i="13"/>
  <c r="F41" i="13"/>
  <c r="E41" i="13"/>
  <c r="D41" i="13"/>
  <c r="C41" i="13"/>
  <c r="B41" i="13"/>
  <c r="AC40" i="13"/>
  <c r="AB40" i="13"/>
  <c r="AA40" i="13"/>
  <c r="Z40" i="13"/>
  <c r="Y40" i="13"/>
  <c r="X40" i="13"/>
  <c r="W40" i="13"/>
  <c r="V40" i="13"/>
  <c r="U40" i="13"/>
  <c r="T40" i="13"/>
  <c r="S40" i="13"/>
  <c r="R40" i="13"/>
  <c r="Q40" i="13"/>
  <c r="P40" i="13"/>
  <c r="O40" i="13"/>
  <c r="N40" i="13"/>
  <c r="M40" i="13"/>
  <c r="L40" i="13"/>
  <c r="K40" i="13"/>
  <c r="J40" i="13"/>
  <c r="I40" i="13"/>
  <c r="H40" i="13"/>
  <c r="G40" i="13"/>
  <c r="F40" i="13"/>
  <c r="E40" i="13"/>
  <c r="D40" i="13"/>
  <c r="C40" i="13"/>
  <c r="B40" i="13"/>
  <c r="AC39" i="13"/>
  <c r="AB39" i="13"/>
  <c r="AA39" i="13"/>
  <c r="Z39" i="13"/>
  <c r="Y39" i="13"/>
  <c r="X39" i="13"/>
  <c r="W39" i="13"/>
  <c r="V39" i="13"/>
  <c r="U39" i="13"/>
  <c r="T39" i="13"/>
  <c r="S39" i="13"/>
  <c r="R39" i="13"/>
  <c r="Q39" i="13"/>
  <c r="P39" i="13"/>
  <c r="O39" i="13"/>
  <c r="N39" i="13"/>
  <c r="M39" i="13"/>
  <c r="L39" i="13"/>
  <c r="K39" i="13"/>
  <c r="J39" i="13"/>
  <c r="I39" i="13"/>
  <c r="H39" i="13"/>
  <c r="G39" i="13"/>
  <c r="F39" i="13"/>
  <c r="E39" i="13"/>
  <c r="D39" i="13"/>
  <c r="C39" i="13"/>
  <c r="B39" i="13"/>
  <c r="AC38" i="13"/>
  <c r="AB38" i="13"/>
  <c r="AA38" i="13"/>
  <c r="Z38" i="13"/>
  <c r="Y38" i="13"/>
  <c r="X38" i="13"/>
  <c r="W38" i="13"/>
  <c r="V38" i="13"/>
  <c r="U38" i="13"/>
  <c r="T38" i="13"/>
  <c r="S38" i="13"/>
  <c r="R38" i="13"/>
  <c r="Q38" i="13"/>
  <c r="P38" i="13"/>
  <c r="O38" i="13"/>
  <c r="N38" i="13"/>
  <c r="M38" i="13"/>
  <c r="L38" i="13"/>
  <c r="K38" i="13"/>
  <c r="J38" i="13"/>
  <c r="I38" i="13"/>
  <c r="H38" i="13"/>
  <c r="G38" i="13"/>
  <c r="F38" i="13"/>
  <c r="E38" i="13"/>
  <c r="D38" i="13"/>
  <c r="C38" i="13"/>
  <c r="B38" i="13"/>
  <c r="AC37" i="13"/>
  <c r="AB37" i="13"/>
  <c r="AA37" i="13"/>
  <c r="Z37" i="13"/>
  <c r="Y37" i="13"/>
  <c r="X37" i="13"/>
  <c r="W37" i="13"/>
  <c r="V37" i="13"/>
  <c r="U37" i="13"/>
  <c r="T37" i="13"/>
  <c r="S37" i="13"/>
  <c r="R37" i="13"/>
  <c r="Q37" i="13"/>
  <c r="P37" i="13"/>
  <c r="O37" i="13"/>
  <c r="N37" i="13"/>
  <c r="M37" i="13"/>
  <c r="L37" i="13"/>
  <c r="K37" i="13"/>
  <c r="J37" i="13"/>
  <c r="I37" i="13"/>
  <c r="H37" i="13"/>
  <c r="G37" i="13"/>
  <c r="F37" i="13"/>
  <c r="E37" i="13"/>
  <c r="D37" i="13"/>
  <c r="C37" i="13"/>
  <c r="B37" i="13"/>
  <c r="AC36" i="13"/>
  <c r="AB36" i="13"/>
  <c r="AA36" i="13"/>
  <c r="Z36" i="13"/>
  <c r="Y36" i="13"/>
  <c r="X36" i="13"/>
  <c r="W36" i="13"/>
  <c r="V36" i="13"/>
  <c r="U36" i="13"/>
  <c r="T36" i="13"/>
  <c r="S36" i="13"/>
  <c r="R36" i="13"/>
  <c r="Q36" i="13"/>
  <c r="P36" i="13"/>
  <c r="O36" i="13"/>
  <c r="N36" i="13"/>
  <c r="M36" i="13"/>
  <c r="L36" i="13"/>
  <c r="K36" i="13"/>
  <c r="J36" i="13"/>
  <c r="I36" i="13"/>
  <c r="H36" i="13"/>
  <c r="G36" i="13"/>
  <c r="F36" i="13"/>
  <c r="E36" i="13"/>
  <c r="D36" i="13"/>
  <c r="C36" i="13"/>
  <c r="B36" i="13"/>
  <c r="AC35" i="13"/>
  <c r="AB35" i="13"/>
  <c r="AA35" i="13"/>
  <c r="Z35" i="13"/>
  <c r="Y35" i="13"/>
  <c r="X35" i="13"/>
  <c r="W35" i="13"/>
  <c r="V35" i="13"/>
  <c r="U35" i="13"/>
  <c r="T35" i="13"/>
  <c r="S35" i="13"/>
  <c r="R35" i="13"/>
  <c r="Q35" i="13"/>
  <c r="P35" i="13"/>
  <c r="O35" i="13"/>
  <c r="N35" i="13"/>
  <c r="M35" i="13"/>
  <c r="L35" i="13"/>
  <c r="K35" i="13"/>
  <c r="J35" i="13"/>
  <c r="I35" i="13"/>
  <c r="H35" i="13"/>
  <c r="G35" i="13"/>
  <c r="F35" i="13"/>
  <c r="E35" i="13"/>
  <c r="D35" i="13"/>
  <c r="C35" i="13"/>
  <c r="B35" i="13"/>
  <c r="AC34" i="13"/>
  <c r="AB34" i="13"/>
  <c r="AA34" i="13"/>
  <c r="Z34" i="13"/>
  <c r="Y34" i="13"/>
  <c r="X34" i="13"/>
  <c r="W34" i="13"/>
  <c r="V34" i="13"/>
  <c r="U34" i="13"/>
  <c r="T34" i="13"/>
  <c r="S34" i="13"/>
  <c r="R34" i="13"/>
  <c r="Q34" i="13"/>
  <c r="P34" i="13"/>
  <c r="O34" i="13"/>
  <c r="N34" i="13"/>
  <c r="M34" i="13"/>
  <c r="L34" i="13"/>
  <c r="K34" i="13"/>
  <c r="J34" i="13"/>
  <c r="I34" i="13"/>
  <c r="H34" i="13"/>
  <c r="G34" i="13"/>
  <c r="F34" i="13"/>
  <c r="E34" i="13"/>
  <c r="D34" i="13"/>
  <c r="C34" i="13"/>
  <c r="B34" i="13"/>
  <c r="AC33" i="13"/>
  <c r="AB33" i="13"/>
  <c r="AA33" i="13"/>
  <c r="Z33" i="13"/>
  <c r="Y33" i="13"/>
  <c r="X33" i="13"/>
  <c r="W33" i="13"/>
  <c r="V33" i="13"/>
  <c r="U33" i="13"/>
  <c r="T33" i="13"/>
  <c r="S33" i="13"/>
  <c r="R33" i="13"/>
  <c r="Q33" i="13"/>
  <c r="P33" i="13"/>
  <c r="O33" i="13"/>
  <c r="N33" i="13"/>
  <c r="M33" i="13"/>
  <c r="L33" i="13"/>
  <c r="K33" i="13"/>
  <c r="J33" i="13"/>
  <c r="I33" i="13"/>
  <c r="H33" i="13"/>
  <c r="G33" i="13"/>
  <c r="F33" i="13"/>
  <c r="E33" i="13"/>
  <c r="D33" i="13"/>
  <c r="C33" i="13"/>
  <c r="B33" i="13"/>
  <c r="AC32" i="13"/>
  <c r="AB32" i="13"/>
  <c r="AA32" i="13"/>
  <c r="Z32" i="13"/>
  <c r="Y32" i="13"/>
  <c r="X32" i="13"/>
  <c r="W32" i="13"/>
  <c r="V32" i="13"/>
  <c r="U32" i="13"/>
  <c r="T32" i="13"/>
  <c r="S32" i="13"/>
  <c r="R32" i="13"/>
  <c r="Q32" i="13"/>
  <c r="P32" i="13"/>
  <c r="O32" i="13"/>
  <c r="N32" i="13"/>
  <c r="M32" i="13"/>
  <c r="L32" i="13"/>
  <c r="K32" i="13"/>
  <c r="J32" i="13"/>
  <c r="I32" i="13"/>
  <c r="H32" i="13"/>
  <c r="G32" i="13"/>
  <c r="F32" i="13"/>
  <c r="E32" i="13"/>
  <c r="D32" i="13"/>
  <c r="C32" i="13"/>
  <c r="B32" i="13"/>
  <c r="AC31" i="13"/>
  <c r="AB31" i="13"/>
  <c r="AA31" i="13"/>
  <c r="Z31" i="13"/>
  <c r="Y31" i="13"/>
  <c r="X31" i="13"/>
  <c r="W31" i="13"/>
  <c r="V31" i="13"/>
  <c r="U31" i="13"/>
  <c r="T31" i="13"/>
  <c r="S31" i="13"/>
  <c r="R31" i="13"/>
  <c r="Q31" i="13"/>
  <c r="P31" i="13"/>
  <c r="O31" i="13"/>
  <c r="N31" i="13"/>
  <c r="M31" i="13"/>
  <c r="L31" i="13"/>
  <c r="K31" i="13"/>
  <c r="J31" i="13"/>
  <c r="I31" i="13"/>
  <c r="H31" i="13"/>
  <c r="G31" i="13"/>
  <c r="F31" i="13"/>
  <c r="E31" i="13"/>
  <c r="D31" i="13"/>
  <c r="C31" i="13"/>
  <c r="B31" i="13"/>
  <c r="AC30" i="13"/>
  <c r="AB30" i="13"/>
  <c r="AA30" i="13"/>
  <c r="Z30" i="13"/>
  <c r="Y30" i="13"/>
  <c r="X30" i="13"/>
  <c r="W30" i="13"/>
  <c r="V30" i="13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G30" i="13"/>
  <c r="F30" i="13"/>
  <c r="E30" i="13"/>
  <c r="D30" i="13"/>
  <c r="C30" i="13"/>
  <c r="B30" i="13"/>
  <c r="AC29" i="13"/>
  <c r="AB29" i="13"/>
  <c r="AA29" i="13"/>
  <c r="Z29" i="13"/>
  <c r="Y29" i="13"/>
  <c r="X29" i="13"/>
  <c r="W29" i="13"/>
  <c r="V29" i="13"/>
  <c r="U29" i="13"/>
  <c r="T29" i="13"/>
  <c r="S29" i="13"/>
  <c r="R29" i="13"/>
  <c r="Q29" i="13"/>
  <c r="P29" i="13"/>
  <c r="O29" i="13"/>
  <c r="N29" i="13"/>
  <c r="M29" i="13"/>
  <c r="L29" i="13"/>
  <c r="K29" i="13"/>
  <c r="J29" i="13"/>
  <c r="I29" i="13"/>
  <c r="H29" i="13"/>
  <c r="G29" i="13"/>
  <c r="F29" i="13"/>
  <c r="E29" i="13"/>
  <c r="D29" i="13"/>
  <c r="C29" i="13"/>
  <c r="B29" i="13"/>
  <c r="AC28" i="13"/>
  <c r="AB28" i="13"/>
  <c r="AA28" i="13"/>
  <c r="Z28" i="13"/>
  <c r="Y28" i="13"/>
  <c r="X28" i="13"/>
  <c r="W28" i="13"/>
  <c r="V28" i="13"/>
  <c r="U28" i="13"/>
  <c r="T28" i="13"/>
  <c r="S28" i="13"/>
  <c r="R28" i="13"/>
  <c r="Q28" i="13"/>
  <c r="P28" i="13"/>
  <c r="O28" i="13"/>
  <c r="N28" i="13"/>
  <c r="M28" i="13"/>
  <c r="L28" i="13"/>
  <c r="K28" i="13"/>
  <c r="J28" i="13"/>
  <c r="I28" i="13"/>
  <c r="H28" i="13"/>
  <c r="G28" i="13"/>
  <c r="F28" i="13"/>
  <c r="E28" i="13"/>
  <c r="D28" i="13"/>
  <c r="C28" i="13"/>
  <c r="B28" i="13"/>
  <c r="AC27" i="13"/>
  <c r="AB27" i="13"/>
  <c r="AA27" i="13"/>
  <c r="Z27" i="13"/>
  <c r="Y27" i="13"/>
  <c r="X27" i="13"/>
  <c r="W27" i="13"/>
  <c r="V27" i="13"/>
  <c r="U27" i="13"/>
  <c r="T27" i="13"/>
  <c r="S27" i="13"/>
  <c r="R27" i="13"/>
  <c r="Q27" i="13"/>
  <c r="P27" i="13"/>
  <c r="O27" i="13"/>
  <c r="N27" i="13"/>
  <c r="M27" i="13"/>
  <c r="L27" i="13"/>
  <c r="K27" i="13"/>
  <c r="J27" i="13"/>
  <c r="I27" i="13"/>
  <c r="H27" i="13"/>
  <c r="G27" i="13"/>
  <c r="F27" i="13"/>
  <c r="E27" i="13"/>
  <c r="D27" i="13"/>
  <c r="C27" i="13"/>
  <c r="B27" i="13"/>
  <c r="AC26" i="13"/>
  <c r="AB26" i="13"/>
  <c r="AA26" i="13"/>
  <c r="Z26" i="13"/>
  <c r="Y26" i="13"/>
  <c r="X26" i="13"/>
  <c r="W26" i="13"/>
  <c r="V26" i="13"/>
  <c r="U26" i="13"/>
  <c r="T26" i="13"/>
  <c r="S26" i="13"/>
  <c r="R26" i="13"/>
  <c r="Q26" i="13"/>
  <c r="P26" i="13"/>
  <c r="O26" i="13"/>
  <c r="N26" i="13"/>
  <c r="M26" i="13"/>
  <c r="L26" i="13"/>
  <c r="K26" i="13"/>
  <c r="J26" i="13"/>
  <c r="I26" i="13"/>
  <c r="H26" i="13"/>
  <c r="G26" i="13"/>
  <c r="F26" i="13"/>
  <c r="E26" i="13"/>
  <c r="D26" i="13"/>
  <c r="C26" i="13"/>
  <c r="B26" i="13"/>
  <c r="AC25" i="13"/>
  <c r="AB25" i="13"/>
  <c r="AA25" i="13"/>
  <c r="Z25" i="13"/>
  <c r="Y25" i="13"/>
  <c r="X25" i="13"/>
  <c r="W25" i="13"/>
  <c r="V25" i="13"/>
  <c r="U25" i="13"/>
  <c r="T25" i="13"/>
  <c r="S25" i="13"/>
  <c r="R25" i="13"/>
  <c r="Q25" i="13"/>
  <c r="P25" i="13"/>
  <c r="O25" i="13"/>
  <c r="N25" i="13"/>
  <c r="M25" i="13"/>
  <c r="L25" i="13"/>
  <c r="K25" i="13"/>
  <c r="J25" i="13"/>
  <c r="I25" i="13"/>
  <c r="H25" i="13"/>
  <c r="G25" i="13"/>
  <c r="F25" i="13"/>
  <c r="E25" i="13"/>
  <c r="D25" i="13"/>
  <c r="C25" i="13"/>
  <c r="B25" i="13"/>
  <c r="AC24" i="13"/>
  <c r="AB24" i="13"/>
  <c r="AA24" i="13"/>
  <c r="Z24" i="13"/>
  <c r="Y24" i="13"/>
  <c r="X24" i="13"/>
  <c r="W24" i="13"/>
  <c r="V24" i="13"/>
  <c r="U24" i="13"/>
  <c r="T24" i="13"/>
  <c r="S24" i="13"/>
  <c r="R24" i="13"/>
  <c r="Q24" i="13"/>
  <c r="P24" i="13"/>
  <c r="O24" i="13"/>
  <c r="N24" i="13"/>
  <c r="M24" i="13"/>
  <c r="L24" i="13"/>
  <c r="K24" i="13"/>
  <c r="J24" i="13"/>
  <c r="I24" i="13"/>
  <c r="H24" i="13"/>
  <c r="G24" i="13"/>
  <c r="F24" i="13"/>
  <c r="E24" i="13"/>
  <c r="D24" i="13"/>
  <c r="C24" i="13"/>
  <c r="B24" i="13"/>
  <c r="AC23" i="13"/>
  <c r="AB23" i="13"/>
  <c r="AA23" i="13"/>
  <c r="Z23" i="13"/>
  <c r="Y23" i="13"/>
  <c r="X23" i="13"/>
  <c r="W23" i="13"/>
  <c r="V23" i="13"/>
  <c r="U23" i="13"/>
  <c r="T23" i="13"/>
  <c r="S23" i="13"/>
  <c r="R23" i="13"/>
  <c r="Q23" i="13"/>
  <c r="P23" i="13"/>
  <c r="O23" i="13"/>
  <c r="N23" i="13"/>
  <c r="M23" i="13"/>
  <c r="L23" i="13"/>
  <c r="K23" i="13"/>
  <c r="J23" i="13"/>
  <c r="I23" i="13"/>
  <c r="H23" i="13"/>
  <c r="G23" i="13"/>
  <c r="F23" i="13"/>
  <c r="E23" i="13"/>
  <c r="D23" i="13"/>
  <c r="C23" i="13"/>
  <c r="B23" i="13"/>
  <c r="AC22" i="13"/>
  <c r="AB22" i="13"/>
  <c r="AA22" i="13"/>
  <c r="Z22" i="13"/>
  <c r="Y22" i="13"/>
  <c r="X22" i="13"/>
  <c r="W22" i="13"/>
  <c r="V22" i="13"/>
  <c r="U22" i="13"/>
  <c r="T22" i="13"/>
  <c r="S22" i="13"/>
  <c r="R22" i="13"/>
  <c r="Q22" i="13"/>
  <c r="P22" i="13"/>
  <c r="O22" i="13"/>
  <c r="N22" i="13"/>
  <c r="M22" i="13"/>
  <c r="L22" i="13"/>
  <c r="K22" i="13"/>
  <c r="J22" i="13"/>
  <c r="I22" i="13"/>
  <c r="H22" i="13"/>
  <c r="G22" i="13"/>
  <c r="F22" i="13"/>
  <c r="E22" i="13"/>
  <c r="D22" i="13"/>
  <c r="C22" i="13"/>
  <c r="B22" i="13"/>
  <c r="AC21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D21" i="13"/>
  <c r="C21" i="13"/>
  <c r="B21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D20" i="13"/>
  <c r="C20" i="13"/>
  <c r="B20" i="13"/>
  <c r="AC19" i="13"/>
  <c r="AB19" i="13"/>
  <c r="AA19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H19" i="13"/>
  <c r="G19" i="13"/>
  <c r="F19" i="13"/>
  <c r="E19" i="13"/>
  <c r="D19" i="13"/>
  <c r="C19" i="13"/>
  <c r="B19" i="13"/>
  <c r="AC18" i="13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H18" i="13"/>
  <c r="G18" i="13"/>
  <c r="F18" i="13"/>
  <c r="E18" i="13"/>
  <c r="D18" i="13"/>
  <c r="C18" i="13"/>
  <c r="B18" i="13"/>
  <c r="AC17" i="13"/>
  <c r="AB17" i="13"/>
  <c r="AA17" i="13"/>
  <c r="Z17" i="13"/>
  <c r="Y17" i="13"/>
  <c r="X17" i="13"/>
  <c r="W17" i="13"/>
  <c r="V17" i="13"/>
  <c r="U17" i="13"/>
  <c r="T17" i="13"/>
  <c r="S17" i="13"/>
  <c r="R17" i="13"/>
  <c r="Q17" i="13"/>
  <c r="P17" i="13"/>
  <c r="O17" i="13"/>
  <c r="N17" i="13"/>
  <c r="M17" i="13"/>
  <c r="L17" i="13"/>
  <c r="K17" i="13"/>
  <c r="J17" i="13"/>
  <c r="I17" i="13"/>
  <c r="H17" i="13"/>
  <c r="G17" i="13"/>
  <c r="F17" i="13"/>
  <c r="E17" i="13"/>
  <c r="D17" i="13"/>
  <c r="C17" i="13"/>
  <c r="B17" i="13"/>
  <c r="AC16" i="13"/>
  <c r="AB16" i="13"/>
  <c r="AA16" i="13"/>
  <c r="Z16" i="13"/>
  <c r="Y16" i="13"/>
  <c r="X16" i="13"/>
  <c r="W16" i="13"/>
  <c r="V16" i="13"/>
  <c r="U16" i="13"/>
  <c r="T16" i="13"/>
  <c r="S16" i="13"/>
  <c r="R16" i="13"/>
  <c r="Q16" i="13"/>
  <c r="P16" i="13"/>
  <c r="O16" i="13"/>
  <c r="N16" i="13"/>
  <c r="M16" i="13"/>
  <c r="L16" i="13"/>
  <c r="K16" i="13"/>
  <c r="J16" i="13"/>
  <c r="I16" i="13"/>
  <c r="H16" i="13"/>
  <c r="G16" i="13"/>
  <c r="F16" i="13"/>
  <c r="E16" i="13"/>
  <c r="D16" i="13"/>
  <c r="C16" i="13"/>
  <c r="B16" i="13"/>
  <c r="AC15" i="13"/>
  <c r="AB15" i="13"/>
  <c r="AA15" i="13"/>
  <c r="Z15" i="13"/>
  <c r="Y15" i="13"/>
  <c r="X15" i="13"/>
  <c r="W15" i="13"/>
  <c r="V15" i="13"/>
  <c r="U15" i="13"/>
  <c r="T15" i="13"/>
  <c r="S15" i="13"/>
  <c r="R15" i="13"/>
  <c r="Q15" i="13"/>
  <c r="P15" i="13"/>
  <c r="O15" i="13"/>
  <c r="N15" i="13"/>
  <c r="M15" i="13"/>
  <c r="L15" i="13"/>
  <c r="K15" i="13"/>
  <c r="J15" i="13"/>
  <c r="I15" i="13"/>
  <c r="H15" i="13"/>
  <c r="G15" i="13"/>
  <c r="F15" i="13"/>
  <c r="E15" i="13"/>
  <c r="D15" i="13"/>
  <c r="C15" i="13"/>
  <c r="B15" i="13"/>
  <c r="AC14" i="13"/>
  <c r="AB14" i="13"/>
  <c r="AA14" i="13"/>
  <c r="Z14" i="13"/>
  <c r="Y14" i="13"/>
  <c r="X14" i="13"/>
  <c r="W14" i="13"/>
  <c r="V14" i="13"/>
  <c r="U14" i="13"/>
  <c r="T14" i="13"/>
  <c r="S14" i="13"/>
  <c r="R14" i="13"/>
  <c r="Q14" i="13"/>
  <c r="P14" i="13"/>
  <c r="O14" i="13"/>
  <c r="N14" i="13"/>
  <c r="M14" i="13"/>
  <c r="L14" i="13"/>
  <c r="K14" i="13"/>
  <c r="J14" i="13"/>
  <c r="I14" i="13"/>
  <c r="H14" i="13"/>
  <c r="G14" i="13"/>
  <c r="F14" i="13"/>
  <c r="E14" i="13"/>
  <c r="D14" i="13"/>
  <c r="C14" i="13"/>
  <c r="B14" i="13"/>
  <c r="AC13" i="13"/>
  <c r="AB13" i="13"/>
  <c r="AA13" i="13"/>
  <c r="Z13" i="13"/>
  <c r="Y13" i="13"/>
  <c r="X13" i="13"/>
  <c r="W13" i="13"/>
  <c r="V13" i="13"/>
  <c r="U13" i="13"/>
  <c r="T13" i="13"/>
  <c r="S13" i="13"/>
  <c r="R13" i="13"/>
  <c r="Q13" i="13"/>
  <c r="P13" i="13"/>
  <c r="O13" i="13"/>
  <c r="N13" i="13"/>
  <c r="M13" i="13"/>
  <c r="L13" i="13"/>
  <c r="K13" i="13"/>
  <c r="J13" i="13"/>
  <c r="I13" i="13"/>
  <c r="H13" i="13"/>
  <c r="G13" i="13"/>
  <c r="F13" i="13"/>
  <c r="E13" i="13"/>
  <c r="D13" i="13"/>
  <c r="C13" i="13"/>
  <c r="B13" i="13"/>
  <c r="AC12" i="13"/>
  <c r="AB12" i="13"/>
  <c r="AA12" i="13"/>
  <c r="Z12" i="13"/>
  <c r="Y12" i="13"/>
  <c r="X12" i="13"/>
  <c r="W12" i="13"/>
  <c r="V12" i="13"/>
  <c r="U12" i="13"/>
  <c r="T12" i="13"/>
  <c r="S12" i="13"/>
  <c r="R12" i="13"/>
  <c r="Q12" i="13"/>
  <c r="P12" i="13"/>
  <c r="O12" i="13"/>
  <c r="N12" i="13"/>
  <c r="M12" i="13"/>
  <c r="L12" i="13"/>
  <c r="K12" i="13"/>
  <c r="J12" i="13"/>
  <c r="I12" i="13"/>
  <c r="H12" i="13"/>
  <c r="G12" i="13"/>
  <c r="F12" i="13"/>
  <c r="E12" i="13"/>
  <c r="D12" i="13"/>
  <c r="C12" i="13"/>
  <c r="B12" i="13"/>
  <c r="AC11" i="13"/>
  <c r="AB11" i="13"/>
  <c r="AA11" i="13"/>
  <c r="Z11" i="13"/>
  <c r="Y11" i="13"/>
  <c r="X11" i="13"/>
  <c r="W11" i="13"/>
  <c r="V11" i="13"/>
  <c r="U11" i="13"/>
  <c r="T11" i="13"/>
  <c r="S11" i="13"/>
  <c r="R11" i="13"/>
  <c r="Q11" i="13"/>
  <c r="P11" i="13"/>
  <c r="O11" i="13"/>
  <c r="N11" i="13"/>
  <c r="M11" i="13"/>
  <c r="L11" i="13"/>
  <c r="K11" i="13"/>
  <c r="J11" i="13"/>
  <c r="I11" i="13"/>
  <c r="H11" i="13"/>
  <c r="G11" i="13"/>
  <c r="F11" i="13"/>
  <c r="E11" i="13"/>
  <c r="D11" i="13"/>
  <c r="C11" i="13"/>
  <c r="B11" i="13"/>
  <c r="AC10" i="13"/>
  <c r="AB10" i="13"/>
  <c r="AA10" i="13"/>
  <c r="Z10" i="13"/>
  <c r="Y10" i="13"/>
  <c r="X10" i="13"/>
  <c r="W10" i="13"/>
  <c r="V10" i="13"/>
  <c r="U10" i="13"/>
  <c r="T10" i="13"/>
  <c r="S10" i="13"/>
  <c r="R10" i="13"/>
  <c r="Q10" i="13"/>
  <c r="P10" i="13"/>
  <c r="O10" i="13"/>
  <c r="N10" i="13"/>
  <c r="M10" i="13"/>
  <c r="L10" i="13"/>
  <c r="K10" i="13"/>
  <c r="J10" i="13"/>
  <c r="I10" i="13"/>
  <c r="H10" i="13"/>
  <c r="G10" i="13"/>
  <c r="F10" i="13"/>
  <c r="E10" i="13"/>
  <c r="D10" i="13"/>
  <c r="C10" i="13"/>
  <c r="B10" i="13"/>
  <c r="AC9" i="13"/>
  <c r="AB9" i="13"/>
  <c r="AA9" i="13"/>
  <c r="Z9" i="13"/>
  <c r="Y9" i="13"/>
  <c r="X9" i="13"/>
  <c r="W9" i="13"/>
  <c r="V9" i="13"/>
  <c r="U9" i="13"/>
  <c r="T9" i="13"/>
  <c r="S9" i="13"/>
  <c r="R9" i="13"/>
  <c r="Q9" i="13"/>
  <c r="P9" i="13"/>
  <c r="O9" i="13"/>
  <c r="N9" i="13"/>
  <c r="M9" i="13"/>
  <c r="L9" i="13"/>
  <c r="K9" i="13"/>
  <c r="J9" i="13"/>
  <c r="I9" i="13"/>
  <c r="H9" i="13"/>
  <c r="G9" i="13"/>
  <c r="F9" i="13"/>
  <c r="E9" i="13"/>
  <c r="D9" i="13"/>
  <c r="C9" i="13"/>
  <c r="B9" i="13"/>
  <c r="AC8" i="13"/>
  <c r="AB8" i="13"/>
  <c r="AA8" i="13"/>
  <c r="Z8" i="13"/>
  <c r="Y8" i="13"/>
  <c r="X8" i="13"/>
  <c r="W8" i="13"/>
  <c r="V8" i="13"/>
  <c r="U8" i="13"/>
  <c r="T8" i="13"/>
  <c r="S8" i="13"/>
  <c r="R8" i="13"/>
  <c r="Q8" i="13"/>
  <c r="P8" i="13"/>
  <c r="O8" i="13"/>
  <c r="N8" i="13"/>
  <c r="M8" i="13"/>
  <c r="L8" i="13"/>
  <c r="K8" i="13"/>
  <c r="J8" i="13"/>
  <c r="I8" i="13"/>
  <c r="H8" i="13"/>
  <c r="G8" i="13"/>
  <c r="F8" i="13"/>
  <c r="E8" i="13"/>
  <c r="D8" i="13"/>
  <c r="C8" i="13"/>
  <c r="B8" i="13"/>
  <c r="AC7" i="13"/>
  <c r="AB7" i="13"/>
  <c r="AA7" i="13"/>
  <c r="Z7" i="13"/>
  <c r="Y7" i="13"/>
  <c r="X7" i="13"/>
  <c r="W7" i="13"/>
  <c r="V7" i="13"/>
  <c r="U7" i="13"/>
  <c r="T7" i="13"/>
  <c r="S7" i="13"/>
  <c r="R7" i="13"/>
  <c r="Q7" i="13"/>
  <c r="P7" i="13"/>
  <c r="O7" i="13"/>
  <c r="N7" i="13"/>
  <c r="M7" i="13"/>
  <c r="L7" i="13"/>
  <c r="K7" i="13"/>
  <c r="J7" i="13"/>
  <c r="I7" i="13"/>
  <c r="H7" i="13"/>
  <c r="G7" i="13"/>
  <c r="F7" i="13"/>
  <c r="E7" i="13"/>
  <c r="D7" i="13"/>
  <c r="C7" i="13"/>
  <c r="B7" i="13"/>
  <c r="AC6" i="13"/>
  <c r="AB6" i="13"/>
  <c r="AA6" i="13"/>
  <c r="Z6" i="13"/>
  <c r="Y6" i="13"/>
  <c r="X6" i="13"/>
  <c r="W6" i="13"/>
  <c r="V6" i="13"/>
  <c r="U6" i="13"/>
  <c r="T6" i="13"/>
  <c r="S6" i="13"/>
  <c r="R6" i="13"/>
  <c r="Q6" i="13"/>
  <c r="P6" i="13"/>
  <c r="O6" i="13"/>
  <c r="N6" i="13"/>
  <c r="M6" i="13"/>
  <c r="L6" i="13"/>
  <c r="K6" i="13"/>
  <c r="J6" i="13"/>
  <c r="I6" i="13"/>
  <c r="H6" i="13"/>
  <c r="G6" i="13"/>
  <c r="F6" i="13"/>
  <c r="E6" i="13"/>
  <c r="D6" i="13"/>
  <c r="C6" i="13"/>
  <c r="B6" i="13"/>
  <c r="AC5" i="13"/>
  <c r="AB5" i="13"/>
  <c r="AA5" i="13"/>
  <c r="Z5" i="13"/>
  <c r="Y5" i="13"/>
  <c r="X5" i="13"/>
  <c r="W5" i="13"/>
  <c r="V5" i="13"/>
  <c r="U5" i="13"/>
  <c r="T5" i="13"/>
  <c r="S5" i="13"/>
  <c r="R5" i="13"/>
  <c r="Q5" i="13"/>
  <c r="P5" i="13"/>
  <c r="O5" i="13"/>
  <c r="N5" i="13"/>
  <c r="M5" i="13"/>
  <c r="L5" i="13"/>
  <c r="K5" i="13"/>
  <c r="J5" i="13"/>
  <c r="I5" i="13"/>
  <c r="H5" i="13"/>
  <c r="G5" i="13"/>
  <c r="F5" i="13"/>
  <c r="E5" i="13"/>
  <c r="D5" i="13"/>
  <c r="C5" i="13"/>
  <c r="B5" i="13"/>
  <c r="AC4" i="13"/>
  <c r="AB4" i="13"/>
  <c r="AA4" i="13"/>
  <c r="Z4" i="13"/>
  <c r="Y4" i="13"/>
  <c r="X4" i="13"/>
  <c r="W4" i="13"/>
  <c r="V4" i="13"/>
  <c r="U4" i="13"/>
  <c r="T4" i="13"/>
  <c r="S4" i="13"/>
  <c r="R4" i="13"/>
  <c r="Q4" i="13"/>
  <c r="P4" i="13"/>
  <c r="O4" i="13"/>
  <c r="N4" i="13"/>
  <c r="M4" i="13"/>
  <c r="L4" i="13"/>
  <c r="K4" i="13"/>
  <c r="J4" i="13"/>
  <c r="I4" i="13"/>
  <c r="H4" i="13"/>
  <c r="G4" i="13"/>
  <c r="F4" i="13"/>
  <c r="E4" i="13"/>
  <c r="D4" i="13"/>
  <c r="C4" i="13"/>
  <c r="B4" i="13"/>
  <c r="AC3" i="13"/>
  <c r="AB3" i="13"/>
  <c r="AA3" i="13"/>
  <c r="Z3" i="13"/>
  <c r="Y3" i="13"/>
  <c r="X3" i="13"/>
  <c r="W3" i="13"/>
  <c r="V3" i="13"/>
  <c r="U3" i="13"/>
  <c r="T3" i="13"/>
  <c r="T101" i="13" s="1"/>
  <c r="S3" i="13"/>
  <c r="S101" i="13" s="1"/>
  <c r="R3" i="13"/>
  <c r="Q3" i="13"/>
  <c r="P3" i="13"/>
  <c r="O3" i="13"/>
  <c r="N3" i="13"/>
  <c r="M3" i="13"/>
  <c r="L3" i="13"/>
  <c r="L101" i="13" s="1"/>
  <c r="K3" i="13"/>
  <c r="K101" i="13" s="1"/>
  <c r="J3" i="13"/>
  <c r="J101" i="13" s="1"/>
  <c r="I3" i="13"/>
  <c r="H3" i="13"/>
  <c r="G3" i="13"/>
  <c r="F3" i="13"/>
  <c r="E3" i="13"/>
  <c r="D3" i="13"/>
  <c r="C3" i="13"/>
  <c r="B3" i="13"/>
  <c r="B101" i="13" s="1"/>
  <c r="AC2" i="13"/>
  <c r="AB2" i="13"/>
  <c r="AA2" i="13"/>
  <c r="Z2" i="13"/>
  <c r="Y2" i="13"/>
  <c r="Y101" i="13" s="1"/>
  <c r="X2" i="13"/>
  <c r="X101" i="13" s="1"/>
  <c r="W2" i="13"/>
  <c r="W101" i="13" s="1"/>
  <c r="V2" i="13"/>
  <c r="V101" i="13" s="1"/>
  <c r="U2" i="13"/>
  <c r="T2" i="13"/>
  <c r="S2" i="13"/>
  <c r="R2" i="13"/>
  <c r="R101" i="13" s="1"/>
  <c r="Q2" i="13"/>
  <c r="P2" i="13"/>
  <c r="P101" i="13" s="1"/>
  <c r="O2" i="13"/>
  <c r="O101" i="13" s="1"/>
  <c r="N2" i="13"/>
  <c r="N101" i="13" s="1"/>
  <c r="M2" i="13"/>
  <c r="L2" i="13"/>
  <c r="K2" i="13"/>
  <c r="J2" i="13"/>
  <c r="I2" i="13"/>
  <c r="H2" i="13"/>
  <c r="G2" i="13"/>
  <c r="F2" i="13"/>
  <c r="E2" i="13"/>
  <c r="D2" i="13"/>
  <c r="C2" i="13"/>
  <c r="B2" i="13"/>
  <c r="P102" i="13"/>
  <c r="AB101" i="13"/>
  <c r="AA101" i="13"/>
  <c r="Z101" i="13"/>
  <c r="D101" i="13"/>
  <c r="C101" i="13"/>
  <c r="AC101" i="13"/>
  <c r="U101" i="13"/>
  <c r="Q101" i="13"/>
  <c r="M101" i="13"/>
  <c r="I101" i="13"/>
  <c r="H101" i="13"/>
  <c r="G101" i="13"/>
  <c r="F101" i="13"/>
  <c r="E101" i="13"/>
  <c r="AC101" i="11"/>
  <c r="AB101" i="11"/>
  <c r="AA101" i="11"/>
  <c r="Z101" i="11"/>
  <c r="Y101" i="11"/>
  <c r="X101" i="11"/>
  <c r="W101" i="11"/>
  <c r="V101" i="11"/>
  <c r="U101" i="11"/>
  <c r="T101" i="11"/>
  <c r="S101" i="11"/>
  <c r="R101" i="11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E101" i="11"/>
  <c r="D101" i="11"/>
  <c r="C101" i="11"/>
  <c r="B101" i="11"/>
  <c r="AC100" i="11"/>
  <c r="AB100" i="11"/>
  <c r="AA100" i="11"/>
  <c r="Z100" i="11"/>
  <c r="Y100" i="11"/>
  <c r="X100" i="11"/>
  <c r="W100" i="11"/>
  <c r="V100" i="11"/>
  <c r="U100" i="11"/>
  <c r="T100" i="11"/>
  <c r="S100" i="11"/>
  <c r="R100" i="11"/>
  <c r="Q100" i="11"/>
  <c r="P100" i="11"/>
  <c r="O100" i="11"/>
  <c r="N100" i="11"/>
  <c r="M100" i="11"/>
  <c r="L100" i="11"/>
  <c r="K100" i="11"/>
  <c r="J100" i="11"/>
  <c r="I100" i="11"/>
  <c r="H100" i="11"/>
  <c r="G100" i="11"/>
  <c r="F100" i="11"/>
  <c r="E100" i="11"/>
  <c r="D100" i="11"/>
  <c r="C100" i="11"/>
  <c r="B100" i="11"/>
  <c r="AC99" i="11"/>
  <c r="AB99" i="11"/>
  <c r="AA99" i="11"/>
  <c r="Z99" i="11"/>
  <c r="Y99" i="11"/>
  <c r="X99" i="11"/>
  <c r="W99" i="11"/>
  <c r="V99" i="11"/>
  <c r="U99" i="11"/>
  <c r="T99" i="11"/>
  <c r="S99" i="11"/>
  <c r="R99" i="11"/>
  <c r="Q99" i="11"/>
  <c r="P99" i="11"/>
  <c r="O99" i="11"/>
  <c r="N99" i="11"/>
  <c r="M99" i="11"/>
  <c r="L99" i="11"/>
  <c r="K99" i="11"/>
  <c r="J99" i="11"/>
  <c r="I99" i="11"/>
  <c r="H99" i="11"/>
  <c r="G99" i="11"/>
  <c r="F99" i="11"/>
  <c r="E99" i="11"/>
  <c r="D99" i="11"/>
  <c r="C99" i="11"/>
  <c r="B99" i="11"/>
  <c r="AC98" i="11"/>
  <c r="AB98" i="11"/>
  <c r="AA98" i="11"/>
  <c r="Z98" i="11"/>
  <c r="Y98" i="11"/>
  <c r="X98" i="11"/>
  <c r="W98" i="11"/>
  <c r="V98" i="11"/>
  <c r="U98" i="11"/>
  <c r="T98" i="11"/>
  <c r="S98" i="11"/>
  <c r="R98" i="11"/>
  <c r="Q98" i="11"/>
  <c r="P98" i="11"/>
  <c r="O98" i="11"/>
  <c r="N98" i="11"/>
  <c r="M98" i="11"/>
  <c r="L98" i="11"/>
  <c r="K98" i="11"/>
  <c r="J98" i="11"/>
  <c r="I98" i="11"/>
  <c r="H98" i="11"/>
  <c r="G98" i="11"/>
  <c r="F98" i="11"/>
  <c r="E98" i="11"/>
  <c r="D98" i="11"/>
  <c r="C98" i="11"/>
  <c r="B98" i="11"/>
  <c r="AC97" i="11"/>
  <c r="AB97" i="11"/>
  <c r="AA97" i="11"/>
  <c r="Z97" i="11"/>
  <c r="Y97" i="11"/>
  <c r="X97" i="11"/>
  <c r="W97" i="11"/>
  <c r="V97" i="11"/>
  <c r="U97" i="11"/>
  <c r="T97" i="11"/>
  <c r="S97" i="11"/>
  <c r="R97" i="11"/>
  <c r="Q97" i="11"/>
  <c r="P97" i="11"/>
  <c r="O97" i="11"/>
  <c r="N97" i="11"/>
  <c r="M97" i="11"/>
  <c r="L97" i="11"/>
  <c r="K97" i="11"/>
  <c r="J97" i="11"/>
  <c r="I97" i="11"/>
  <c r="H97" i="11"/>
  <c r="G97" i="11"/>
  <c r="F97" i="11"/>
  <c r="E97" i="11"/>
  <c r="D97" i="11"/>
  <c r="C97" i="11"/>
  <c r="B97" i="11"/>
  <c r="AC96" i="11"/>
  <c r="AB96" i="11"/>
  <c r="AA96" i="11"/>
  <c r="Z96" i="11"/>
  <c r="Y96" i="11"/>
  <c r="X96" i="11"/>
  <c r="W96" i="11"/>
  <c r="V96" i="11"/>
  <c r="U96" i="11"/>
  <c r="T96" i="11"/>
  <c r="S96" i="11"/>
  <c r="R96" i="11"/>
  <c r="Q96" i="11"/>
  <c r="P96" i="11"/>
  <c r="O96" i="11"/>
  <c r="N96" i="11"/>
  <c r="M96" i="11"/>
  <c r="L96" i="11"/>
  <c r="K96" i="11"/>
  <c r="J96" i="11"/>
  <c r="I96" i="11"/>
  <c r="H96" i="11"/>
  <c r="G96" i="11"/>
  <c r="F96" i="11"/>
  <c r="E96" i="11"/>
  <c r="D96" i="11"/>
  <c r="C96" i="11"/>
  <c r="B96" i="11"/>
  <c r="AC95" i="11"/>
  <c r="AB95" i="11"/>
  <c r="AA95" i="11"/>
  <c r="Z95" i="11"/>
  <c r="Y95" i="11"/>
  <c r="X95" i="11"/>
  <c r="W95" i="11"/>
  <c r="V95" i="11"/>
  <c r="U95" i="11"/>
  <c r="T95" i="11"/>
  <c r="S95" i="11"/>
  <c r="R95" i="11"/>
  <c r="Q95" i="11"/>
  <c r="P95" i="11"/>
  <c r="O95" i="11"/>
  <c r="N95" i="11"/>
  <c r="M95" i="11"/>
  <c r="L95" i="11"/>
  <c r="K95" i="11"/>
  <c r="J95" i="11"/>
  <c r="I95" i="11"/>
  <c r="H95" i="11"/>
  <c r="G95" i="11"/>
  <c r="F95" i="11"/>
  <c r="E95" i="11"/>
  <c r="D95" i="11"/>
  <c r="C95" i="11"/>
  <c r="B95" i="11"/>
  <c r="AC94" i="11"/>
  <c r="AB94" i="11"/>
  <c r="AA94" i="11"/>
  <c r="Z94" i="11"/>
  <c r="Y94" i="11"/>
  <c r="X94" i="11"/>
  <c r="W94" i="11"/>
  <c r="V94" i="11"/>
  <c r="U94" i="11"/>
  <c r="T94" i="11"/>
  <c r="S94" i="11"/>
  <c r="R94" i="11"/>
  <c r="Q94" i="11"/>
  <c r="P94" i="11"/>
  <c r="O94" i="11"/>
  <c r="N94" i="11"/>
  <c r="M94" i="11"/>
  <c r="L94" i="11"/>
  <c r="K94" i="11"/>
  <c r="J94" i="11"/>
  <c r="I94" i="11"/>
  <c r="H94" i="11"/>
  <c r="G94" i="11"/>
  <c r="F94" i="11"/>
  <c r="E94" i="11"/>
  <c r="D94" i="11"/>
  <c r="C94" i="11"/>
  <c r="B94" i="11"/>
  <c r="AC93" i="11"/>
  <c r="AB93" i="11"/>
  <c r="AA93" i="11"/>
  <c r="Z93" i="11"/>
  <c r="Y93" i="11"/>
  <c r="X93" i="11"/>
  <c r="W93" i="11"/>
  <c r="V93" i="11"/>
  <c r="U93" i="11"/>
  <c r="T93" i="11"/>
  <c r="S93" i="11"/>
  <c r="R93" i="11"/>
  <c r="Q93" i="11"/>
  <c r="P93" i="11"/>
  <c r="O93" i="11"/>
  <c r="N93" i="11"/>
  <c r="M93" i="11"/>
  <c r="L93" i="11"/>
  <c r="K93" i="11"/>
  <c r="J93" i="11"/>
  <c r="I93" i="11"/>
  <c r="H93" i="11"/>
  <c r="G93" i="11"/>
  <c r="F93" i="11"/>
  <c r="E93" i="11"/>
  <c r="D93" i="11"/>
  <c r="C93" i="11"/>
  <c r="B93" i="11"/>
  <c r="AC92" i="11"/>
  <c r="AB92" i="11"/>
  <c r="AA92" i="11"/>
  <c r="Z92" i="11"/>
  <c r="Y92" i="11"/>
  <c r="X92" i="11"/>
  <c r="W92" i="11"/>
  <c r="V92" i="11"/>
  <c r="U92" i="11"/>
  <c r="T92" i="11"/>
  <c r="S92" i="11"/>
  <c r="R92" i="11"/>
  <c r="Q92" i="11"/>
  <c r="P92" i="11"/>
  <c r="O92" i="11"/>
  <c r="N92" i="11"/>
  <c r="M92" i="11"/>
  <c r="L92" i="11"/>
  <c r="K92" i="11"/>
  <c r="J92" i="11"/>
  <c r="I92" i="11"/>
  <c r="H92" i="11"/>
  <c r="G92" i="11"/>
  <c r="F92" i="11"/>
  <c r="E92" i="11"/>
  <c r="D92" i="11"/>
  <c r="C92" i="11"/>
  <c r="B92" i="11"/>
  <c r="AC91" i="11"/>
  <c r="AB91" i="11"/>
  <c r="AA91" i="11"/>
  <c r="Z91" i="11"/>
  <c r="Y91" i="11"/>
  <c r="X91" i="11"/>
  <c r="W91" i="11"/>
  <c r="V91" i="11"/>
  <c r="U91" i="11"/>
  <c r="T91" i="11"/>
  <c r="S91" i="11"/>
  <c r="R91" i="11"/>
  <c r="Q91" i="11"/>
  <c r="P91" i="11"/>
  <c r="O91" i="11"/>
  <c r="N91" i="11"/>
  <c r="M91" i="11"/>
  <c r="L91" i="11"/>
  <c r="K91" i="11"/>
  <c r="J91" i="11"/>
  <c r="I91" i="11"/>
  <c r="H91" i="11"/>
  <c r="G91" i="11"/>
  <c r="F91" i="11"/>
  <c r="E91" i="11"/>
  <c r="D91" i="11"/>
  <c r="C91" i="11"/>
  <c r="B91" i="11"/>
  <c r="AC90" i="11"/>
  <c r="AB90" i="11"/>
  <c r="AA90" i="11"/>
  <c r="Z90" i="11"/>
  <c r="Y90" i="11"/>
  <c r="X90" i="11"/>
  <c r="W90" i="11"/>
  <c r="V90" i="11"/>
  <c r="U90" i="11"/>
  <c r="T90" i="11"/>
  <c r="S90" i="11"/>
  <c r="R90" i="11"/>
  <c r="Q90" i="11"/>
  <c r="P90" i="11"/>
  <c r="O90" i="11"/>
  <c r="N90" i="11"/>
  <c r="M90" i="11"/>
  <c r="L90" i="11"/>
  <c r="K90" i="11"/>
  <c r="J90" i="11"/>
  <c r="I90" i="11"/>
  <c r="H90" i="11"/>
  <c r="G90" i="11"/>
  <c r="F90" i="11"/>
  <c r="E90" i="11"/>
  <c r="D90" i="11"/>
  <c r="C90" i="11"/>
  <c r="B90" i="11"/>
  <c r="AC89" i="11"/>
  <c r="AB89" i="11"/>
  <c r="AA89" i="11"/>
  <c r="Z89" i="11"/>
  <c r="Y89" i="11"/>
  <c r="X89" i="11"/>
  <c r="W89" i="11"/>
  <c r="V89" i="11"/>
  <c r="U89" i="11"/>
  <c r="T89" i="11"/>
  <c r="S89" i="11"/>
  <c r="R89" i="11"/>
  <c r="Q89" i="11"/>
  <c r="P89" i="11"/>
  <c r="O89" i="11"/>
  <c r="N89" i="11"/>
  <c r="M89" i="11"/>
  <c r="L89" i="11"/>
  <c r="K89" i="11"/>
  <c r="J89" i="11"/>
  <c r="I89" i="11"/>
  <c r="H89" i="11"/>
  <c r="G89" i="11"/>
  <c r="F89" i="11"/>
  <c r="E89" i="11"/>
  <c r="D89" i="11"/>
  <c r="C89" i="11"/>
  <c r="B89" i="11"/>
  <c r="AC88" i="11"/>
  <c r="AB88" i="11"/>
  <c r="AA88" i="11"/>
  <c r="Z88" i="11"/>
  <c r="Y88" i="11"/>
  <c r="X88" i="11"/>
  <c r="W88" i="11"/>
  <c r="V88" i="11"/>
  <c r="U88" i="11"/>
  <c r="T88" i="11"/>
  <c r="S88" i="11"/>
  <c r="R88" i="11"/>
  <c r="Q88" i="11"/>
  <c r="P88" i="11"/>
  <c r="O88" i="11"/>
  <c r="N88" i="11"/>
  <c r="M88" i="11"/>
  <c r="L88" i="11"/>
  <c r="K88" i="11"/>
  <c r="J88" i="11"/>
  <c r="I88" i="11"/>
  <c r="H88" i="11"/>
  <c r="G88" i="11"/>
  <c r="F88" i="11"/>
  <c r="E88" i="11"/>
  <c r="D88" i="11"/>
  <c r="C88" i="11"/>
  <c r="B88" i="11"/>
  <c r="AC87" i="11"/>
  <c r="AB87" i="11"/>
  <c r="AA87" i="11"/>
  <c r="Z87" i="11"/>
  <c r="Y87" i="11"/>
  <c r="X87" i="11"/>
  <c r="W87" i="11"/>
  <c r="V87" i="11"/>
  <c r="U87" i="11"/>
  <c r="T87" i="11"/>
  <c r="S87" i="11"/>
  <c r="R87" i="11"/>
  <c r="Q87" i="11"/>
  <c r="P87" i="11"/>
  <c r="O87" i="11"/>
  <c r="N87" i="11"/>
  <c r="M87" i="11"/>
  <c r="L87" i="11"/>
  <c r="K87" i="11"/>
  <c r="J87" i="11"/>
  <c r="I87" i="11"/>
  <c r="H87" i="11"/>
  <c r="G87" i="11"/>
  <c r="F87" i="11"/>
  <c r="E87" i="11"/>
  <c r="D87" i="11"/>
  <c r="C87" i="11"/>
  <c r="B87" i="11"/>
  <c r="AC86" i="11"/>
  <c r="AB86" i="11"/>
  <c r="AA86" i="11"/>
  <c r="Z86" i="11"/>
  <c r="Y86" i="11"/>
  <c r="X86" i="11"/>
  <c r="W86" i="11"/>
  <c r="V86" i="11"/>
  <c r="U86" i="11"/>
  <c r="T86" i="11"/>
  <c r="S86" i="11"/>
  <c r="R86" i="11"/>
  <c r="Q86" i="11"/>
  <c r="P86" i="11"/>
  <c r="O86" i="11"/>
  <c r="N86" i="11"/>
  <c r="M86" i="11"/>
  <c r="L86" i="11"/>
  <c r="K86" i="11"/>
  <c r="J86" i="11"/>
  <c r="I86" i="11"/>
  <c r="H86" i="11"/>
  <c r="G86" i="11"/>
  <c r="F86" i="11"/>
  <c r="E86" i="11"/>
  <c r="D86" i="11"/>
  <c r="C86" i="11"/>
  <c r="B86" i="11"/>
  <c r="AC85" i="11"/>
  <c r="AB85" i="11"/>
  <c r="AA85" i="11"/>
  <c r="Z85" i="11"/>
  <c r="Y85" i="11"/>
  <c r="X85" i="11"/>
  <c r="W85" i="11"/>
  <c r="V85" i="11"/>
  <c r="U85" i="11"/>
  <c r="T85" i="11"/>
  <c r="S85" i="11"/>
  <c r="R85" i="11"/>
  <c r="Q85" i="11"/>
  <c r="P85" i="11"/>
  <c r="O85" i="11"/>
  <c r="N85" i="11"/>
  <c r="M85" i="11"/>
  <c r="L85" i="11"/>
  <c r="K85" i="11"/>
  <c r="J85" i="11"/>
  <c r="I85" i="11"/>
  <c r="H85" i="11"/>
  <c r="G85" i="11"/>
  <c r="F85" i="11"/>
  <c r="E85" i="11"/>
  <c r="D85" i="11"/>
  <c r="C85" i="11"/>
  <c r="B85" i="11"/>
  <c r="AC84" i="11"/>
  <c r="AB84" i="11"/>
  <c r="AA84" i="11"/>
  <c r="Z84" i="11"/>
  <c r="Y84" i="11"/>
  <c r="X84" i="11"/>
  <c r="W84" i="11"/>
  <c r="V84" i="11"/>
  <c r="U84" i="11"/>
  <c r="T84" i="11"/>
  <c r="S84" i="11"/>
  <c r="R84" i="11"/>
  <c r="Q84" i="11"/>
  <c r="P84" i="11"/>
  <c r="O84" i="11"/>
  <c r="N84" i="11"/>
  <c r="M84" i="11"/>
  <c r="L84" i="11"/>
  <c r="K84" i="11"/>
  <c r="J84" i="11"/>
  <c r="I84" i="11"/>
  <c r="H84" i="11"/>
  <c r="G84" i="11"/>
  <c r="F84" i="11"/>
  <c r="E84" i="11"/>
  <c r="D84" i="11"/>
  <c r="C84" i="11"/>
  <c r="B84" i="11"/>
  <c r="AC83" i="11"/>
  <c r="AB83" i="11"/>
  <c r="AA83" i="11"/>
  <c r="Z83" i="11"/>
  <c r="Y83" i="11"/>
  <c r="X83" i="11"/>
  <c r="W83" i="11"/>
  <c r="V83" i="11"/>
  <c r="U83" i="11"/>
  <c r="T83" i="11"/>
  <c r="S83" i="11"/>
  <c r="R83" i="11"/>
  <c r="Q83" i="11"/>
  <c r="P83" i="11"/>
  <c r="O83" i="11"/>
  <c r="N83" i="11"/>
  <c r="M83" i="11"/>
  <c r="L83" i="11"/>
  <c r="K83" i="11"/>
  <c r="J83" i="11"/>
  <c r="I83" i="11"/>
  <c r="H83" i="11"/>
  <c r="G83" i="11"/>
  <c r="F83" i="11"/>
  <c r="E83" i="11"/>
  <c r="D83" i="11"/>
  <c r="C83" i="11"/>
  <c r="B83" i="11"/>
  <c r="AC82" i="11"/>
  <c r="AB82" i="11"/>
  <c r="AA82" i="11"/>
  <c r="Z82" i="11"/>
  <c r="Y82" i="11"/>
  <c r="X82" i="11"/>
  <c r="W82" i="11"/>
  <c r="V82" i="11"/>
  <c r="U82" i="11"/>
  <c r="T82" i="11"/>
  <c r="S82" i="11"/>
  <c r="R82" i="11"/>
  <c r="Q82" i="11"/>
  <c r="P82" i="11"/>
  <c r="O82" i="11"/>
  <c r="N82" i="11"/>
  <c r="M82" i="11"/>
  <c r="L82" i="11"/>
  <c r="K82" i="11"/>
  <c r="J82" i="11"/>
  <c r="I82" i="11"/>
  <c r="H82" i="11"/>
  <c r="G82" i="11"/>
  <c r="F82" i="11"/>
  <c r="E82" i="11"/>
  <c r="D82" i="11"/>
  <c r="C82" i="11"/>
  <c r="B82" i="11"/>
  <c r="AC81" i="11"/>
  <c r="AB81" i="11"/>
  <c r="AA81" i="11"/>
  <c r="Z81" i="11"/>
  <c r="Y81" i="11"/>
  <c r="X81" i="11"/>
  <c r="W81" i="11"/>
  <c r="V81" i="11"/>
  <c r="U81" i="11"/>
  <c r="T81" i="11"/>
  <c r="S81" i="11"/>
  <c r="R81" i="11"/>
  <c r="Q81" i="11"/>
  <c r="P81" i="11"/>
  <c r="O81" i="11"/>
  <c r="N81" i="11"/>
  <c r="M81" i="11"/>
  <c r="L81" i="11"/>
  <c r="K81" i="11"/>
  <c r="J81" i="11"/>
  <c r="I81" i="11"/>
  <c r="H81" i="11"/>
  <c r="G81" i="11"/>
  <c r="F81" i="11"/>
  <c r="E81" i="11"/>
  <c r="D81" i="11"/>
  <c r="C81" i="11"/>
  <c r="B81" i="11"/>
  <c r="AC80" i="11"/>
  <c r="AB80" i="11"/>
  <c r="AA80" i="11"/>
  <c r="Z80" i="11"/>
  <c r="Y80" i="11"/>
  <c r="X80" i="11"/>
  <c r="W80" i="11"/>
  <c r="V80" i="11"/>
  <c r="U80" i="11"/>
  <c r="T80" i="11"/>
  <c r="S80" i="11"/>
  <c r="R80" i="11"/>
  <c r="Q80" i="11"/>
  <c r="P80" i="11"/>
  <c r="O80" i="11"/>
  <c r="N80" i="11"/>
  <c r="M80" i="11"/>
  <c r="L80" i="11"/>
  <c r="K80" i="11"/>
  <c r="J80" i="11"/>
  <c r="I80" i="11"/>
  <c r="H80" i="11"/>
  <c r="G80" i="11"/>
  <c r="F80" i="11"/>
  <c r="E80" i="11"/>
  <c r="D80" i="11"/>
  <c r="C80" i="11"/>
  <c r="B80" i="11"/>
  <c r="AC79" i="11"/>
  <c r="AB79" i="11"/>
  <c r="AA79" i="11"/>
  <c r="Z79" i="11"/>
  <c r="Y79" i="11"/>
  <c r="X79" i="11"/>
  <c r="W79" i="11"/>
  <c r="V79" i="11"/>
  <c r="U79" i="11"/>
  <c r="T79" i="11"/>
  <c r="S79" i="11"/>
  <c r="R79" i="11"/>
  <c r="Q79" i="11"/>
  <c r="P79" i="11"/>
  <c r="O79" i="11"/>
  <c r="N79" i="11"/>
  <c r="M79" i="11"/>
  <c r="L79" i="11"/>
  <c r="K79" i="11"/>
  <c r="J79" i="11"/>
  <c r="I79" i="11"/>
  <c r="H79" i="11"/>
  <c r="G79" i="11"/>
  <c r="F79" i="11"/>
  <c r="E79" i="11"/>
  <c r="D79" i="11"/>
  <c r="C79" i="11"/>
  <c r="B79" i="11"/>
  <c r="AC78" i="11"/>
  <c r="AB78" i="11"/>
  <c r="AA78" i="11"/>
  <c r="Z78" i="11"/>
  <c r="Y78" i="11"/>
  <c r="X78" i="11"/>
  <c r="W78" i="11"/>
  <c r="V78" i="11"/>
  <c r="U78" i="11"/>
  <c r="T78" i="11"/>
  <c r="S78" i="11"/>
  <c r="R78" i="11"/>
  <c r="Q78" i="11"/>
  <c r="P78" i="11"/>
  <c r="O78" i="11"/>
  <c r="N78" i="11"/>
  <c r="M78" i="11"/>
  <c r="L78" i="11"/>
  <c r="K78" i="11"/>
  <c r="J78" i="11"/>
  <c r="I78" i="11"/>
  <c r="H78" i="11"/>
  <c r="G78" i="11"/>
  <c r="F78" i="11"/>
  <c r="E78" i="11"/>
  <c r="D78" i="11"/>
  <c r="C78" i="11"/>
  <c r="B78" i="11"/>
  <c r="AC77" i="11"/>
  <c r="AB77" i="11"/>
  <c r="AA77" i="11"/>
  <c r="Z77" i="11"/>
  <c r="Y77" i="11"/>
  <c r="X77" i="11"/>
  <c r="W77" i="11"/>
  <c r="V77" i="11"/>
  <c r="U77" i="11"/>
  <c r="T77" i="11"/>
  <c r="S77" i="11"/>
  <c r="R77" i="11"/>
  <c r="Q77" i="11"/>
  <c r="P77" i="11"/>
  <c r="O77" i="11"/>
  <c r="N77" i="11"/>
  <c r="M77" i="11"/>
  <c r="L77" i="11"/>
  <c r="K77" i="11"/>
  <c r="J77" i="11"/>
  <c r="I77" i="11"/>
  <c r="H77" i="11"/>
  <c r="G77" i="11"/>
  <c r="F77" i="11"/>
  <c r="E77" i="11"/>
  <c r="D77" i="11"/>
  <c r="C77" i="11"/>
  <c r="B77" i="11"/>
  <c r="AC76" i="11"/>
  <c r="AB76" i="11"/>
  <c r="AA76" i="11"/>
  <c r="Z76" i="11"/>
  <c r="Y76" i="11"/>
  <c r="X76" i="11"/>
  <c r="W76" i="11"/>
  <c r="V76" i="11"/>
  <c r="U76" i="11"/>
  <c r="T76" i="11"/>
  <c r="S76" i="11"/>
  <c r="R76" i="11"/>
  <c r="Q76" i="11"/>
  <c r="P76" i="11"/>
  <c r="O76" i="11"/>
  <c r="N76" i="11"/>
  <c r="M76" i="11"/>
  <c r="L76" i="11"/>
  <c r="K76" i="11"/>
  <c r="J76" i="11"/>
  <c r="I76" i="11"/>
  <c r="H76" i="11"/>
  <c r="G76" i="11"/>
  <c r="F76" i="11"/>
  <c r="E76" i="11"/>
  <c r="D76" i="11"/>
  <c r="C76" i="11"/>
  <c r="B76" i="11"/>
  <c r="AC75" i="11"/>
  <c r="AB75" i="11"/>
  <c r="AA75" i="11"/>
  <c r="Z75" i="11"/>
  <c r="Y75" i="11"/>
  <c r="X75" i="11"/>
  <c r="W75" i="11"/>
  <c r="V75" i="11"/>
  <c r="U75" i="11"/>
  <c r="T75" i="11"/>
  <c r="S75" i="11"/>
  <c r="R75" i="11"/>
  <c r="Q75" i="11"/>
  <c r="P75" i="11"/>
  <c r="O75" i="11"/>
  <c r="N75" i="11"/>
  <c r="M75" i="11"/>
  <c r="L75" i="11"/>
  <c r="K75" i="11"/>
  <c r="J75" i="11"/>
  <c r="I75" i="11"/>
  <c r="H75" i="11"/>
  <c r="G75" i="11"/>
  <c r="F75" i="11"/>
  <c r="E75" i="11"/>
  <c r="D75" i="11"/>
  <c r="C75" i="11"/>
  <c r="B75" i="11"/>
  <c r="AC74" i="11"/>
  <c r="AB74" i="11"/>
  <c r="AA74" i="11"/>
  <c r="Z74" i="11"/>
  <c r="Y74" i="11"/>
  <c r="X74" i="11"/>
  <c r="W74" i="11"/>
  <c r="V74" i="11"/>
  <c r="U74" i="11"/>
  <c r="T74" i="11"/>
  <c r="S74" i="11"/>
  <c r="R74" i="11"/>
  <c r="Q74" i="11"/>
  <c r="P74" i="11"/>
  <c r="O74" i="11"/>
  <c r="N74" i="11"/>
  <c r="M74" i="11"/>
  <c r="L74" i="11"/>
  <c r="K74" i="11"/>
  <c r="J74" i="11"/>
  <c r="I74" i="11"/>
  <c r="H74" i="11"/>
  <c r="G74" i="11"/>
  <c r="F74" i="11"/>
  <c r="E74" i="11"/>
  <c r="D74" i="11"/>
  <c r="C74" i="11"/>
  <c r="B74" i="11"/>
  <c r="AC73" i="11"/>
  <c r="AB73" i="11"/>
  <c r="AA73" i="11"/>
  <c r="Z73" i="11"/>
  <c r="Y73" i="11"/>
  <c r="X73" i="11"/>
  <c r="W73" i="11"/>
  <c r="V73" i="11"/>
  <c r="U73" i="11"/>
  <c r="T73" i="11"/>
  <c r="S73" i="11"/>
  <c r="R73" i="11"/>
  <c r="Q73" i="11"/>
  <c r="P73" i="11"/>
  <c r="O73" i="11"/>
  <c r="N73" i="11"/>
  <c r="M73" i="11"/>
  <c r="L73" i="11"/>
  <c r="K73" i="11"/>
  <c r="J73" i="11"/>
  <c r="I73" i="11"/>
  <c r="H73" i="11"/>
  <c r="G73" i="11"/>
  <c r="F73" i="11"/>
  <c r="E73" i="11"/>
  <c r="D73" i="11"/>
  <c r="C73" i="11"/>
  <c r="B73" i="11"/>
  <c r="AC72" i="11"/>
  <c r="AB72" i="11"/>
  <c r="AA72" i="11"/>
  <c r="Z72" i="11"/>
  <c r="Y72" i="11"/>
  <c r="X72" i="11"/>
  <c r="W72" i="11"/>
  <c r="V72" i="11"/>
  <c r="U72" i="11"/>
  <c r="T72" i="11"/>
  <c r="S72" i="11"/>
  <c r="R72" i="11"/>
  <c r="Q72" i="11"/>
  <c r="P72" i="11"/>
  <c r="O72" i="11"/>
  <c r="N72" i="11"/>
  <c r="M72" i="11"/>
  <c r="L72" i="11"/>
  <c r="K72" i="11"/>
  <c r="J72" i="11"/>
  <c r="I72" i="11"/>
  <c r="H72" i="11"/>
  <c r="G72" i="11"/>
  <c r="F72" i="11"/>
  <c r="E72" i="11"/>
  <c r="D72" i="11"/>
  <c r="C72" i="11"/>
  <c r="B72" i="11"/>
  <c r="AC71" i="11"/>
  <c r="AB71" i="11"/>
  <c r="AA71" i="11"/>
  <c r="Z71" i="11"/>
  <c r="Y71" i="11"/>
  <c r="X71" i="11"/>
  <c r="W71" i="11"/>
  <c r="V71" i="11"/>
  <c r="U71" i="11"/>
  <c r="T71" i="11"/>
  <c r="S71" i="11"/>
  <c r="R71" i="11"/>
  <c r="Q71" i="11"/>
  <c r="P71" i="11"/>
  <c r="O71" i="11"/>
  <c r="N71" i="11"/>
  <c r="M71" i="11"/>
  <c r="L71" i="11"/>
  <c r="K71" i="11"/>
  <c r="J71" i="11"/>
  <c r="I71" i="11"/>
  <c r="H71" i="11"/>
  <c r="G71" i="11"/>
  <c r="F71" i="11"/>
  <c r="E71" i="11"/>
  <c r="D71" i="11"/>
  <c r="C71" i="11"/>
  <c r="B71" i="11"/>
  <c r="AC70" i="11"/>
  <c r="AB70" i="11"/>
  <c r="AA70" i="11"/>
  <c r="Z70" i="11"/>
  <c r="Y70" i="11"/>
  <c r="X70" i="11"/>
  <c r="W70" i="11"/>
  <c r="V70" i="11"/>
  <c r="U70" i="11"/>
  <c r="T70" i="11"/>
  <c r="S70" i="11"/>
  <c r="R70" i="11"/>
  <c r="Q70" i="11"/>
  <c r="P70" i="11"/>
  <c r="O70" i="11"/>
  <c r="N70" i="11"/>
  <c r="M70" i="11"/>
  <c r="L70" i="11"/>
  <c r="K70" i="11"/>
  <c r="J70" i="11"/>
  <c r="I70" i="11"/>
  <c r="H70" i="11"/>
  <c r="G70" i="11"/>
  <c r="F70" i="11"/>
  <c r="E70" i="11"/>
  <c r="D70" i="11"/>
  <c r="C70" i="11"/>
  <c r="B70" i="11"/>
  <c r="AC69" i="11"/>
  <c r="AB69" i="11"/>
  <c r="AA69" i="11"/>
  <c r="Z69" i="11"/>
  <c r="Y69" i="11"/>
  <c r="X69" i="11"/>
  <c r="W69" i="11"/>
  <c r="V69" i="11"/>
  <c r="U69" i="11"/>
  <c r="T69" i="11"/>
  <c r="S69" i="11"/>
  <c r="R69" i="11"/>
  <c r="Q69" i="11"/>
  <c r="P69" i="11"/>
  <c r="O69" i="11"/>
  <c r="N69" i="11"/>
  <c r="M69" i="11"/>
  <c r="L69" i="11"/>
  <c r="K69" i="11"/>
  <c r="J69" i="11"/>
  <c r="I69" i="11"/>
  <c r="H69" i="11"/>
  <c r="G69" i="11"/>
  <c r="F69" i="11"/>
  <c r="E69" i="11"/>
  <c r="D69" i="11"/>
  <c r="C69" i="11"/>
  <c r="B69" i="11"/>
  <c r="AC68" i="11"/>
  <c r="AB68" i="11"/>
  <c r="AA68" i="11"/>
  <c r="Z68" i="11"/>
  <c r="Y68" i="11"/>
  <c r="X68" i="11"/>
  <c r="W68" i="11"/>
  <c r="V68" i="11"/>
  <c r="U68" i="11"/>
  <c r="T68" i="11"/>
  <c r="S68" i="11"/>
  <c r="R68" i="11"/>
  <c r="Q68" i="11"/>
  <c r="P68" i="11"/>
  <c r="O68" i="11"/>
  <c r="N68" i="11"/>
  <c r="M68" i="11"/>
  <c r="L68" i="11"/>
  <c r="K68" i="11"/>
  <c r="J68" i="11"/>
  <c r="I68" i="11"/>
  <c r="H68" i="11"/>
  <c r="G68" i="11"/>
  <c r="F68" i="11"/>
  <c r="E68" i="11"/>
  <c r="D68" i="11"/>
  <c r="C68" i="11"/>
  <c r="B68" i="11"/>
  <c r="AC67" i="11"/>
  <c r="AB67" i="11"/>
  <c r="AA67" i="11"/>
  <c r="Z67" i="11"/>
  <c r="Y67" i="11"/>
  <c r="X67" i="11"/>
  <c r="W67" i="11"/>
  <c r="V67" i="11"/>
  <c r="U67" i="11"/>
  <c r="T67" i="11"/>
  <c r="S67" i="11"/>
  <c r="R67" i="11"/>
  <c r="Q67" i="11"/>
  <c r="P67" i="11"/>
  <c r="O67" i="11"/>
  <c r="N67" i="11"/>
  <c r="M67" i="11"/>
  <c r="L67" i="11"/>
  <c r="K67" i="11"/>
  <c r="J67" i="11"/>
  <c r="I67" i="11"/>
  <c r="H67" i="11"/>
  <c r="G67" i="11"/>
  <c r="F67" i="11"/>
  <c r="E67" i="11"/>
  <c r="D67" i="11"/>
  <c r="C67" i="11"/>
  <c r="B67" i="11"/>
  <c r="AC66" i="11"/>
  <c r="AB66" i="11"/>
  <c r="AA66" i="11"/>
  <c r="Z66" i="11"/>
  <c r="Y66" i="11"/>
  <c r="X66" i="11"/>
  <c r="W66" i="11"/>
  <c r="V66" i="11"/>
  <c r="U66" i="11"/>
  <c r="T66" i="11"/>
  <c r="S66" i="11"/>
  <c r="R66" i="11"/>
  <c r="Q66" i="11"/>
  <c r="P66" i="11"/>
  <c r="O66" i="11"/>
  <c r="N66" i="11"/>
  <c r="M66" i="11"/>
  <c r="L66" i="11"/>
  <c r="K66" i="11"/>
  <c r="J66" i="11"/>
  <c r="I66" i="11"/>
  <c r="H66" i="11"/>
  <c r="G66" i="11"/>
  <c r="F66" i="11"/>
  <c r="E66" i="11"/>
  <c r="D66" i="11"/>
  <c r="C66" i="11"/>
  <c r="B66" i="11"/>
  <c r="AC65" i="11"/>
  <c r="AB65" i="11"/>
  <c r="AA65" i="11"/>
  <c r="Z65" i="11"/>
  <c r="Y65" i="11"/>
  <c r="X65" i="11"/>
  <c r="W65" i="11"/>
  <c r="V65" i="11"/>
  <c r="U65" i="11"/>
  <c r="T65" i="11"/>
  <c r="S65" i="11"/>
  <c r="R65" i="11"/>
  <c r="Q65" i="11"/>
  <c r="P65" i="11"/>
  <c r="O65" i="11"/>
  <c r="N65" i="11"/>
  <c r="M65" i="11"/>
  <c r="L65" i="11"/>
  <c r="K65" i="11"/>
  <c r="J65" i="11"/>
  <c r="I65" i="11"/>
  <c r="H65" i="11"/>
  <c r="G65" i="11"/>
  <c r="F65" i="11"/>
  <c r="E65" i="11"/>
  <c r="D65" i="11"/>
  <c r="C65" i="11"/>
  <c r="B65" i="11"/>
  <c r="AC64" i="11"/>
  <c r="AB64" i="11"/>
  <c r="AA64" i="11"/>
  <c r="Z64" i="11"/>
  <c r="Y64" i="11"/>
  <c r="X64" i="11"/>
  <c r="W64" i="11"/>
  <c r="V64" i="11"/>
  <c r="U64" i="11"/>
  <c r="T64" i="11"/>
  <c r="S64" i="11"/>
  <c r="R64" i="11"/>
  <c r="Q64" i="11"/>
  <c r="P64" i="11"/>
  <c r="O64" i="11"/>
  <c r="N64" i="11"/>
  <c r="M64" i="11"/>
  <c r="L64" i="11"/>
  <c r="K64" i="11"/>
  <c r="J64" i="11"/>
  <c r="I64" i="11"/>
  <c r="H64" i="11"/>
  <c r="G64" i="11"/>
  <c r="F64" i="11"/>
  <c r="E64" i="11"/>
  <c r="D64" i="11"/>
  <c r="C64" i="11"/>
  <c r="B64" i="11"/>
  <c r="AC63" i="11"/>
  <c r="AB63" i="11"/>
  <c r="AA63" i="11"/>
  <c r="Z63" i="11"/>
  <c r="Y63" i="11"/>
  <c r="X63" i="11"/>
  <c r="W63" i="11"/>
  <c r="V63" i="11"/>
  <c r="U63" i="11"/>
  <c r="T63" i="11"/>
  <c r="S63" i="11"/>
  <c r="R63" i="11"/>
  <c r="Q63" i="11"/>
  <c r="P63" i="11"/>
  <c r="O63" i="11"/>
  <c r="N63" i="11"/>
  <c r="M63" i="11"/>
  <c r="L63" i="11"/>
  <c r="K63" i="11"/>
  <c r="J63" i="11"/>
  <c r="I63" i="11"/>
  <c r="H63" i="11"/>
  <c r="G63" i="11"/>
  <c r="F63" i="11"/>
  <c r="E63" i="11"/>
  <c r="D63" i="11"/>
  <c r="C63" i="11"/>
  <c r="B63" i="11"/>
  <c r="AC62" i="11"/>
  <c r="AB62" i="11"/>
  <c r="AA62" i="11"/>
  <c r="Z62" i="11"/>
  <c r="Y62" i="11"/>
  <c r="X62" i="11"/>
  <c r="W62" i="11"/>
  <c r="V62" i="11"/>
  <c r="U62" i="11"/>
  <c r="T62" i="11"/>
  <c r="S62" i="11"/>
  <c r="R62" i="11"/>
  <c r="Q62" i="11"/>
  <c r="P62" i="11"/>
  <c r="O62" i="11"/>
  <c r="N62" i="11"/>
  <c r="M62" i="11"/>
  <c r="L62" i="11"/>
  <c r="K62" i="11"/>
  <c r="J62" i="11"/>
  <c r="I62" i="11"/>
  <c r="H62" i="11"/>
  <c r="G62" i="11"/>
  <c r="F62" i="11"/>
  <c r="E62" i="11"/>
  <c r="D62" i="11"/>
  <c r="C62" i="11"/>
  <c r="B62" i="11"/>
  <c r="AC61" i="11"/>
  <c r="AB61" i="11"/>
  <c r="AA61" i="11"/>
  <c r="Z61" i="11"/>
  <c r="Y61" i="11"/>
  <c r="X61" i="11"/>
  <c r="W61" i="11"/>
  <c r="V61" i="11"/>
  <c r="U61" i="11"/>
  <c r="T61" i="11"/>
  <c r="S61" i="11"/>
  <c r="R61" i="11"/>
  <c r="Q61" i="11"/>
  <c r="P61" i="11"/>
  <c r="O61" i="11"/>
  <c r="N61" i="11"/>
  <c r="M61" i="11"/>
  <c r="L61" i="11"/>
  <c r="K61" i="11"/>
  <c r="J61" i="11"/>
  <c r="I61" i="11"/>
  <c r="H61" i="11"/>
  <c r="G61" i="11"/>
  <c r="F61" i="11"/>
  <c r="E61" i="11"/>
  <c r="D61" i="11"/>
  <c r="C61" i="11"/>
  <c r="B61" i="11"/>
  <c r="AC60" i="11"/>
  <c r="AB60" i="11"/>
  <c r="AA60" i="11"/>
  <c r="Z60" i="11"/>
  <c r="Y60" i="11"/>
  <c r="X60" i="11"/>
  <c r="W60" i="11"/>
  <c r="V60" i="11"/>
  <c r="U60" i="11"/>
  <c r="T60" i="11"/>
  <c r="S60" i="11"/>
  <c r="R60" i="11"/>
  <c r="Q60" i="11"/>
  <c r="P60" i="11"/>
  <c r="O60" i="11"/>
  <c r="N60" i="11"/>
  <c r="M60" i="11"/>
  <c r="L60" i="11"/>
  <c r="K60" i="11"/>
  <c r="J60" i="11"/>
  <c r="I60" i="11"/>
  <c r="H60" i="11"/>
  <c r="G60" i="11"/>
  <c r="F60" i="11"/>
  <c r="E60" i="11"/>
  <c r="D60" i="11"/>
  <c r="C60" i="11"/>
  <c r="B60" i="11"/>
  <c r="AC59" i="11"/>
  <c r="AB59" i="11"/>
  <c r="AA59" i="11"/>
  <c r="Z59" i="11"/>
  <c r="Y59" i="11"/>
  <c r="X59" i="11"/>
  <c r="W59" i="11"/>
  <c r="V59" i="11"/>
  <c r="U59" i="11"/>
  <c r="T59" i="11"/>
  <c r="S59" i="11"/>
  <c r="R59" i="11"/>
  <c r="Q59" i="11"/>
  <c r="P59" i="11"/>
  <c r="O59" i="11"/>
  <c r="N59" i="11"/>
  <c r="M59" i="11"/>
  <c r="L59" i="11"/>
  <c r="K59" i="11"/>
  <c r="J59" i="11"/>
  <c r="I59" i="11"/>
  <c r="H59" i="11"/>
  <c r="G59" i="11"/>
  <c r="F59" i="11"/>
  <c r="E59" i="11"/>
  <c r="D59" i="11"/>
  <c r="C59" i="11"/>
  <c r="B59" i="11"/>
  <c r="AC58" i="11"/>
  <c r="AB58" i="11"/>
  <c r="AA58" i="11"/>
  <c r="Z58" i="11"/>
  <c r="Y58" i="11"/>
  <c r="X58" i="11"/>
  <c r="W58" i="11"/>
  <c r="V58" i="11"/>
  <c r="U58" i="11"/>
  <c r="T58" i="11"/>
  <c r="S58" i="11"/>
  <c r="R58" i="11"/>
  <c r="Q58" i="11"/>
  <c r="P58" i="11"/>
  <c r="O58" i="11"/>
  <c r="N58" i="11"/>
  <c r="M58" i="11"/>
  <c r="L58" i="11"/>
  <c r="K58" i="11"/>
  <c r="J58" i="11"/>
  <c r="I58" i="11"/>
  <c r="H58" i="11"/>
  <c r="G58" i="11"/>
  <c r="F58" i="11"/>
  <c r="E58" i="11"/>
  <c r="D58" i="11"/>
  <c r="C58" i="11"/>
  <c r="B58" i="11"/>
  <c r="AC57" i="11"/>
  <c r="AB57" i="11"/>
  <c r="AA57" i="11"/>
  <c r="Z57" i="11"/>
  <c r="Y57" i="11"/>
  <c r="X57" i="11"/>
  <c r="W57" i="11"/>
  <c r="V57" i="11"/>
  <c r="U57" i="11"/>
  <c r="T57" i="11"/>
  <c r="S57" i="11"/>
  <c r="R57" i="11"/>
  <c r="Q57" i="11"/>
  <c r="P57" i="11"/>
  <c r="O57" i="11"/>
  <c r="N57" i="11"/>
  <c r="M57" i="11"/>
  <c r="L57" i="11"/>
  <c r="K57" i="11"/>
  <c r="J57" i="11"/>
  <c r="I57" i="11"/>
  <c r="H57" i="11"/>
  <c r="G57" i="11"/>
  <c r="F57" i="11"/>
  <c r="E57" i="11"/>
  <c r="D57" i="11"/>
  <c r="C57" i="11"/>
  <c r="B57" i="11"/>
  <c r="AC56" i="11"/>
  <c r="AB56" i="11"/>
  <c r="AA56" i="11"/>
  <c r="Z56" i="11"/>
  <c r="Y56" i="11"/>
  <c r="X56" i="11"/>
  <c r="W56" i="11"/>
  <c r="V56" i="11"/>
  <c r="U56" i="11"/>
  <c r="T56" i="11"/>
  <c r="S56" i="11"/>
  <c r="R56" i="11"/>
  <c r="Q56" i="11"/>
  <c r="P56" i="11"/>
  <c r="O56" i="11"/>
  <c r="N56" i="11"/>
  <c r="M56" i="11"/>
  <c r="L56" i="11"/>
  <c r="K56" i="11"/>
  <c r="J56" i="11"/>
  <c r="I56" i="11"/>
  <c r="H56" i="11"/>
  <c r="G56" i="11"/>
  <c r="F56" i="11"/>
  <c r="E56" i="11"/>
  <c r="D56" i="11"/>
  <c r="C56" i="11"/>
  <c r="B56" i="11"/>
  <c r="AC55" i="11"/>
  <c r="AB55" i="11"/>
  <c r="AA55" i="11"/>
  <c r="Z55" i="11"/>
  <c r="Y55" i="11"/>
  <c r="X55" i="11"/>
  <c r="W55" i="11"/>
  <c r="V55" i="11"/>
  <c r="U55" i="11"/>
  <c r="T55" i="11"/>
  <c r="S55" i="11"/>
  <c r="R55" i="11"/>
  <c r="Q55" i="11"/>
  <c r="P55" i="11"/>
  <c r="O55" i="11"/>
  <c r="N55" i="11"/>
  <c r="M55" i="11"/>
  <c r="L55" i="11"/>
  <c r="K55" i="11"/>
  <c r="J55" i="11"/>
  <c r="I55" i="11"/>
  <c r="H55" i="11"/>
  <c r="G55" i="11"/>
  <c r="F55" i="11"/>
  <c r="E55" i="11"/>
  <c r="D55" i="11"/>
  <c r="C55" i="11"/>
  <c r="B55" i="11"/>
  <c r="AC54" i="11"/>
  <c r="AB54" i="11"/>
  <c r="AA54" i="11"/>
  <c r="Z54" i="11"/>
  <c r="Y54" i="11"/>
  <c r="X54" i="11"/>
  <c r="W54" i="11"/>
  <c r="V54" i="11"/>
  <c r="U54" i="11"/>
  <c r="T54" i="11"/>
  <c r="S54" i="11"/>
  <c r="R54" i="11"/>
  <c r="Q54" i="11"/>
  <c r="P54" i="11"/>
  <c r="O54" i="11"/>
  <c r="N54" i="11"/>
  <c r="M54" i="11"/>
  <c r="L54" i="11"/>
  <c r="K54" i="11"/>
  <c r="J54" i="11"/>
  <c r="I54" i="11"/>
  <c r="H54" i="11"/>
  <c r="G54" i="11"/>
  <c r="F54" i="11"/>
  <c r="E54" i="11"/>
  <c r="D54" i="11"/>
  <c r="C54" i="11"/>
  <c r="B54" i="11"/>
  <c r="AC53" i="11"/>
  <c r="AB53" i="11"/>
  <c r="AA53" i="11"/>
  <c r="Z53" i="11"/>
  <c r="Y53" i="11"/>
  <c r="X53" i="11"/>
  <c r="W53" i="11"/>
  <c r="V53" i="11"/>
  <c r="U53" i="11"/>
  <c r="T53" i="11"/>
  <c r="S53" i="11"/>
  <c r="R53" i="11"/>
  <c r="Q53" i="11"/>
  <c r="P53" i="11"/>
  <c r="O53" i="11"/>
  <c r="N53" i="11"/>
  <c r="M53" i="11"/>
  <c r="L53" i="11"/>
  <c r="K53" i="11"/>
  <c r="J53" i="11"/>
  <c r="I53" i="11"/>
  <c r="H53" i="11"/>
  <c r="G53" i="11"/>
  <c r="F53" i="11"/>
  <c r="E53" i="11"/>
  <c r="D53" i="11"/>
  <c r="C53" i="11"/>
  <c r="B53" i="11"/>
  <c r="AC52" i="11"/>
  <c r="AB52" i="11"/>
  <c r="AA52" i="11"/>
  <c r="Z52" i="11"/>
  <c r="Y52" i="11"/>
  <c r="X52" i="11"/>
  <c r="W52" i="11"/>
  <c r="V52" i="11"/>
  <c r="U52" i="11"/>
  <c r="T52" i="11"/>
  <c r="S52" i="11"/>
  <c r="R52" i="11"/>
  <c r="Q52" i="11"/>
  <c r="P52" i="11"/>
  <c r="O52" i="11"/>
  <c r="N52" i="11"/>
  <c r="M52" i="11"/>
  <c r="L52" i="11"/>
  <c r="K52" i="11"/>
  <c r="J52" i="11"/>
  <c r="I52" i="11"/>
  <c r="H52" i="11"/>
  <c r="G52" i="11"/>
  <c r="F52" i="11"/>
  <c r="E52" i="11"/>
  <c r="D52" i="11"/>
  <c r="C52" i="11"/>
  <c r="B52" i="11"/>
  <c r="AC51" i="11"/>
  <c r="AB51" i="11"/>
  <c r="AA51" i="11"/>
  <c r="Z51" i="11"/>
  <c r="Y51" i="11"/>
  <c r="X51" i="11"/>
  <c r="W51" i="11"/>
  <c r="V51" i="11"/>
  <c r="U51" i="11"/>
  <c r="T51" i="11"/>
  <c r="S51" i="11"/>
  <c r="R51" i="11"/>
  <c r="Q51" i="11"/>
  <c r="P51" i="11"/>
  <c r="O51" i="11"/>
  <c r="N51" i="11"/>
  <c r="M51" i="11"/>
  <c r="L51" i="11"/>
  <c r="K51" i="11"/>
  <c r="J51" i="11"/>
  <c r="I51" i="11"/>
  <c r="H51" i="11"/>
  <c r="G51" i="11"/>
  <c r="F51" i="11"/>
  <c r="E51" i="11"/>
  <c r="D51" i="11"/>
  <c r="C51" i="11"/>
  <c r="B51" i="11"/>
  <c r="AC50" i="11"/>
  <c r="AB50" i="11"/>
  <c r="AA50" i="11"/>
  <c r="Z50" i="11"/>
  <c r="Y50" i="11"/>
  <c r="X50" i="11"/>
  <c r="W50" i="11"/>
  <c r="V50" i="11"/>
  <c r="U50" i="11"/>
  <c r="T50" i="11"/>
  <c r="S50" i="11"/>
  <c r="R50" i="11"/>
  <c r="Q50" i="11"/>
  <c r="P50" i="11"/>
  <c r="O50" i="11"/>
  <c r="N50" i="11"/>
  <c r="M50" i="11"/>
  <c r="L50" i="11"/>
  <c r="K50" i="11"/>
  <c r="J50" i="11"/>
  <c r="I50" i="11"/>
  <c r="H50" i="11"/>
  <c r="G50" i="11"/>
  <c r="F50" i="11"/>
  <c r="E50" i="11"/>
  <c r="D50" i="11"/>
  <c r="C50" i="11"/>
  <c r="B50" i="11"/>
  <c r="AC49" i="11"/>
  <c r="AB49" i="11"/>
  <c r="AA49" i="11"/>
  <c r="Z49" i="11"/>
  <c r="Y49" i="11"/>
  <c r="X49" i="11"/>
  <c r="W49" i="11"/>
  <c r="V49" i="11"/>
  <c r="U49" i="11"/>
  <c r="T49" i="11"/>
  <c r="S49" i="11"/>
  <c r="R49" i="11"/>
  <c r="Q49" i="11"/>
  <c r="P49" i="11"/>
  <c r="O49" i="11"/>
  <c r="N49" i="11"/>
  <c r="M49" i="11"/>
  <c r="L49" i="11"/>
  <c r="K49" i="11"/>
  <c r="J49" i="11"/>
  <c r="I49" i="11"/>
  <c r="H49" i="11"/>
  <c r="G49" i="11"/>
  <c r="F49" i="11"/>
  <c r="E49" i="11"/>
  <c r="D49" i="11"/>
  <c r="C49" i="11"/>
  <c r="B49" i="11"/>
  <c r="AC48" i="11"/>
  <c r="AB48" i="11"/>
  <c r="AA48" i="11"/>
  <c r="Z48" i="11"/>
  <c r="Y48" i="11"/>
  <c r="X48" i="11"/>
  <c r="W48" i="11"/>
  <c r="V48" i="11"/>
  <c r="U48" i="11"/>
  <c r="T48" i="11"/>
  <c r="S48" i="11"/>
  <c r="R48" i="11"/>
  <c r="Q48" i="11"/>
  <c r="P48" i="11"/>
  <c r="O48" i="11"/>
  <c r="N48" i="11"/>
  <c r="M48" i="11"/>
  <c r="L48" i="11"/>
  <c r="K48" i="11"/>
  <c r="J48" i="11"/>
  <c r="I48" i="11"/>
  <c r="H48" i="11"/>
  <c r="G48" i="11"/>
  <c r="F48" i="11"/>
  <c r="E48" i="11"/>
  <c r="D48" i="11"/>
  <c r="C48" i="11"/>
  <c r="B48" i="11"/>
  <c r="AC47" i="11"/>
  <c r="AB47" i="11"/>
  <c r="AA47" i="11"/>
  <c r="Z47" i="11"/>
  <c r="Y47" i="11"/>
  <c r="X47" i="11"/>
  <c r="W47" i="11"/>
  <c r="V47" i="11"/>
  <c r="U47" i="11"/>
  <c r="T47" i="11"/>
  <c r="S47" i="11"/>
  <c r="R47" i="11"/>
  <c r="Q47" i="11"/>
  <c r="P47" i="11"/>
  <c r="O47" i="11"/>
  <c r="N47" i="11"/>
  <c r="M47" i="11"/>
  <c r="L47" i="11"/>
  <c r="K47" i="11"/>
  <c r="J47" i="11"/>
  <c r="I47" i="11"/>
  <c r="H47" i="11"/>
  <c r="G47" i="11"/>
  <c r="F47" i="11"/>
  <c r="E47" i="11"/>
  <c r="D47" i="11"/>
  <c r="C47" i="11"/>
  <c r="B47" i="11"/>
  <c r="AC46" i="11"/>
  <c r="AB46" i="11"/>
  <c r="AA46" i="11"/>
  <c r="Z46" i="11"/>
  <c r="Y46" i="11"/>
  <c r="X46" i="11"/>
  <c r="W46" i="11"/>
  <c r="V46" i="11"/>
  <c r="U46" i="11"/>
  <c r="T46" i="11"/>
  <c r="S46" i="11"/>
  <c r="R46" i="11"/>
  <c r="Q46" i="11"/>
  <c r="P46" i="11"/>
  <c r="O46" i="11"/>
  <c r="N46" i="11"/>
  <c r="M46" i="11"/>
  <c r="L46" i="11"/>
  <c r="K46" i="11"/>
  <c r="J46" i="11"/>
  <c r="I46" i="11"/>
  <c r="H46" i="11"/>
  <c r="G46" i="11"/>
  <c r="F46" i="11"/>
  <c r="E46" i="11"/>
  <c r="D46" i="11"/>
  <c r="C46" i="11"/>
  <c r="B46" i="11"/>
  <c r="AC45" i="11"/>
  <c r="AB45" i="11"/>
  <c r="AA45" i="11"/>
  <c r="Z45" i="11"/>
  <c r="Y45" i="11"/>
  <c r="X45" i="11"/>
  <c r="W45" i="11"/>
  <c r="V45" i="11"/>
  <c r="U45" i="11"/>
  <c r="T45" i="11"/>
  <c r="S45" i="11"/>
  <c r="R45" i="11"/>
  <c r="Q45" i="11"/>
  <c r="P45" i="11"/>
  <c r="O45" i="11"/>
  <c r="N45" i="11"/>
  <c r="M45" i="11"/>
  <c r="L45" i="11"/>
  <c r="K45" i="11"/>
  <c r="J45" i="11"/>
  <c r="I45" i="11"/>
  <c r="H45" i="11"/>
  <c r="G45" i="11"/>
  <c r="F45" i="11"/>
  <c r="E45" i="11"/>
  <c r="D45" i="11"/>
  <c r="C45" i="11"/>
  <c r="B45" i="11"/>
  <c r="AC44" i="11"/>
  <c r="AB44" i="11"/>
  <c r="AA44" i="11"/>
  <c r="Z44" i="11"/>
  <c r="Y44" i="11"/>
  <c r="X44" i="11"/>
  <c r="W44" i="11"/>
  <c r="V44" i="11"/>
  <c r="U44" i="11"/>
  <c r="T44" i="11"/>
  <c r="S44" i="11"/>
  <c r="R44" i="11"/>
  <c r="Q44" i="11"/>
  <c r="P44" i="11"/>
  <c r="O44" i="11"/>
  <c r="N44" i="11"/>
  <c r="M44" i="11"/>
  <c r="L44" i="11"/>
  <c r="K44" i="11"/>
  <c r="J44" i="11"/>
  <c r="I44" i="11"/>
  <c r="H44" i="11"/>
  <c r="G44" i="11"/>
  <c r="F44" i="11"/>
  <c r="E44" i="11"/>
  <c r="D44" i="11"/>
  <c r="C44" i="11"/>
  <c r="B44" i="11"/>
  <c r="AC43" i="11"/>
  <c r="AB43" i="11"/>
  <c r="AA43" i="11"/>
  <c r="Z43" i="11"/>
  <c r="Y43" i="11"/>
  <c r="X43" i="11"/>
  <c r="W43" i="11"/>
  <c r="V43" i="11"/>
  <c r="U43" i="11"/>
  <c r="T43" i="11"/>
  <c r="S43" i="11"/>
  <c r="R43" i="11"/>
  <c r="Q43" i="11"/>
  <c r="P43" i="11"/>
  <c r="O43" i="11"/>
  <c r="N43" i="11"/>
  <c r="M43" i="11"/>
  <c r="L43" i="11"/>
  <c r="K43" i="11"/>
  <c r="J43" i="11"/>
  <c r="I43" i="11"/>
  <c r="H43" i="11"/>
  <c r="G43" i="11"/>
  <c r="F43" i="11"/>
  <c r="E43" i="11"/>
  <c r="D43" i="11"/>
  <c r="C43" i="11"/>
  <c r="B43" i="11"/>
  <c r="AC42" i="11"/>
  <c r="AB42" i="11"/>
  <c r="AA42" i="11"/>
  <c r="Z42" i="11"/>
  <c r="Y42" i="11"/>
  <c r="X42" i="11"/>
  <c r="W42" i="11"/>
  <c r="V42" i="11"/>
  <c r="U42" i="11"/>
  <c r="T42" i="11"/>
  <c r="S42" i="11"/>
  <c r="R42" i="11"/>
  <c r="Q42" i="11"/>
  <c r="P42" i="11"/>
  <c r="O42" i="11"/>
  <c r="N42" i="11"/>
  <c r="M42" i="11"/>
  <c r="L42" i="11"/>
  <c r="K42" i="11"/>
  <c r="J42" i="11"/>
  <c r="I42" i="11"/>
  <c r="H42" i="11"/>
  <c r="G42" i="11"/>
  <c r="F42" i="11"/>
  <c r="E42" i="11"/>
  <c r="D42" i="11"/>
  <c r="C42" i="11"/>
  <c r="B42" i="11"/>
  <c r="AC41" i="11"/>
  <c r="AB41" i="11"/>
  <c r="AA41" i="11"/>
  <c r="Z41" i="11"/>
  <c r="Y41" i="11"/>
  <c r="X41" i="11"/>
  <c r="W41" i="11"/>
  <c r="V41" i="11"/>
  <c r="U41" i="11"/>
  <c r="T41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E41" i="11"/>
  <c r="D41" i="11"/>
  <c r="C41" i="11"/>
  <c r="B41" i="11"/>
  <c r="AC40" i="11"/>
  <c r="AB40" i="11"/>
  <c r="AA40" i="11"/>
  <c r="Z40" i="11"/>
  <c r="Y40" i="11"/>
  <c r="X40" i="11"/>
  <c r="W40" i="11"/>
  <c r="V40" i="11"/>
  <c r="U40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G40" i="11"/>
  <c r="F40" i="11"/>
  <c r="E40" i="11"/>
  <c r="D40" i="11"/>
  <c r="C40" i="11"/>
  <c r="B40" i="11"/>
  <c r="AC39" i="11"/>
  <c r="AB39" i="11"/>
  <c r="AA39" i="11"/>
  <c r="Z39" i="11"/>
  <c r="Y39" i="11"/>
  <c r="X39" i="11"/>
  <c r="W39" i="11"/>
  <c r="V39" i="11"/>
  <c r="U39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E39" i="11"/>
  <c r="D39" i="11"/>
  <c r="C39" i="11"/>
  <c r="B39" i="11"/>
  <c r="AC38" i="11"/>
  <c r="AB38" i="11"/>
  <c r="AA38" i="11"/>
  <c r="Z38" i="11"/>
  <c r="Y38" i="11"/>
  <c r="X38" i="11"/>
  <c r="W38" i="11"/>
  <c r="V38" i="11"/>
  <c r="U38" i="11"/>
  <c r="T38" i="11"/>
  <c r="S38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E38" i="11"/>
  <c r="D38" i="11"/>
  <c r="C38" i="11"/>
  <c r="B38" i="11"/>
  <c r="AC37" i="11"/>
  <c r="AB37" i="11"/>
  <c r="AA37" i="11"/>
  <c r="Z37" i="11"/>
  <c r="Y37" i="11"/>
  <c r="X37" i="11"/>
  <c r="W37" i="11"/>
  <c r="V37" i="11"/>
  <c r="U37" i="11"/>
  <c r="T37" i="11"/>
  <c r="S37" i="11"/>
  <c r="R37" i="1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B37" i="11"/>
  <c r="AC36" i="11"/>
  <c r="AB36" i="11"/>
  <c r="AA36" i="11"/>
  <c r="Z36" i="11"/>
  <c r="Y36" i="11"/>
  <c r="X36" i="11"/>
  <c r="W36" i="11"/>
  <c r="V36" i="11"/>
  <c r="U36" i="11"/>
  <c r="T36" i="11"/>
  <c r="S36" i="11"/>
  <c r="R36" i="11"/>
  <c r="Q36" i="11"/>
  <c r="P36" i="11"/>
  <c r="O36" i="11"/>
  <c r="N36" i="11"/>
  <c r="M36" i="11"/>
  <c r="L36" i="11"/>
  <c r="K36" i="11"/>
  <c r="J36" i="11"/>
  <c r="I36" i="11"/>
  <c r="H36" i="11"/>
  <c r="G36" i="11"/>
  <c r="F36" i="11"/>
  <c r="E36" i="11"/>
  <c r="D36" i="11"/>
  <c r="C36" i="11"/>
  <c r="B36" i="11"/>
  <c r="AC35" i="11"/>
  <c r="AB35" i="11"/>
  <c r="AA35" i="11"/>
  <c r="Z35" i="11"/>
  <c r="Y35" i="11"/>
  <c r="X35" i="11"/>
  <c r="W35" i="11"/>
  <c r="V35" i="11"/>
  <c r="U35" i="11"/>
  <c r="T35" i="11"/>
  <c r="S35" i="11"/>
  <c r="R35" i="1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B35" i="11"/>
  <c r="AC34" i="11"/>
  <c r="AB34" i="11"/>
  <c r="AA34" i="11"/>
  <c r="Z34" i="11"/>
  <c r="Y34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B34" i="11"/>
  <c r="AC33" i="11"/>
  <c r="AB33" i="11"/>
  <c r="AA33" i="11"/>
  <c r="Z33" i="11"/>
  <c r="Y33" i="11"/>
  <c r="X33" i="11"/>
  <c r="W33" i="11"/>
  <c r="V33" i="11"/>
  <c r="U33" i="11"/>
  <c r="T33" i="11"/>
  <c r="S33" i="11"/>
  <c r="R33" i="11"/>
  <c r="Q33" i="11"/>
  <c r="P33" i="11"/>
  <c r="O33" i="11"/>
  <c r="N33" i="11"/>
  <c r="M33" i="11"/>
  <c r="L33" i="11"/>
  <c r="K33" i="11"/>
  <c r="J33" i="11"/>
  <c r="I33" i="11"/>
  <c r="H33" i="11"/>
  <c r="G33" i="11"/>
  <c r="F33" i="11"/>
  <c r="E33" i="11"/>
  <c r="D33" i="11"/>
  <c r="C33" i="11"/>
  <c r="B33" i="11"/>
  <c r="AC32" i="11"/>
  <c r="AB32" i="11"/>
  <c r="AA32" i="11"/>
  <c r="Z32" i="11"/>
  <c r="Y32" i="11"/>
  <c r="X32" i="11"/>
  <c r="W32" i="11"/>
  <c r="V32" i="1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G32" i="11"/>
  <c r="F32" i="11"/>
  <c r="E32" i="11"/>
  <c r="D32" i="11"/>
  <c r="C32" i="11"/>
  <c r="B32" i="11"/>
  <c r="AC31" i="11"/>
  <c r="AB31" i="11"/>
  <c r="AA31" i="11"/>
  <c r="Z31" i="11"/>
  <c r="Y31" i="11"/>
  <c r="X31" i="11"/>
  <c r="W31" i="11"/>
  <c r="V31" i="11"/>
  <c r="U31" i="11"/>
  <c r="T31" i="11"/>
  <c r="S31" i="11"/>
  <c r="R31" i="11"/>
  <c r="Q31" i="11"/>
  <c r="P31" i="11"/>
  <c r="O31" i="11"/>
  <c r="N31" i="11"/>
  <c r="M31" i="11"/>
  <c r="L31" i="11"/>
  <c r="K31" i="11"/>
  <c r="J31" i="11"/>
  <c r="I31" i="11"/>
  <c r="H31" i="11"/>
  <c r="G31" i="11"/>
  <c r="F31" i="11"/>
  <c r="E31" i="11"/>
  <c r="D31" i="11"/>
  <c r="C31" i="11"/>
  <c r="B31" i="11"/>
  <c r="AC30" i="11"/>
  <c r="AB30" i="11"/>
  <c r="AA30" i="11"/>
  <c r="Z30" i="11"/>
  <c r="Y30" i="11"/>
  <c r="X30" i="11"/>
  <c r="W30" i="11"/>
  <c r="V30" i="11"/>
  <c r="U30" i="11"/>
  <c r="T30" i="11"/>
  <c r="S30" i="11"/>
  <c r="R30" i="11"/>
  <c r="Q30" i="11"/>
  <c r="P30" i="11"/>
  <c r="O30" i="11"/>
  <c r="N30" i="11"/>
  <c r="M30" i="11"/>
  <c r="L30" i="11"/>
  <c r="K30" i="11"/>
  <c r="J30" i="11"/>
  <c r="I30" i="11"/>
  <c r="H30" i="11"/>
  <c r="G30" i="11"/>
  <c r="F30" i="11"/>
  <c r="E30" i="11"/>
  <c r="D30" i="11"/>
  <c r="C30" i="11"/>
  <c r="B30" i="11"/>
  <c r="AC29" i="11"/>
  <c r="AB29" i="11"/>
  <c r="AA29" i="11"/>
  <c r="Z29" i="11"/>
  <c r="Y29" i="11"/>
  <c r="X29" i="11"/>
  <c r="W29" i="11"/>
  <c r="V29" i="11"/>
  <c r="U29" i="11"/>
  <c r="T29" i="11"/>
  <c r="S29" i="11"/>
  <c r="R29" i="11"/>
  <c r="Q29" i="11"/>
  <c r="P29" i="11"/>
  <c r="O29" i="11"/>
  <c r="N29" i="11"/>
  <c r="M29" i="11"/>
  <c r="L29" i="11"/>
  <c r="K29" i="11"/>
  <c r="J29" i="11"/>
  <c r="I29" i="11"/>
  <c r="H29" i="11"/>
  <c r="G29" i="11"/>
  <c r="F29" i="11"/>
  <c r="E29" i="11"/>
  <c r="D29" i="11"/>
  <c r="C29" i="11"/>
  <c r="B29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E28" i="11"/>
  <c r="D28" i="11"/>
  <c r="C28" i="11"/>
  <c r="B28" i="11"/>
  <c r="AC27" i="11"/>
  <c r="AB27" i="11"/>
  <c r="AA27" i="11"/>
  <c r="Z27" i="11"/>
  <c r="Y27" i="11"/>
  <c r="X27" i="11"/>
  <c r="W27" i="11"/>
  <c r="V27" i="11"/>
  <c r="U27" i="11"/>
  <c r="T27" i="11"/>
  <c r="S27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B27" i="11"/>
  <c r="AC26" i="11"/>
  <c r="AB26" i="11"/>
  <c r="AA26" i="11"/>
  <c r="Z26" i="11"/>
  <c r="Y26" i="11"/>
  <c r="X26" i="11"/>
  <c r="W26" i="11"/>
  <c r="V26" i="11"/>
  <c r="U26" i="11"/>
  <c r="T26" i="11"/>
  <c r="S26" i="11"/>
  <c r="R26" i="11"/>
  <c r="Q26" i="11"/>
  <c r="P26" i="11"/>
  <c r="O26" i="11"/>
  <c r="N26" i="11"/>
  <c r="M26" i="11"/>
  <c r="L26" i="11"/>
  <c r="K26" i="11"/>
  <c r="J26" i="11"/>
  <c r="I26" i="11"/>
  <c r="H26" i="11"/>
  <c r="G26" i="11"/>
  <c r="F26" i="11"/>
  <c r="E26" i="11"/>
  <c r="D26" i="11"/>
  <c r="C26" i="11"/>
  <c r="B26" i="11"/>
  <c r="AC25" i="11"/>
  <c r="AB25" i="11"/>
  <c r="AA25" i="11"/>
  <c r="Z25" i="11"/>
  <c r="Y25" i="11"/>
  <c r="X25" i="11"/>
  <c r="W25" i="11"/>
  <c r="V25" i="11"/>
  <c r="U25" i="11"/>
  <c r="T25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E25" i="11"/>
  <c r="D25" i="11"/>
  <c r="C25" i="11"/>
  <c r="B25" i="11"/>
  <c r="AC24" i="11"/>
  <c r="AB24" i="11"/>
  <c r="AA24" i="11"/>
  <c r="Z24" i="11"/>
  <c r="Y24" i="11"/>
  <c r="X24" i="11"/>
  <c r="W24" i="11"/>
  <c r="V24" i="11"/>
  <c r="U24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D24" i="11"/>
  <c r="C24" i="11"/>
  <c r="B24" i="11"/>
  <c r="AC23" i="11"/>
  <c r="AB23" i="11"/>
  <c r="AA23" i="11"/>
  <c r="Z23" i="11"/>
  <c r="Y23" i="11"/>
  <c r="X23" i="11"/>
  <c r="W23" i="11"/>
  <c r="V23" i="11"/>
  <c r="U23" i="11"/>
  <c r="T23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D23" i="11"/>
  <c r="C23" i="11"/>
  <c r="B23" i="11"/>
  <c r="AC22" i="11"/>
  <c r="AB22" i="11"/>
  <c r="AA22" i="11"/>
  <c r="Z22" i="11"/>
  <c r="Y22" i="11"/>
  <c r="X22" i="11"/>
  <c r="W22" i="11"/>
  <c r="V22" i="11"/>
  <c r="U22" i="11"/>
  <c r="T22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E22" i="11"/>
  <c r="D22" i="11"/>
  <c r="C22" i="11"/>
  <c r="B22" i="11"/>
  <c r="AC21" i="11"/>
  <c r="AB21" i="11"/>
  <c r="AA21" i="11"/>
  <c r="Z21" i="11"/>
  <c r="Y21" i="11"/>
  <c r="X21" i="11"/>
  <c r="W21" i="11"/>
  <c r="V21" i="11"/>
  <c r="U21" i="11"/>
  <c r="T21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C21" i="11"/>
  <c r="B21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C20" i="11"/>
  <c r="B20" i="11"/>
  <c r="AC19" i="11"/>
  <c r="AB19" i="11"/>
  <c r="AA19" i="11"/>
  <c r="Z19" i="11"/>
  <c r="Y19" i="11"/>
  <c r="X19" i="11"/>
  <c r="W19" i="11"/>
  <c r="V19" i="11"/>
  <c r="U19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C19" i="11"/>
  <c r="B19" i="11"/>
  <c r="AC18" i="11"/>
  <c r="AB18" i="11"/>
  <c r="AA18" i="11"/>
  <c r="Z18" i="11"/>
  <c r="Y18" i="11"/>
  <c r="X18" i="11"/>
  <c r="W18" i="11"/>
  <c r="V18" i="11"/>
  <c r="U18" i="11"/>
  <c r="T18" i="11"/>
  <c r="S18" i="11"/>
  <c r="R18" i="11"/>
  <c r="Q18" i="11"/>
  <c r="P18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C18" i="11"/>
  <c r="B18" i="11"/>
  <c r="AC17" i="11"/>
  <c r="AB17" i="11"/>
  <c r="AA17" i="11"/>
  <c r="Z17" i="11"/>
  <c r="Y17" i="11"/>
  <c r="X17" i="11"/>
  <c r="W17" i="11"/>
  <c r="V17" i="11"/>
  <c r="U17" i="11"/>
  <c r="T17" i="11"/>
  <c r="S17" i="11"/>
  <c r="R17" i="11"/>
  <c r="Q17" i="11"/>
  <c r="P17" i="11"/>
  <c r="O17" i="11"/>
  <c r="N17" i="11"/>
  <c r="M17" i="11"/>
  <c r="L17" i="11"/>
  <c r="K17" i="11"/>
  <c r="J17" i="11"/>
  <c r="I17" i="11"/>
  <c r="H17" i="11"/>
  <c r="G17" i="11"/>
  <c r="F17" i="11"/>
  <c r="E17" i="11"/>
  <c r="D17" i="11"/>
  <c r="C17" i="11"/>
  <c r="B17" i="11"/>
  <c r="AC16" i="11"/>
  <c r="AB16" i="11"/>
  <c r="AA16" i="11"/>
  <c r="Z16" i="11"/>
  <c r="Y16" i="11"/>
  <c r="X16" i="1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E16" i="11"/>
  <c r="D16" i="11"/>
  <c r="C16" i="11"/>
  <c r="B16" i="11"/>
  <c r="AC15" i="11"/>
  <c r="AB15" i="11"/>
  <c r="AA15" i="11"/>
  <c r="Z15" i="11"/>
  <c r="Y15" i="11"/>
  <c r="X15" i="11"/>
  <c r="W15" i="11"/>
  <c r="V15" i="11"/>
  <c r="U15" i="11"/>
  <c r="T15" i="11"/>
  <c r="S15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C15" i="11"/>
  <c r="B15" i="11"/>
  <c r="AC14" i="11"/>
  <c r="AB14" i="11"/>
  <c r="AA14" i="11"/>
  <c r="Z14" i="11"/>
  <c r="Y14" i="11"/>
  <c r="X14" i="11"/>
  <c r="W14" i="11"/>
  <c r="V14" i="11"/>
  <c r="U14" i="11"/>
  <c r="T14" i="11"/>
  <c r="S14" i="11"/>
  <c r="R14" i="11"/>
  <c r="Q14" i="11"/>
  <c r="P14" i="11"/>
  <c r="O14" i="11"/>
  <c r="N14" i="11"/>
  <c r="M14" i="11"/>
  <c r="L14" i="11"/>
  <c r="K14" i="11"/>
  <c r="J14" i="11"/>
  <c r="I14" i="11"/>
  <c r="H14" i="11"/>
  <c r="G14" i="11"/>
  <c r="F14" i="11"/>
  <c r="E14" i="11"/>
  <c r="D14" i="11"/>
  <c r="C14" i="11"/>
  <c r="B14" i="11"/>
  <c r="AC13" i="11"/>
  <c r="AB13" i="11"/>
  <c r="AA13" i="11"/>
  <c r="Z13" i="11"/>
  <c r="Y13" i="11"/>
  <c r="X13" i="11"/>
  <c r="W13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C13" i="11"/>
  <c r="B13" i="11"/>
  <c r="AC12" i="11"/>
  <c r="AB12" i="11"/>
  <c r="AA12" i="11"/>
  <c r="Z12" i="11"/>
  <c r="Y12" i="11"/>
  <c r="X12" i="11"/>
  <c r="W12" i="11"/>
  <c r="V12" i="11"/>
  <c r="U12" i="11"/>
  <c r="T12" i="11"/>
  <c r="S12" i="11"/>
  <c r="R12" i="11"/>
  <c r="Q12" i="11"/>
  <c r="P12" i="11"/>
  <c r="O12" i="11"/>
  <c r="N12" i="11"/>
  <c r="M12" i="11"/>
  <c r="L12" i="11"/>
  <c r="K12" i="11"/>
  <c r="J12" i="11"/>
  <c r="I12" i="11"/>
  <c r="H12" i="11"/>
  <c r="G12" i="11"/>
  <c r="F12" i="11"/>
  <c r="E12" i="11"/>
  <c r="D12" i="11"/>
  <c r="C12" i="11"/>
  <c r="B12" i="11"/>
  <c r="AC11" i="11"/>
  <c r="AB11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C11" i="11"/>
  <c r="B11" i="11"/>
  <c r="AC10" i="11"/>
  <c r="AB10" i="11"/>
  <c r="AA10" i="11"/>
  <c r="Z10" i="11"/>
  <c r="Y10" i="11"/>
  <c r="X10" i="11"/>
  <c r="W10" i="11"/>
  <c r="V10" i="11"/>
  <c r="U10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H10" i="11"/>
  <c r="G10" i="11"/>
  <c r="F10" i="11"/>
  <c r="E10" i="11"/>
  <c r="D10" i="11"/>
  <c r="C10" i="11"/>
  <c r="B10" i="11"/>
  <c r="AC9" i="11"/>
  <c r="AB9" i="11"/>
  <c r="AA9" i="11"/>
  <c r="Z9" i="11"/>
  <c r="Y9" i="11"/>
  <c r="X9" i="11"/>
  <c r="W9" i="11"/>
  <c r="V9" i="11"/>
  <c r="U9" i="11"/>
  <c r="T9" i="11"/>
  <c r="S9" i="11"/>
  <c r="R9" i="11"/>
  <c r="Q9" i="11"/>
  <c r="P9" i="11"/>
  <c r="O9" i="11"/>
  <c r="N9" i="11"/>
  <c r="M9" i="11"/>
  <c r="L9" i="11"/>
  <c r="K9" i="11"/>
  <c r="J9" i="11"/>
  <c r="I9" i="11"/>
  <c r="H9" i="11"/>
  <c r="G9" i="11"/>
  <c r="F9" i="11"/>
  <c r="E9" i="11"/>
  <c r="D9" i="11"/>
  <c r="C9" i="11"/>
  <c r="B9" i="11"/>
  <c r="AC8" i="11"/>
  <c r="AB8" i="11"/>
  <c r="AA8" i="11"/>
  <c r="Z8" i="11"/>
  <c r="Y8" i="11"/>
  <c r="X8" i="11"/>
  <c r="W8" i="11"/>
  <c r="V8" i="11"/>
  <c r="U8" i="11"/>
  <c r="T8" i="11"/>
  <c r="S8" i="11"/>
  <c r="R8" i="11"/>
  <c r="Q8" i="11"/>
  <c r="P8" i="11"/>
  <c r="O8" i="11"/>
  <c r="N8" i="11"/>
  <c r="M8" i="11"/>
  <c r="L8" i="11"/>
  <c r="K8" i="11"/>
  <c r="J8" i="11"/>
  <c r="I8" i="11"/>
  <c r="H8" i="11"/>
  <c r="G8" i="11"/>
  <c r="F8" i="11"/>
  <c r="E8" i="11"/>
  <c r="D8" i="11"/>
  <c r="C8" i="11"/>
  <c r="B8" i="11"/>
  <c r="AC7" i="11"/>
  <c r="AB7" i="11"/>
  <c r="AA7" i="11"/>
  <c r="Z7" i="11"/>
  <c r="Y7" i="11"/>
  <c r="X7" i="11"/>
  <c r="W7" i="11"/>
  <c r="V7" i="11"/>
  <c r="U7" i="11"/>
  <c r="T7" i="11"/>
  <c r="S7" i="11"/>
  <c r="R7" i="11"/>
  <c r="Q7" i="11"/>
  <c r="P7" i="11"/>
  <c r="O7" i="11"/>
  <c r="N7" i="11"/>
  <c r="M7" i="11"/>
  <c r="L7" i="11"/>
  <c r="K7" i="11"/>
  <c r="J7" i="11"/>
  <c r="I7" i="11"/>
  <c r="H7" i="11"/>
  <c r="G7" i="11"/>
  <c r="F7" i="11"/>
  <c r="E7" i="11"/>
  <c r="D7" i="11"/>
  <c r="C7" i="11"/>
  <c r="B7" i="11"/>
  <c r="AC6" i="11"/>
  <c r="AB6" i="11"/>
  <c r="AA6" i="11"/>
  <c r="Z6" i="11"/>
  <c r="Y6" i="11"/>
  <c r="X6" i="11"/>
  <c r="W6" i="11"/>
  <c r="V6" i="11"/>
  <c r="U6" i="11"/>
  <c r="T6" i="11"/>
  <c r="S6" i="11"/>
  <c r="R6" i="11"/>
  <c r="Q6" i="11"/>
  <c r="P6" i="11"/>
  <c r="O6" i="11"/>
  <c r="N6" i="11"/>
  <c r="M6" i="11"/>
  <c r="L6" i="11"/>
  <c r="K6" i="11"/>
  <c r="J6" i="11"/>
  <c r="I6" i="11"/>
  <c r="H6" i="11"/>
  <c r="G6" i="11"/>
  <c r="F6" i="11"/>
  <c r="E6" i="11"/>
  <c r="D6" i="11"/>
  <c r="C6" i="11"/>
  <c r="B6" i="11"/>
  <c r="AC5" i="11"/>
  <c r="AB5" i="11"/>
  <c r="AA5" i="11"/>
  <c r="Z5" i="11"/>
  <c r="Y5" i="11"/>
  <c r="X5" i="11"/>
  <c r="W5" i="11"/>
  <c r="V5" i="11"/>
  <c r="U5" i="11"/>
  <c r="T5" i="11"/>
  <c r="S5" i="11"/>
  <c r="R5" i="11"/>
  <c r="Q5" i="11"/>
  <c r="P5" i="11"/>
  <c r="O5" i="11"/>
  <c r="N5" i="11"/>
  <c r="M5" i="11"/>
  <c r="L5" i="11"/>
  <c r="K5" i="11"/>
  <c r="J5" i="11"/>
  <c r="I5" i="11"/>
  <c r="H5" i="11"/>
  <c r="G5" i="11"/>
  <c r="F5" i="11"/>
  <c r="E5" i="11"/>
  <c r="D5" i="11"/>
  <c r="C5" i="11"/>
  <c r="B5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C3" i="11"/>
  <c r="AB3" i="11"/>
  <c r="AA3" i="11"/>
  <c r="Z3" i="11"/>
  <c r="Y3" i="11"/>
  <c r="X3" i="11"/>
  <c r="W3" i="11"/>
  <c r="V3" i="11"/>
  <c r="U3" i="11"/>
  <c r="T3" i="11"/>
  <c r="S3" i="11"/>
  <c r="R3" i="11"/>
  <c r="Q3" i="11"/>
  <c r="P3" i="11"/>
  <c r="O3" i="11"/>
  <c r="N3" i="11"/>
  <c r="M3" i="11"/>
  <c r="L3" i="11"/>
  <c r="K3" i="11"/>
  <c r="J3" i="11"/>
  <c r="I3" i="11"/>
  <c r="H3" i="11"/>
  <c r="G3" i="11"/>
  <c r="F3" i="11"/>
  <c r="E3" i="11"/>
  <c r="D3" i="11"/>
  <c r="C3" i="11"/>
  <c r="B3" i="11"/>
  <c r="AC101" i="9"/>
  <c r="AB101" i="9"/>
  <c r="AA101" i="9"/>
  <c r="Z101" i="9"/>
  <c r="Y101" i="9"/>
  <c r="X101" i="9"/>
  <c r="W101" i="9"/>
  <c r="V101" i="9"/>
  <c r="U101" i="9"/>
  <c r="T101" i="9"/>
  <c r="S101" i="9"/>
  <c r="R101" i="9"/>
  <c r="Q101" i="9"/>
  <c r="P101" i="9"/>
  <c r="O101" i="9"/>
  <c r="N101" i="9"/>
  <c r="M101" i="9"/>
  <c r="L101" i="9"/>
  <c r="K101" i="9"/>
  <c r="J101" i="9"/>
  <c r="I101" i="9"/>
  <c r="H101" i="9"/>
  <c r="G101" i="9"/>
  <c r="F101" i="9"/>
  <c r="E101" i="9"/>
  <c r="D101" i="9"/>
  <c r="C101" i="9"/>
  <c r="B101" i="9"/>
  <c r="AC100" i="9"/>
  <c r="AB100" i="9"/>
  <c r="AA100" i="9"/>
  <c r="Z100" i="9"/>
  <c r="Y100" i="9"/>
  <c r="X100" i="9"/>
  <c r="W100" i="9"/>
  <c r="V100" i="9"/>
  <c r="U100" i="9"/>
  <c r="T100" i="9"/>
  <c r="S100" i="9"/>
  <c r="R100" i="9"/>
  <c r="Q100" i="9"/>
  <c r="P100" i="9"/>
  <c r="O100" i="9"/>
  <c r="N100" i="9"/>
  <c r="M100" i="9"/>
  <c r="L100" i="9"/>
  <c r="K100" i="9"/>
  <c r="J100" i="9"/>
  <c r="I100" i="9"/>
  <c r="H100" i="9"/>
  <c r="G100" i="9"/>
  <c r="F100" i="9"/>
  <c r="E100" i="9"/>
  <c r="D100" i="9"/>
  <c r="C100" i="9"/>
  <c r="B100" i="9"/>
  <c r="AC99" i="9"/>
  <c r="AB99" i="9"/>
  <c r="AA99" i="9"/>
  <c r="Z99" i="9"/>
  <c r="Y99" i="9"/>
  <c r="X99" i="9"/>
  <c r="W99" i="9"/>
  <c r="V99" i="9"/>
  <c r="U99" i="9"/>
  <c r="T99" i="9"/>
  <c r="S99" i="9"/>
  <c r="R99" i="9"/>
  <c r="Q99" i="9"/>
  <c r="P99" i="9"/>
  <c r="O99" i="9"/>
  <c r="N99" i="9"/>
  <c r="M99" i="9"/>
  <c r="L99" i="9"/>
  <c r="K99" i="9"/>
  <c r="J99" i="9"/>
  <c r="I99" i="9"/>
  <c r="H99" i="9"/>
  <c r="G99" i="9"/>
  <c r="F99" i="9"/>
  <c r="E99" i="9"/>
  <c r="D99" i="9"/>
  <c r="C99" i="9"/>
  <c r="B99" i="9"/>
  <c r="AC98" i="9"/>
  <c r="AB98" i="9"/>
  <c r="AA98" i="9"/>
  <c r="Z98" i="9"/>
  <c r="Y98" i="9"/>
  <c r="X98" i="9"/>
  <c r="W98" i="9"/>
  <c r="V98" i="9"/>
  <c r="U98" i="9"/>
  <c r="T98" i="9"/>
  <c r="S98" i="9"/>
  <c r="R98" i="9"/>
  <c r="Q98" i="9"/>
  <c r="P98" i="9"/>
  <c r="O98" i="9"/>
  <c r="N98" i="9"/>
  <c r="M98" i="9"/>
  <c r="L98" i="9"/>
  <c r="K98" i="9"/>
  <c r="J98" i="9"/>
  <c r="I98" i="9"/>
  <c r="H98" i="9"/>
  <c r="G98" i="9"/>
  <c r="F98" i="9"/>
  <c r="E98" i="9"/>
  <c r="D98" i="9"/>
  <c r="C98" i="9"/>
  <c r="B98" i="9"/>
  <c r="AC97" i="9"/>
  <c r="AB97" i="9"/>
  <c r="AA97" i="9"/>
  <c r="Z97" i="9"/>
  <c r="Y97" i="9"/>
  <c r="X97" i="9"/>
  <c r="W97" i="9"/>
  <c r="V97" i="9"/>
  <c r="U97" i="9"/>
  <c r="T97" i="9"/>
  <c r="S97" i="9"/>
  <c r="R97" i="9"/>
  <c r="Q97" i="9"/>
  <c r="P97" i="9"/>
  <c r="O97" i="9"/>
  <c r="N97" i="9"/>
  <c r="M97" i="9"/>
  <c r="L97" i="9"/>
  <c r="K97" i="9"/>
  <c r="J97" i="9"/>
  <c r="I97" i="9"/>
  <c r="H97" i="9"/>
  <c r="G97" i="9"/>
  <c r="F97" i="9"/>
  <c r="E97" i="9"/>
  <c r="D97" i="9"/>
  <c r="C97" i="9"/>
  <c r="B97" i="9"/>
  <c r="AC96" i="9"/>
  <c r="AB96" i="9"/>
  <c r="AA96" i="9"/>
  <c r="Z96" i="9"/>
  <c r="Y96" i="9"/>
  <c r="X96" i="9"/>
  <c r="W96" i="9"/>
  <c r="V96" i="9"/>
  <c r="U96" i="9"/>
  <c r="T96" i="9"/>
  <c r="S96" i="9"/>
  <c r="R96" i="9"/>
  <c r="Q96" i="9"/>
  <c r="P96" i="9"/>
  <c r="O96" i="9"/>
  <c r="N96" i="9"/>
  <c r="M96" i="9"/>
  <c r="L96" i="9"/>
  <c r="K96" i="9"/>
  <c r="J96" i="9"/>
  <c r="I96" i="9"/>
  <c r="H96" i="9"/>
  <c r="G96" i="9"/>
  <c r="F96" i="9"/>
  <c r="E96" i="9"/>
  <c r="D96" i="9"/>
  <c r="C96" i="9"/>
  <c r="B96" i="9"/>
  <c r="AC95" i="9"/>
  <c r="AB95" i="9"/>
  <c r="AA95" i="9"/>
  <c r="Z95" i="9"/>
  <c r="Y95" i="9"/>
  <c r="X95" i="9"/>
  <c r="W95" i="9"/>
  <c r="V95" i="9"/>
  <c r="U95" i="9"/>
  <c r="T95" i="9"/>
  <c r="S95" i="9"/>
  <c r="R95" i="9"/>
  <c r="Q95" i="9"/>
  <c r="P95" i="9"/>
  <c r="O95" i="9"/>
  <c r="N95" i="9"/>
  <c r="M95" i="9"/>
  <c r="L95" i="9"/>
  <c r="K95" i="9"/>
  <c r="J95" i="9"/>
  <c r="I95" i="9"/>
  <c r="H95" i="9"/>
  <c r="G95" i="9"/>
  <c r="F95" i="9"/>
  <c r="E95" i="9"/>
  <c r="D95" i="9"/>
  <c r="C95" i="9"/>
  <c r="B95" i="9"/>
  <c r="AC94" i="9"/>
  <c r="AB94" i="9"/>
  <c r="AA94" i="9"/>
  <c r="Z94" i="9"/>
  <c r="Y94" i="9"/>
  <c r="X94" i="9"/>
  <c r="W94" i="9"/>
  <c r="V94" i="9"/>
  <c r="U94" i="9"/>
  <c r="T94" i="9"/>
  <c r="S94" i="9"/>
  <c r="R94" i="9"/>
  <c r="Q94" i="9"/>
  <c r="P94" i="9"/>
  <c r="O94" i="9"/>
  <c r="N94" i="9"/>
  <c r="M94" i="9"/>
  <c r="L94" i="9"/>
  <c r="K94" i="9"/>
  <c r="J94" i="9"/>
  <c r="I94" i="9"/>
  <c r="H94" i="9"/>
  <c r="G94" i="9"/>
  <c r="F94" i="9"/>
  <c r="E94" i="9"/>
  <c r="D94" i="9"/>
  <c r="C94" i="9"/>
  <c r="B94" i="9"/>
  <c r="AC93" i="9"/>
  <c r="AB93" i="9"/>
  <c r="AA93" i="9"/>
  <c r="Z93" i="9"/>
  <c r="Y93" i="9"/>
  <c r="X93" i="9"/>
  <c r="W93" i="9"/>
  <c r="V93" i="9"/>
  <c r="U93" i="9"/>
  <c r="T93" i="9"/>
  <c r="S93" i="9"/>
  <c r="R93" i="9"/>
  <c r="Q93" i="9"/>
  <c r="P93" i="9"/>
  <c r="O93" i="9"/>
  <c r="N93" i="9"/>
  <c r="M93" i="9"/>
  <c r="L93" i="9"/>
  <c r="K93" i="9"/>
  <c r="J93" i="9"/>
  <c r="I93" i="9"/>
  <c r="H93" i="9"/>
  <c r="G93" i="9"/>
  <c r="F93" i="9"/>
  <c r="E93" i="9"/>
  <c r="D93" i="9"/>
  <c r="C93" i="9"/>
  <c r="B93" i="9"/>
  <c r="AC92" i="9"/>
  <c r="AB92" i="9"/>
  <c r="AA92" i="9"/>
  <c r="Z92" i="9"/>
  <c r="Y92" i="9"/>
  <c r="X92" i="9"/>
  <c r="W92" i="9"/>
  <c r="V92" i="9"/>
  <c r="U92" i="9"/>
  <c r="T92" i="9"/>
  <c r="S92" i="9"/>
  <c r="R92" i="9"/>
  <c r="Q92" i="9"/>
  <c r="P92" i="9"/>
  <c r="O92" i="9"/>
  <c r="N92" i="9"/>
  <c r="M92" i="9"/>
  <c r="L92" i="9"/>
  <c r="K92" i="9"/>
  <c r="J92" i="9"/>
  <c r="I92" i="9"/>
  <c r="H92" i="9"/>
  <c r="G92" i="9"/>
  <c r="F92" i="9"/>
  <c r="E92" i="9"/>
  <c r="D92" i="9"/>
  <c r="C92" i="9"/>
  <c r="B92" i="9"/>
  <c r="AC91" i="9"/>
  <c r="AB91" i="9"/>
  <c r="AA91" i="9"/>
  <c r="Z91" i="9"/>
  <c r="Y91" i="9"/>
  <c r="X91" i="9"/>
  <c r="W91" i="9"/>
  <c r="V91" i="9"/>
  <c r="U91" i="9"/>
  <c r="T91" i="9"/>
  <c r="S91" i="9"/>
  <c r="R91" i="9"/>
  <c r="Q91" i="9"/>
  <c r="P91" i="9"/>
  <c r="O91" i="9"/>
  <c r="N91" i="9"/>
  <c r="M91" i="9"/>
  <c r="L91" i="9"/>
  <c r="K91" i="9"/>
  <c r="J91" i="9"/>
  <c r="I91" i="9"/>
  <c r="H91" i="9"/>
  <c r="G91" i="9"/>
  <c r="F91" i="9"/>
  <c r="E91" i="9"/>
  <c r="D91" i="9"/>
  <c r="C91" i="9"/>
  <c r="B91" i="9"/>
  <c r="AC90" i="9"/>
  <c r="AB90" i="9"/>
  <c r="AA90" i="9"/>
  <c r="Z90" i="9"/>
  <c r="Y90" i="9"/>
  <c r="X90" i="9"/>
  <c r="W90" i="9"/>
  <c r="V90" i="9"/>
  <c r="U90" i="9"/>
  <c r="T90" i="9"/>
  <c r="S90" i="9"/>
  <c r="R90" i="9"/>
  <c r="Q90" i="9"/>
  <c r="P90" i="9"/>
  <c r="O90" i="9"/>
  <c r="N90" i="9"/>
  <c r="M90" i="9"/>
  <c r="L90" i="9"/>
  <c r="K90" i="9"/>
  <c r="J90" i="9"/>
  <c r="I90" i="9"/>
  <c r="H90" i="9"/>
  <c r="G90" i="9"/>
  <c r="F90" i="9"/>
  <c r="E90" i="9"/>
  <c r="D90" i="9"/>
  <c r="C90" i="9"/>
  <c r="B90" i="9"/>
  <c r="AC89" i="9"/>
  <c r="AB89" i="9"/>
  <c r="AA89" i="9"/>
  <c r="Z89" i="9"/>
  <c r="Y89" i="9"/>
  <c r="X89" i="9"/>
  <c r="W89" i="9"/>
  <c r="V89" i="9"/>
  <c r="U89" i="9"/>
  <c r="T89" i="9"/>
  <c r="S89" i="9"/>
  <c r="R89" i="9"/>
  <c r="Q89" i="9"/>
  <c r="P89" i="9"/>
  <c r="O89" i="9"/>
  <c r="N89" i="9"/>
  <c r="M89" i="9"/>
  <c r="L89" i="9"/>
  <c r="K89" i="9"/>
  <c r="J89" i="9"/>
  <c r="I89" i="9"/>
  <c r="H89" i="9"/>
  <c r="G89" i="9"/>
  <c r="F89" i="9"/>
  <c r="E89" i="9"/>
  <c r="D89" i="9"/>
  <c r="C89" i="9"/>
  <c r="B89" i="9"/>
  <c r="AC88" i="9"/>
  <c r="AB88" i="9"/>
  <c r="AA88" i="9"/>
  <c r="Z88" i="9"/>
  <c r="Y88" i="9"/>
  <c r="X88" i="9"/>
  <c r="W88" i="9"/>
  <c r="V88" i="9"/>
  <c r="U88" i="9"/>
  <c r="T88" i="9"/>
  <c r="S88" i="9"/>
  <c r="R88" i="9"/>
  <c r="Q88" i="9"/>
  <c r="P88" i="9"/>
  <c r="O88" i="9"/>
  <c r="N88" i="9"/>
  <c r="M88" i="9"/>
  <c r="L88" i="9"/>
  <c r="K88" i="9"/>
  <c r="J88" i="9"/>
  <c r="I88" i="9"/>
  <c r="H88" i="9"/>
  <c r="G88" i="9"/>
  <c r="F88" i="9"/>
  <c r="E88" i="9"/>
  <c r="D88" i="9"/>
  <c r="C88" i="9"/>
  <c r="B88" i="9"/>
  <c r="AC87" i="9"/>
  <c r="AB87" i="9"/>
  <c r="AA87" i="9"/>
  <c r="Z87" i="9"/>
  <c r="Y87" i="9"/>
  <c r="X87" i="9"/>
  <c r="W87" i="9"/>
  <c r="V87" i="9"/>
  <c r="U87" i="9"/>
  <c r="T87" i="9"/>
  <c r="S87" i="9"/>
  <c r="R87" i="9"/>
  <c r="Q87" i="9"/>
  <c r="P87" i="9"/>
  <c r="O87" i="9"/>
  <c r="N87" i="9"/>
  <c r="M87" i="9"/>
  <c r="L87" i="9"/>
  <c r="K87" i="9"/>
  <c r="J87" i="9"/>
  <c r="I87" i="9"/>
  <c r="H87" i="9"/>
  <c r="G87" i="9"/>
  <c r="F87" i="9"/>
  <c r="E87" i="9"/>
  <c r="D87" i="9"/>
  <c r="C87" i="9"/>
  <c r="B87" i="9"/>
  <c r="AC86" i="9"/>
  <c r="AB86" i="9"/>
  <c r="AA86" i="9"/>
  <c r="Z86" i="9"/>
  <c r="Y86" i="9"/>
  <c r="X86" i="9"/>
  <c r="W86" i="9"/>
  <c r="V86" i="9"/>
  <c r="U86" i="9"/>
  <c r="T86" i="9"/>
  <c r="S86" i="9"/>
  <c r="R86" i="9"/>
  <c r="Q86" i="9"/>
  <c r="P86" i="9"/>
  <c r="O86" i="9"/>
  <c r="N86" i="9"/>
  <c r="M86" i="9"/>
  <c r="L86" i="9"/>
  <c r="K86" i="9"/>
  <c r="J86" i="9"/>
  <c r="I86" i="9"/>
  <c r="H86" i="9"/>
  <c r="G86" i="9"/>
  <c r="F86" i="9"/>
  <c r="E86" i="9"/>
  <c r="D86" i="9"/>
  <c r="C86" i="9"/>
  <c r="B86" i="9"/>
  <c r="AC85" i="9"/>
  <c r="AB85" i="9"/>
  <c r="AA85" i="9"/>
  <c r="Z85" i="9"/>
  <c r="Y85" i="9"/>
  <c r="X85" i="9"/>
  <c r="W85" i="9"/>
  <c r="V85" i="9"/>
  <c r="U85" i="9"/>
  <c r="T85" i="9"/>
  <c r="S85" i="9"/>
  <c r="R85" i="9"/>
  <c r="Q85" i="9"/>
  <c r="P85" i="9"/>
  <c r="O85" i="9"/>
  <c r="N85" i="9"/>
  <c r="M85" i="9"/>
  <c r="L85" i="9"/>
  <c r="K85" i="9"/>
  <c r="J85" i="9"/>
  <c r="I85" i="9"/>
  <c r="H85" i="9"/>
  <c r="G85" i="9"/>
  <c r="F85" i="9"/>
  <c r="E85" i="9"/>
  <c r="D85" i="9"/>
  <c r="C85" i="9"/>
  <c r="B85" i="9"/>
  <c r="AC84" i="9"/>
  <c r="AB84" i="9"/>
  <c r="AA84" i="9"/>
  <c r="Z84" i="9"/>
  <c r="Y84" i="9"/>
  <c r="X84" i="9"/>
  <c r="W84" i="9"/>
  <c r="V84" i="9"/>
  <c r="U84" i="9"/>
  <c r="T84" i="9"/>
  <c r="S84" i="9"/>
  <c r="R84" i="9"/>
  <c r="Q84" i="9"/>
  <c r="P84" i="9"/>
  <c r="O84" i="9"/>
  <c r="N84" i="9"/>
  <c r="M84" i="9"/>
  <c r="L84" i="9"/>
  <c r="K84" i="9"/>
  <c r="J84" i="9"/>
  <c r="I84" i="9"/>
  <c r="H84" i="9"/>
  <c r="G84" i="9"/>
  <c r="F84" i="9"/>
  <c r="E84" i="9"/>
  <c r="D84" i="9"/>
  <c r="C84" i="9"/>
  <c r="B84" i="9"/>
  <c r="AC83" i="9"/>
  <c r="AB83" i="9"/>
  <c r="AA83" i="9"/>
  <c r="Z83" i="9"/>
  <c r="Y83" i="9"/>
  <c r="X83" i="9"/>
  <c r="W83" i="9"/>
  <c r="V83" i="9"/>
  <c r="U83" i="9"/>
  <c r="T83" i="9"/>
  <c r="S83" i="9"/>
  <c r="R83" i="9"/>
  <c r="Q83" i="9"/>
  <c r="P83" i="9"/>
  <c r="O83" i="9"/>
  <c r="N83" i="9"/>
  <c r="M83" i="9"/>
  <c r="L83" i="9"/>
  <c r="K83" i="9"/>
  <c r="J83" i="9"/>
  <c r="I83" i="9"/>
  <c r="H83" i="9"/>
  <c r="G83" i="9"/>
  <c r="F83" i="9"/>
  <c r="E83" i="9"/>
  <c r="D83" i="9"/>
  <c r="C83" i="9"/>
  <c r="B83" i="9"/>
  <c r="AC82" i="9"/>
  <c r="AB82" i="9"/>
  <c r="AA82" i="9"/>
  <c r="Z82" i="9"/>
  <c r="Y82" i="9"/>
  <c r="X82" i="9"/>
  <c r="W82" i="9"/>
  <c r="V82" i="9"/>
  <c r="U82" i="9"/>
  <c r="T82" i="9"/>
  <c r="S82" i="9"/>
  <c r="R82" i="9"/>
  <c r="Q82" i="9"/>
  <c r="P82" i="9"/>
  <c r="O82" i="9"/>
  <c r="N82" i="9"/>
  <c r="M82" i="9"/>
  <c r="L82" i="9"/>
  <c r="K82" i="9"/>
  <c r="J82" i="9"/>
  <c r="I82" i="9"/>
  <c r="H82" i="9"/>
  <c r="G82" i="9"/>
  <c r="F82" i="9"/>
  <c r="E82" i="9"/>
  <c r="D82" i="9"/>
  <c r="C82" i="9"/>
  <c r="B82" i="9"/>
  <c r="AC81" i="9"/>
  <c r="AB81" i="9"/>
  <c r="AA81" i="9"/>
  <c r="Z81" i="9"/>
  <c r="Y81" i="9"/>
  <c r="X81" i="9"/>
  <c r="W81" i="9"/>
  <c r="V81" i="9"/>
  <c r="U81" i="9"/>
  <c r="T81" i="9"/>
  <c r="S81" i="9"/>
  <c r="R81" i="9"/>
  <c r="Q81" i="9"/>
  <c r="P81" i="9"/>
  <c r="O81" i="9"/>
  <c r="N81" i="9"/>
  <c r="M81" i="9"/>
  <c r="L81" i="9"/>
  <c r="K81" i="9"/>
  <c r="J81" i="9"/>
  <c r="I81" i="9"/>
  <c r="H81" i="9"/>
  <c r="G81" i="9"/>
  <c r="F81" i="9"/>
  <c r="E81" i="9"/>
  <c r="D81" i="9"/>
  <c r="C81" i="9"/>
  <c r="B81" i="9"/>
  <c r="AC80" i="9"/>
  <c r="AB80" i="9"/>
  <c r="AA80" i="9"/>
  <c r="Z80" i="9"/>
  <c r="Y80" i="9"/>
  <c r="X80" i="9"/>
  <c r="W80" i="9"/>
  <c r="V80" i="9"/>
  <c r="U80" i="9"/>
  <c r="T80" i="9"/>
  <c r="S80" i="9"/>
  <c r="R80" i="9"/>
  <c r="Q80" i="9"/>
  <c r="P80" i="9"/>
  <c r="O80" i="9"/>
  <c r="N80" i="9"/>
  <c r="M80" i="9"/>
  <c r="L80" i="9"/>
  <c r="K80" i="9"/>
  <c r="J80" i="9"/>
  <c r="I80" i="9"/>
  <c r="H80" i="9"/>
  <c r="G80" i="9"/>
  <c r="F80" i="9"/>
  <c r="E80" i="9"/>
  <c r="D80" i="9"/>
  <c r="C80" i="9"/>
  <c r="B80" i="9"/>
  <c r="AC79" i="9"/>
  <c r="AB79" i="9"/>
  <c r="AA79" i="9"/>
  <c r="Z79" i="9"/>
  <c r="Y79" i="9"/>
  <c r="X79" i="9"/>
  <c r="W79" i="9"/>
  <c r="V79" i="9"/>
  <c r="U79" i="9"/>
  <c r="T79" i="9"/>
  <c r="S79" i="9"/>
  <c r="R79" i="9"/>
  <c r="Q79" i="9"/>
  <c r="P79" i="9"/>
  <c r="O79" i="9"/>
  <c r="N79" i="9"/>
  <c r="M79" i="9"/>
  <c r="L79" i="9"/>
  <c r="K79" i="9"/>
  <c r="J79" i="9"/>
  <c r="I79" i="9"/>
  <c r="H79" i="9"/>
  <c r="G79" i="9"/>
  <c r="F79" i="9"/>
  <c r="E79" i="9"/>
  <c r="D79" i="9"/>
  <c r="C79" i="9"/>
  <c r="B79" i="9"/>
  <c r="AC78" i="9"/>
  <c r="AB78" i="9"/>
  <c r="AA78" i="9"/>
  <c r="Z78" i="9"/>
  <c r="Y78" i="9"/>
  <c r="X78" i="9"/>
  <c r="W78" i="9"/>
  <c r="V78" i="9"/>
  <c r="U78" i="9"/>
  <c r="T78" i="9"/>
  <c r="S78" i="9"/>
  <c r="R78" i="9"/>
  <c r="Q78" i="9"/>
  <c r="P78" i="9"/>
  <c r="O78" i="9"/>
  <c r="N78" i="9"/>
  <c r="M78" i="9"/>
  <c r="L78" i="9"/>
  <c r="K78" i="9"/>
  <c r="J78" i="9"/>
  <c r="I78" i="9"/>
  <c r="H78" i="9"/>
  <c r="G78" i="9"/>
  <c r="F78" i="9"/>
  <c r="E78" i="9"/>
  <c r="D78" i="9"/>
  <c r="C78" i="9"/>
  <c r="B78" i="9"/>
  <c r="AC77" i="9"/>
  <c r="AB77" i="9"/>
  <c r="AA77" i="9"/>
  <c r="Z77" i="9"/>
  <c r="Y77" i="9"/>
  <c r="X77" i="9"/>
  <c r="W77" i="9"/>
  <c r="V77" i="9"/>
  <c r="U77" i="9"/>
  <c r="T77" i="9"/>
  <c r="S77" i="9"/>
  <c r="R77" i="9"/>
  <c r="Q77" i="9"/>
  <c r="P77" i="9"/>
  <c r="O77" i="9"/>
  <c r="N77" i="9"/>
  <c r="M77" i="9"/>
  <c r="L77" i="9"/>
  <c r="K77" i="9"/>
  <c r="J77" i="9"/>
  <c r="I77" i="9"/>
  <c r="H77" i="9"/>
  <c r="G77" i="9"/>
  <c r="F77" i="9"/>
  <c r="E77" i="9"/>
  <c r="D77" i="9"/>
  <c r="C77" i="9"/>
  <c r="B77" i="9"/>
  <c r="AC76" i="9"/>
  <c r="AB76" i="9"/>
  <c r="AA76" i="9"/>
  <c r="Z76" i="9"/>
  <c r="Y76" i="9"/>
  <c r="X76" i="9"/>
  <c r="W76" i="9"/>
  <c r="V76" i="9"/>
  <c r="U76" i="9"/>
  <c r="T76" i="9"/>
  <c r="S76" i="9"/>
  <c r="R76" i="9"/>
  <c r="Q76" i="9"/>
  <c r="P76" i="9"/>
  <c r="O76" i="9"/>
  <c r="N76" i="9"/>
  <c r="M76" i="9"/>
  <c r="L76" i="9"/>
  <c r="K76" i="9"/>
  <c r="J76" i="9"/>
  <c r="I76" i="9"/>
  <c r="H76" i="9"/>
  <c r="G76" i="9"/>
  <c r="F76" i="9"/>
  <c r="E76" i="9"/>
  <c r="D76" i="9"/>
  <c r="C76" i="9"/>
  <c r="B76" i="9"/>
  <c r="AC75" i="9"/>
  <c r="AB75" i="9"/>
  <c r="AA75" i="9"/>
  <c r="Z75" i="9"/>
  <c r="Y75" i="9"/>
  <c r="X75" i="9"/>
  <c r="W75" i="9"/>
  <c r="V75" i="9"/>
  <c r="U75" i="9"/>
  <c r="T75" i="9"/>
  <c r="S75" i="9"/>
  <c r="R75" i="9"/>
  <c r="Q75" i="9"/>
  <c r="P75" i="9"/>
  <c r="O75" i="9"/>
  <c r="N75" i="9"/>
  <c r="M75" i="9"/>
  <c r="L75" i="9"/>
  <c r="K75" i="9"/>
  <c r="J75" i="9"/>
  <c r="I75" i="9"/>
  <c r="H75" i="9"/>
  <c r="G75" i="9"/>
  <c r="F75" i="9"/>
  <c r="E75" i="9"/>
  <c r="D75" i="9"/>
  <c r="C75" i="9"/>
  <c r="B75" i="9"/>
  <c r="AC74" i="9"/>
  <c r="AB74" i="9"/>
  <c r="AA74" i="9"/>
  <c r="Z74" i="9"/>
  <c r="Y74" i="9"/>
  <c r="X74" i="9"/>
  <c r="W74" i="9"/>
  <c r="V74" i="9"/>
  <c r="U74" i="9"/>
  <c r="T74" i="9"/>
  <c r="S74" i="9"/>
  <c r="R74" i="9"/>
  <c r="Q74" i="9"/>
  <c r="P74" i="9"/>
  <c r="O74" i="9"/>
  <c r="N74" i="9"/>
  <c r="M74" i="9"/>
  <c r="L74" i="9"/>
  <c r="K74" i="9"/>
  <c r="J74" i="9"/>
  <c r="I74" i="9"/>
  <c r="H74" i="9"/>
  <c r="G74" i="9"/>
  <c r="F74" i="9"/>
  <c r="E74" i="9"/>
  <c r="D74" i="9"/>
  <c r="C74" i="9"/>
  <c r="B74" i="9"/>
  <c r="AC73" i="9"/>
  <c r="AB73" i="9"/>
  <c r="AA73" i="9"/>
  <c r="Z73" i="9"/>
  <c r="Y73" i="9"/>
  <c r="X73" i="9"/>
  <c r="W73" i="9"/>
  <c r="V73" i="9"/>
  <c r="U73" i="9"/>
  <c r="T73" i="9"/>
  <c r="S73" i="9"/>
  <c r="R73" i="9"/>
  <c r="Q73" i="9"/>
  <c r="P73" i="9"/>
  <c r="O73" i="9"/>
  <c r="N73" i="9"/>
  <c r="M73" i="9"/>
  <c r="L73" i="9"/>
  <c r="K73" i="9"/>
  <c r="J73" i="9"/>
  <c r="I73" i="9"/>
  <c r="H73" i="9"/>
  <c r="G73" i="9"/>
  <c r="F73" i="9"/>
  <c r="E73" i="9"/>
  <c r="D73" i="9"/>
  <c r="C73" i="9"/>
  <c r="B73" i="9"/>
  <c r="AC72" i="9"/>
  <c r="AB72" i="9"/>
  <c r="AA72" i="9"/>
  <c r="Z72" i="9"/>
  <c r="Y72" i="9"/>
  <c r="X72" i="9"/>
  <c r="W72" i="9"/>
  <c r="V72" i="9"/>
  <c r="U72" i="9"/>
  <c r="T72" i="9"/>
  <c r="S72" i="9"/>
  <c r="R72" i="9"/>
  <c r="Q72" i="9"/>
  <c r="P72" i="9"/>
  <c r="O72" i="9"/>
  <c r="N72" i="9"/>
  <c r="M72" i="9"/>
  <c r="L72" i="9"/>
  <c r="K72" i="9"/>
  <c r="J72" i="9"/>
  <c r="I72" i="9"/>
  <c r="H72" i="9"/>
  <c r="G72" i="9"/>
  <c r="F72" i="9"/>
  <c r="E72" i="9"/>
  <c r="D72" i="9"/>
  <c r="C72" i="9"/>
  <c r="B72" i="9"/>
  <c r="AC71" i="9"/>
  <c r="AB71" i="9"/>
  <c r="AA71" i="9"/>
  <c r="Z71" i="9"/>
  <c r="Y71" i="9"/>
  <c r="X71" i="9"/>
  <c r="W71" i="9"/>
  <c r="V71" i="9"/>
  <c r="U71" i="9"/>
  <c r="T71" i="9"/>
  <c r="S71" i="9"/>
  <c r="R71" i="9"/>
  <c r="Q71" i="9"/>
  <c r="P71" i="9"/>
  <c r="O71" i="9"/>
  <c r="N71" i="9"/>
  <c r="M71" i="9"/>
  <c r="L71" i="9"/>
  <c r="K71" i="9"/>
  <c r="J71" i="9"/>
  <c r="I71" i="9"/>
  <c r="H71" i="9"/>
  <c r="G71" i="9"/>
  <c r="F71" i="9"/>
  <c r="E71" i="9"/>
  <c r="D71" i="9"/>
  <c r="C71" i="9"/>
  <c r="B71" i="9"/>
  <c r="AC70" i="9"/>
  <c r="AB70" i="9"/>
  <c r="AA70" i="9"/>
  <c r="Z70" i="9"/>
  <c r="Y70" i="9"/>
  <c r="X70" i="9"/>
  <c r="W70" i="9"/>
  <c r="V70" i="9"/>
  <c r="U70" i="9"/>
  <c r="T70" i="9"/>
  <c r="S70" i="9"/>
  <c r="R70" i="9"/>
  <c r="Q70" i="9"/>
  <c r="P70" i="9"/>
  <c r="O70" i="9"/>
  <c r="N70" i="9"/>
  <c r="M70" i="9"/>
  <c r="L70" i="9"/>
  <c r="K70" i="9"/>
  <c r="J70" i="9"/>
  <c r="I70" i="9"/>
  <c r="H70" i="9"/>
  <c r="G70" i="9"/>
  <c r="F70" i="9"/>
  <c r="E70" i="9"/>
  <c r="D70" i="9"/>
  <c r="C70" i="9"/>
  <c r="B70" i="9"/>
  <c r="AC69" i="9"/>
  <c r="AB69" i="9"/>
  <c r="AA69" i="9"/>
  <c r="Z69" i="9"/>
  <c r="Y69" i="9"/>
  <c r="X69" i="9"/>
  <c r="W69" i="9"/>
  <c r="V69" i="9"/>
  <c r="U69" i="9"/>
  <c r="T69" i="9"/>
  <c r="S69" i="9"/>
  <c r="R69" i="9"/>
  <c r="Q69" i="9"/>
  <c r="P69" i="9"/>
  <c r="O69" i="9"/>
  <c r="N69" i="9"/>
  <c r="M69" i="9"/>
  <c r="L69" i="9"/>
  <c r="K69" i="9"/>
  <c r="J69" i="9"/>
  <c r="I69" i="9"/>
  <c r="H69" i="9"/>
  <c r="G69" i="9"/>
  <c r="F69" i="9"/>
  <c r="E69" i="9"/>
  <c r="D69" i="9"/>
  <c r="C69" i="9"/>
  <c r="B69" i="9"/>
  <c r="AC68" i="9"/>
  <c r="AB68" i="9"/>
  <c r="AA68" i="9"/>
  <c r="Z68" i="9"/>
  <c r="Y68" i="9"/>
  <c r="X68" i="9"/>
  <c r="W68" i="9"/>
  <c r="V68" i="9"/>
  <c r="U68" i="9"/>
  <c r="T68" i="9"/>
  <c r="S68" i="9"/>
  <c r="R68" i="9"/>
  <c r="Q68" i="9"/>
  <c r="P68" i="9"/>
  <c r="O68" i="9"/>
  <c r="N68" i="9"/>
  <c r="M68" i="9"/>
  <c r="L68" i="9"/>
  <c r="K68" i="9"/>
  <c r="J68" i="9"/>
  <c r="I68" i="9"/>
  <c r="H68" i="9"/>
  <c r="G68" i="9"/>
  <c r="F68" i="9"/>
  <c r="E68" i="9"/>
  <c r="D68" i="9"/>
  <c r="C68" i="9"/>
  <c r="B68" i="9"/>
  <c r="AC67" i="9"/>
  <c r="AB67" i="9"/>
  <c r="AA67" i="9"/>
  <c r="Z67" i="9"/>
  <c r="Y67" i="9"/>
  <c r="X67" i="9"/>
  <c r="W67" i="9"/>
  <c r="V67" i="9"/>
  <c r="U67" i="9"/>
  <c r="T67" i="9"/>
  <c r="S67" i="9"/>
  <c r="R67" i="9"/>
  <c r="Q67" i="9"/>
  <c r="P67" i="9"/>
  <c r="O67" i="9"/>
  <c r="N67" i="9"/>
  <c r="M67" i="9"/>
  <c r="L67" i="9"/>
  <c r="K67" i="9"/>
  <c r="J67" i="9"/>
  <c r="I67" i="9"/>
  <c r="H67" i="9"/>
  <c r="G67" i="9"/>
  <c r="F67" i="9"/>
  <c r="E67" i="9"/>
  <c r="D67" i="9"/>
  <c r="C67" i="9"/>
  <c r="B67" i="9"/>
  <c r="AC66" i="9"/>
  <c r="AB66" i="9"/>
  <c r="AA66" i="9"/>
  <c r="Z66" i="9"/>
  <c r="Y66" i="9"/>
  <c r="X66" i="9"/>
  <c r="W66" i="9"/>
  <c r="V66" i="9"/>
  <c r="U66" i="9"/>
  <c r="T66" i="9"/>
  <c r="S66" i="9"/>
  <c r="R66" i="9"/>
  <c r="Q66" i="9"/>
  <c r="P66" i="9"/>
  <c r="O66" i="9"/>
  <c r="N66" i="9"/>
  <c r="M66" i="9"/>
  <c r="L66" i="9"/>
  <c r="K66" i="9"/>
  <c r="J66" i="9"/>
  <c r="I66" i="9"/>
  <c r="H66" i="9"/>
  <c r="G66" i="9"/>
  <c r="F66" i="9"/>
  <c r="E66" i="9"/>
  <c r="D66" i="9"/>
  <c r="C66" i="9"/>
  <c r="B66" i="9"/>
  <c r="AC65" i="9"/>
  <c r="AB65" i="9"/>
  <c r="AA65" i="9"/>
  <c r="Z65" i="9"/>
  <c r="Y65" i="9"/>
  <c r="X65" i="9"/>
  <c r="W65" i="9"/>
  <c r="V65" i="9"/>
  <c r="U65" i="9"/>
  <c r="T65" i="9"/>
  <c r="S65" i="9"/>
  <c r="R65" i="9"/>
  <c r="Q65" i="9"/>
  <c r="P65" i="9"/>
  <c r="O65" i="9"/>
  <c r="N65" i="9"/>
  <c r="M65" i="9"/>
  <c r="L65" i="9"/>
  <c r="K65" i="9"/>
  <c r="J65" i="9"/>
  <c r="I65" i="9"/>
  <c r="H65" i="9"/>
  <c r="G65" i="9"/>
  <c r="F65" i="9"/>
  <c r="E65" i="9"/>
  <c r="D65" i="9"/>
  <c r="C65" i="9"/>
  <c r="B65" i="9"/>
  <c r="AC64" i="9"/>
  <c r="AB64" i="9"/>
  <c r="AA64" i="9"/>
  <c r="Z64" i="9"/>
  <c r="Y64" i="9"/>
  <c r="X64" i="9"/>
  <c r="W64" i="9"/>
  <c r="V64" i="9"/>
  <c r="U64" i="9"/>
  <c r="T64" i="9"/>
  <c r="S64" i="9"/>
  <c r="R64" i="9"/>
  <c r="Q64" i="9"/>
  <c r="P64" i="9"/>
  <c r="O64" i="9"/>
  <c r="N64" i="9"/>
  <c r="M64" i="9"/>
  <c r="L64" i="9"/>
  <c r="K64" i="9"/>
  <c r="J64" i="9"/>
  <c r="I64" i="9"/>
  <c r="H64" i="9"/>
  <c r="G64" i="9"/>
  <c r="F64" i="9"/>
  <c r="E64" i="9"/>
  <c r="D64" i="9"/>
  <c r="C64" i="9"/>
  <c r="B64" i="9"/>
  <c r="AC63" i="9"/>
  <c r="AB63" i="9"/>
  <c r="AA63" i="9"/>
  <c r="Z63" i="9"/>
  <c r="Y63" i="9"/>
  <c r="X63" i="9"/>
  <c r="W63" i="9"/>
  <c r="V63" i="9"/>
  <c r="U63" i="9"/>
  <c r="T63" i="9"/>
  <c r="S63" i="9"/>
  <c r="R63" i="9"/>
  <c r="Q63" i="9"/>
  <c r="P63" i="9"/>
  <c r="O63" i="9"/>
  <c r="N63" i="9"/>
  <c r="M63" i="9"/>
  <c r="L63" i="9"/>
  <c r="K63" i="9"/>
  <c r="J63" i="9"/>
  <c r="I63" i="9"/>
  <c r="H63" i="9"/>
  <c r="G63" i="9"/>
  <c r="F63" i="9"/>
  <c r="E63" i="9"/>
  <c r="D63" i="9"/>
  <c r="C63" i="9"/>
  <c r="B63" i="9"/>
  <c r="AC62" i="9"/>
  <c r="AB62" i="9"/>
  <c r="AA62" i="9"/>
  <c r="Z62" i="9"/>
  <c r="Y62" i="9"/>
  <c r="X62" i="9"/>
  <c r="W62" i="9"/>
  <c r="V62" i="9"/>
  <c r="U62" i="9"/>
  <c r="T62" i="9"/>
  <c r="S62" i="9"/>
  <c r="R62" i="9"/>
  <c r="Q62" i="9"/>
  <c r="P62" i="9"/>
  <c r="O62" i="9"/>
  <c r="N62" i="9"/>
  <c r="M62" i="9"/>
  <c r="L62" i="9"/>
  <c r="K62" i="9"/>
  <c r="J62" i="9"/>
  <c r="I62" i="9"/>
  <c r="H62" i="9"/>
  <c r="G62" i="9"/>
  <c r="F62" i="9"/>
  <c r="E62" i="9"/>
  <c r="D62" i="9"/>
  <c r="C62" i="9"/>
  <c r="B62" i="9"/>
  <c r="AC61" i="9"/>
  <c r="AB61" i="9"/>
  <c r="AA61" i="9"/>
  <c r="Z61" i="9"/>
  <c r="Y61" i="9"/>
  <c r="X61" i="9"/>
  <c r="W61" i="9"/>
  <c r="V61" i="9"/>
  <c r="U61" i="9"/>
  <c r="T61" i="9"/>
  <c r="S61" i="9"/>
  <c r="R61" i="9"/>
  <c r="Q61" i="9"/>
  <c r="P61" i="9"/>
  <c r="O61" i="9"/>
  <c r="N61" i="9"/>
  <c r="M61" i="9"/>
  <c r="L61" i="9"/>
  <c r="K61" i="9"/>
  <c r="J61" i="9"/>
  <c r="I61" i="9"/>
  <c r="H61" i="9"/>
  <c r="G61" i="9"/>
  <c r="F61" i="9"/>
  <c r="E61" i="9"/>
  <c r="D61" i="9"/>
  <c r="C61" i="9"/>
  <c r="B61" i="9"/>
  <c r="AC60" i="9"/>
  <c r="AB60" i="9"/>
  <c r="AA60" i="9"/>
  <c r="Z60" i="9"/>
  <c r="Y60" i="9"/>
  <c r="X60" i="9"/>
  <c r="W60" i="9"/>
  <c r="V60" i="9"/>
  <c r="U60" i="9"/>
  <c r="T60" i="9"/>
  <c r="S60" i="9"/>
  <c r="R60" i="9"/>
  <c r="Q60" i="9"/>
  <c r="P60" i="9"/>
  <c r="O60" i="9"/>
  <c r="N60" i="9"/>
  <c r="M60" i="9"/>
  <c r="L60" i="9"/>
  <c r="K60" i="9"/>
  <c r="J60" i="9"/>
  <c r="I60" i="9"/>
  <c r="H60" i="9"/>
  <c r="G60" i="9"/>
  <c r="F60" i="9"/>
  <c r="E60" i="9"/>
  <c r="D60" i="9"/>
  <c r="C60" i="9"/>
  <c r="B60" i="9"/>
  <c r="AC59" i="9"/>
  <c r="AB59" i="9"/>
  <c r="AA59" i="9"/>
  <c r="Z59" i="9"/>
  <c r="Y59" i="9"/>
  <c r="X59" i="9"/>
  <c r="W59" i="9"/>
  <c r="V59" i="9"/>
  <c r="U59" i="9"/>
  <c r="T59" i="9"/>
  <c r="S59" i="9"/>
  <c r="R59" i="9"/>
  <c r="Q59" i="9"/>
  <c r="P59" i="9"/>
  <c r="O59" i="9"/>
  <c r="N59" i="9"/>
  <c r="M59" i="9"/>
  <c r="L59" i="9"/>
  <c r="K59" i="9"/>
  <c r="J59" i="9"/>
  <c r="I59" i="9"/>
  <c r="H59" i="9"/>
  <c r="G59" i="9"/>
  <c r="F59" i="9"/>
  <c r="E59" i="9"/>
  <c r="D59" i="9"/>
  <c r="C59" i="9"/>
  <c r="B59" i="9"/>
  <c r="AC58" i="9"/>
  <c r="AB58" i="9"/>
  <c r="AA58" i="9"/>
  <c r="Z58" i="9"/>
  <c r="Y58" i="9"/>
  <c r="X58" i="9"/>
  <c r="W58" i="9"/>
  <c r="V58" i="9"/>
  <c r="U58" i="9"/>
  <c r="T58" i="9"/>
  <c r="S58" i="9"/>
  <c r="R58" i="9"/>
  <c r="Q58" i="9"/>
  <c r="P58" i="9"/>
  <c r="O58" i="9"/>
  <c r="N58" i="9"/>
  <c r="M58" i="9"/>
  <c r="L58" i="9"/>
  <c r="K58" i="9"/>
  <c r="J58" i="9"/>
  <c r="I58" i="9"/>
  <c r="H58" i="9"/>
  <c r="G58" i="9"/>
  <c r="F58" i="9"/>
  <c r="E58" i="9"/>
  <c r="D58" i="9"/>
  <c r="C58" i="9"/>
  <c r="B58" i="9"/>
  <c r="AC57" i="9"/>
  <c r="AB57" i="9"/>
  <c r="AA57" i="9"/>
  <c r="Z57" i="9"/>
  <c r="Y57" i="9"/>
  <c r="X57" i="9"/>
  <c r="W57" i="9"/>
  <c r="V57" i="9"/>
  <c r="U57" i="9"/>
  <c r="T57" i="9"/>
  <c r="S57" i="9"/>
  <c r="R57" i="9"/>
  <c r="Q57" i="9"/>
  <c r="P57" i="9"/>
  <c r="O57" i="9"/>
  <c r="N57" i="9"/>
  <c r="M57" i="9"/>
  <c r="L57" i="9"/>
  <c r="K57" i="9"/>
  <c r="J57" i="9"/>
  <c r="I57" i="9"/>
  <c r="H57" i="9"/>
  <c r="G57" i="9"/>
  <c r="F57" i="9"/>
  <c r="E57" i="9"/>
  <c r="D57" i="9"/>
  <c r="C57" i="9"/>
  <c r="B57" i="9"/>
  <c r="AC56" i="9"/>
  <c r="AB56" i="9"/>
  <c r="AA56" i="9"/>
  <c r="Z56" i="9"/>
  <c r="Y56" i="9"/>
  <c r="X56" i="9"/>
  <c r="W56" i="9"/>
  <c r="V56" i="9"/>
  <c r="U56" i="9"/>
  <c r="T56" i="9"/>
  <c r="S56" i="9"/>
  <c r="R56" i="9"/>
  <c r="Q56" i="9"/>
  <c r="P56" i="9"/>
  <c r="O56" i="9"/>
  <c r="N56" i="9"/>
  <c r="M56" i="9"/>
  <c r="L56" i="9"/>
  <c r="K56" i="9"/>
  <c r="J56" i="9"/>
  <c r="I56" i="9"/>
  <c r="H56" i="9"/>
  <c r="G56" i="9"/>
  <c r="F56" i="9"/>
  <c r="E56" i="9"/>
  <c r="D56" i="9"/>
  <c r="C56" i="9"/>
  <c r="B56" i="9"/>
  <c r="AC55" i="9"/>
  <c r="AB55" i="9"/>
  <c r="AA55" i="9"/>
  <c r="Z55" i="9"/>
  <c r="Y55" i="9"/>
  <c r="X55" i="9"/>
  <c r="W55" i="9"/>
  <c r="V55" i="9"/>
  <c r="U55" i="9"/>
  <c r="T55" i="9"/>
  <c r="S55" i="9"/>
  <c r="R55" i="9"/>
  <c r="Q55" i="9"/>
  <c r="P55" i="9"/>
  <c r="O55" i="9"/>
  <c r="N55" i="9"/>
  <c r="M55" i="9"/>
  <c r="L55" i="9"/>
  <c r="K55" i="9"/>
  <c r="J55" i="9"/>
  <c r="I55" i="9"/>
  <c r="H55" i="9"/>
  <c r="G55" i="9"/>
  <c r="F55" i="9"/>
  <c r="E55" i="9"/>
  <c r="D55" i="9"/>
  <c r="C55" i="9"/>
  <c r="B55" i="9"/>
  <c r="AC54" i="9"/>
  <c r="AB54" i="9"/>
  <c r="AA54" i="9"/>
  <c r="Z54" i="9"/>
  <c r="Y54" i="9"/>
  <c r="X54" i="9"/>
  <c r="W54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B54" i="9"/>
  <c r="AC53" i="9"/>
  <c r="AB53" i="9"/>
  <c r="AA53" i="9"/>
  <c r="Z53" i="9"/>
  <c r="Y53" i="9"/>
  <c r="X53" i="9"/>
  <c r="W53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B53" i="9"/>
  <c r="AC52" i="9"/>
  <c r="AB52" i="9"/>
  <c r="AA52" i="9"/>
  <c r="Z52" i="9"/>
  <c r="Y52" i="9"/>
  <c r="X52" i="9"/>
  <c r="W52" i="9"/>
  <c r="V52" i="9"/>
  <c r="U52" i="9"/>
  <c r="T52" i="9"/>
  <c r="S52" i="9"/>
  <c r="R52" i="9"/>
  <c r="Q52" i="9"/>
  <c r="P52" i="9"/>
  <c r="O52" i="9"/>
  <c r="N52" i="9"/>
  <c r="M52" i="9"/>
  <c r="L52" i="9"/>
  <c r="K52" i="9"/>
  <c r="J52" i="9"/>
  <c r="I52" i="9"/>
  <c r="H52" i="9"/>
  <c r="G52" i="9"/>
  <c r="F52" i="9"/>
  <c r="E52" i="9"/>
  <c r="D52" i="9"/>
  <c r="C52" i="9"/>
  <c r="B52" i="9"/>
  <c r="AC51" i="9"/>
  <c r="AB51" i="9"/>
  <c r="AA51" i="9"/>
  <c r="Z51" i="9"/>
  <c r="Y51" i="9"/>
  <c r="X51" i="9"/>
  <c r="W51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B51" i="9"/>
  <c r="AC50" i="9"/>
  <c r="AB50" i="9"/>
  <c r="AA50" i="9"/>
  <c r="Z50" i="9"/>
  <c r="Y50" i="9"/>
  <c r="X50" i="9"/>
  <c r="W50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B50" i="9"/>
  <c r="AC49" i="9"/>
  <c r="AB49" i="9"/>
  <c r="AA49" i="9"/>
  <c r="Z49" i="9"/>
  <c r="Y49" i="9"/>
  <c r="X49" i="9"/>
  <c r="W49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B49" i="9"/>
  <c r="AC48" i="9"/>
  <c r="AB48" i="9"/>
  <c r="AA48" i="9"/>
  <c r="Z48" i="9"/>
  <c r="Y48" i="9"/>
  <c r="X48" i="9"/>
  <c r="W48" i="9"/>
  <c r="V48" i="9"/>
  <c r="U48" i="9"/>
  <c r="T48" i="9"/>
  <c r="S48" i="9"/>
  <c r="R48" i="9"/>
  <c r="Q48" i="9"/>
  <c r="P48" i="9"/>
  <c r="O48" i="9"/>
  <c r="N48" i="9"/>
  <c r="M48" i="9"/>
  <c r="L48" i="9"/>
  <c r="K48" i="9"/>
  <c r="J48" i="9"/>
  <c r="I48" i="9"/>
  <c r="H48" i="9"/>
  <c r="G48" i="9"/>
  <c r="F48" i="9"/>
  <c r="E48" i="9"/>
  <c r="D48" i="9"/>
  <c r="C48" i="9"/>
  <c r="B48" i="9"/>
  <c r="AC47" i="9"/>
  <c r="AB47" i="9"/>
  <c r="AA47" i="9"/>
  <c r="Z47" i="9"/>
  <c r="Y47" i="9"/>
  <c r="X47" i="9"/>
  <c r="W47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B47" i="9"/>
  <c r="AC46" i="9"/>
  <c r="AB46" i="9"/>
  <c r="AA46" i="9"/>
  <c r="Z46" i="9"/>
  <c r="Y46" i="9"/>
  <c r="X46" i="9"/>
  <c r="W46" i="9"/>
  <c r="V46" i="9"/>
  <c r="U46" i="9"/>
  <c r="T46" i="9"/>
  <c r="S46" i="9"/>
  <c r="R46" i="9"/>
  <c r="Q46" i="9"/>
  <c r="P46" i="9"/>
  <c r="O46" i="9"/>
  <c r="N46" i="9"/>
  <c r="M46" i="9"/>
  <c r="L46" i="9"/>
  <c r="K46" i="9"/>
  <c r="J46" i="9"/>
  <c r="I46" i="9"/>
  <c r="H46" i="9"/>
  <c r="G46" i="9"/>
  <c r="F46" i="9"/>
  <c r="E46" i="9"/>
  <c r="D46" i="9"/>
  <c r="C46" i="9"/>
  <c r="B46" i="9"/>
  <c r="AC45" i="9"/>
  <c r="AB45" i="9"/>
  <c r="AA45" i="9"/>
  <c r="Z45" i="9"/>
  <c r="Y45" i="9"/>
  <c r="X45" i="9"/>
  <c r="W45" i="9"/>
  <c r="V45" i="9"/>
  <c r="U45" i="9"/>
  <c r="T45" i="9"/>
  <c r="S45" i="9"/>
  <c r="R45" i="9"/>
  <c r="Q45" i="9"/>
  <c r="P45" i="9"/>
  <c r="O45" i="9"/>
  <c r="N45" i="9"/>
  <c r="M45" i="9"/>
  <c r="L45" i="9"/>
  <c r="K45" i="9"/>
  <c r="J45" i="9"/>
  <c r="I45" i="9"/>
  <c r="H45" i="9"/>
  <c r="G45" i="9"/>
  <c r="F45" i="9"/>
  <c r="E45" i="9"/>
  <c r="D45" i="9"/>
  <c r="C45" i="9"/>
  <c r="B45" i="9"/>
  <c r="AC44" i="9"/>
  <c r="AB44" i="9"/>
  <c r="AA44" i="9"/>
  <c r="Z44" i="9"/>
  <c r="Y44" i="9"/>
  <c r="X44" i="9"/>
  <c r="W44" i="9"/>
  <c r="V44" i="9"/>
  <c r="U44" i="9"/>
  <c r="T44" i="9"/>
  <c r="S44" i="9"/>
  <c r="R44" i="9"/>
  <c r="Q44" i="9"/>
  <c r="P44" i="9"/>
  <c r="O44" i="9"/>
  <c r="N44" i="9"/>
  <c r="M44" i="9"/>
  <c r="L44" i="9"/>
  <c r="K44" i="9"/>
  <c r="J44" i="9"/>
  <c r="I44" i="9"/>
  <c r="H44" i="9"/>
  <c r="G44" i="9"/>
  <c r="F44" i="9"/>
  <c r="E44" i="9"/>
  <c r="D44" i="9"/>
  <c r="C44" i="9"/>
  <c r="B44" i="9"/>
  <c r="AC43" i="9"/>
  <c r="AB43" i="9"/>
  <c r="AA43" i="9"/>
  <c r="Z43" i="9"/>
  <c r="Y43" i="9"/>
  <c r="X43" i="9"/>
  <c r="W43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B43" i="9"/>
  <c r="AC42" i="9"/>
  <c r="AB42" i="9"/>
  <c r="AA42" i="9"/>
  <c r="Z42" i="9"/>
  <c r="Y42" i="9"/>
  <c r="X42" i="9"/>
  <c r="W42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B42" i="9"/>
  <c r="AC41" i="9"/>
  <c r="AB41" i="9"/>
  <c r="AA41" i="9"/>
  <c r="Z41" i="9"/>
  <c r="Y41" i="9"/>
  <c r="X41" i="9"/>
  <c r="W41" i="9"/>
  <c r="V41" i="9"/>
  <c r="U41" i="9"/>
  <c r="T41" i="9"/>
  <c r="S41" i="9"/>
  <c r="R41" i="9"/>
  <c r="Q41" i="9"/>
  <c r="P41" i="9"/>
  <c r="O41" i="9"/>
  <c r="N41" i="9"/>
  <c r="M41" i="9"/>
  <c r="L41" i="9"/>
  <c r="K41" i="9"/>
  <c r="J41" i="9"/>
  <c r="I41" i="9"/>
  <c r="H41" i="9"/>
  <c r="G41" i="9"/>
  <c r="F41" i="9"/>
  <c r="E41" i="9"/>
  <c r="D41" i="9"/>
  <c r="C41" i="9"/>
  <c r="B41" i="9"/>
  <c r="AC40" i="9"/>
  <c r="AB40" i="9"/>
  <c r="AA40" i="9"/>
  <c r="Z40" i="9"/>
  <c r="Y40" i="9"/>
  <c r="X40" i="9"/>
  <c r="W40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B40" i="9"/>
  <c r="AC39" i="9"/>
  <c r="AB39" i="9"/>
  <c r="AA39" i="9"/>
  <c r="Z39" i="9"/>
  <c r="Y39" i="9"/>
  <c r="X39" i="9"/>
  <c r="W39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B39" i="9"/>
  <c r="AC38" i="9"/>
  <c r="AB38" i="9"/>
  <c r="AA38" i="9"/>
  <c r="Z38" i="9"/>
  <c r="Y38" i="9"/>
  <c r="X38" i="9"/>
  <c r="W38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B38" i="9"/>
  <c r="AC37" i="9"/>
  <c r="AB37" i="9"/>
  <c r="AA37" i="9"/>
  <c r="Z37" i="9"/>
  <c r="Y37" i="9"/>
  <c r="X37" i="9"/>
  <c r="W37" i="9"/>
  <c r="V37" i="9"/>
  <c r="U37" i="9"/>
  <c r="T37" i="9"/>
  <c r="S37" i="9"/>
  <c r="R37" i="9"/>
  <c r="Q37" i="9"/>
  <c r="P37" i="9"/>
  <c r="O37" i="9"/>
  <c r="N37" i="9"/>
  <c r="M37" i="9"/>
  <c r="L37" i="9"/>
  <c r="K37" i="9"/>
  <c r="J37" i="9"/>
  <c r="I37" i="9"/>
  <c r="H37" i="9"/>
  <c r="G37" i="9"/>
  <c r="F37" i="9"/>
  <c r="E37" i="9"/>
  <c r="D37" i="9"/>
  <c r="C37" i="9"/>
  <c r="B37" i="9"/>
  <c r="AC36" i="9"/>
  <c r="AB36" i="9"/>
  <c r="AA36" i="9"/>
  <c r="Z36" i="9"/>
  <c r="Y36" i="9"/>
  <c r="X36" i="9"/>
  <c r="W36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B36" i="9"/>
  <c r="AC35" i="9"/>
  <c r="AB35" i="9"/>
  <c r="AA35" i="9"/>
  <c r="Z35" i="9"/>
  <c r="Y35" i="9"/>
  <c r="X35" i="9"/>
  <c r="W35" i="9"/>
  <c r="V35" i="9"/>
  <c r="U35" i="9"/>
  <c r="T35" i="9"/>
  <c r="S35" i="9"/>
  <c r="R35" i="9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B35" i="9"/>
  <c r="AC34" i="9"/>
  <c r="AB34" i="9"/>
  <c r="AA34" i="9"/>
  <c r="Z34" i="9"/>
  <c r="Y34" i="9"/>
  <c r="X34" i="9"/>
  <c r="W34" i="9"/>
  <c r="V34" i="9"/>
  <c r="U34" i="9"/>
  <c r="T34" i="9"/>
  <c r="S34" i="9"/>
  <c r="R34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B34" i="9"/>
  <c r="AC33" i="9"/>
  <c r="AB33" i="9"/>
  <c r="AA33" i="9"/>
  <c r="Z33" i="9"/>
  <c r="Y33" i="9"/>
  <c r="X33" i="9"/>
  <c r="W33" i="9"/>
  <c r="V33" i="9"/>
  <c r="U33" i="9"/>
  <c r="T33" i="9"/>
  <c r="S33" i="9"/>
  <c r="R33" i="9"/>
  <c r="Q33" i="9"/>
  <c r="P33" i="9"/>
  <c r="O33" i="9"/>
  <c r="N33" i="9"/>
  <c r="M33" i="9"/>
  <c r="L33" i="9"/>
  <c r="K33" i="9"/>
  <c r="J33" i="9"/>
  <c r="I33" i="9"/>
  <c r="H33" i="9"/>
  <c r="G33" i="9"/>
  <c r="F33" i="9"/>
  <c r="E33" i="9"/>
  <c r="D33" i="9"/>
  <c r="C33" i="9"/>
  <c r="B33" i="9"/>
  <c r="AC32" i="9"/>
  <c r="AB32" i="9"/>
  <c r="AA32" i="9"/>
  <c r="Z32" i="9"/>
  <c r="Y32" i="9"/>
  <c r="X32" i="9"/>
  <c r="W32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B32" i="9"/>
  <c r="AC31" i="9"/>
  <c r="AB31" i="9"/>
  <c r="AA31" i="9"/>
  <c r="Z31" i="9"/>
  <c r="Y31" i="9"/>
  <c r="X31" i="9"/>
  <c r="W31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B31" i="9"/>
  <c r="AC30" i="9"/>
  <c r="AB30" i="9"/>
  <c r="AA30" i="9"/>
  <c r="Z30" i="9"/>
  <c r="Y30" i="9"/>
  <c r="X30" i="9"/>
  <c r="W30" i="9"/>
  <c r="V30" i="9"/>
  <c r="U30" i="9"/>
  <c r="T30" i="9"/>
  <c r="S30" i="9"/>
  <c r="R30" i="9"/>
  <c r="Q30" i="9"/>
  <c r="P30" i="9"/>
  <c r="O30" i="9"/>
  <c r="N30" i="9"/>
  <c r="M30" i="9"/>
  <c r="L30" i="9"/>
  <c r="K30" i="9"/>
  <c r="J30" i="9"/>
  <c r="I30" i="9"/>
  <c r="H30" i="9"/>
  <c r="G30" i="9"/>
  <c r="F30" i="9"/>
  <c r="E30" i="9"/>
  <c r="D30" i="9"/>
  <c r="C30" i="9"/>
  <c r="B30" i="9"/>
  <c r="AC29" i="9"/>
  <c r="AB29" i="9"/>
  <c r="AA29" i="9"/>
  <c r="Z29" i="9"/>
  <c r="Y29" i="9"/>
  <c r="X29" i="9"/>
  <c r="W29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B29" i="9"/>
  <c r="AC28" i="9"/>
  <c r="AB28" i="9"/>
  <c r="AA28" i="9"/>
  <c r="Z28" i="9"/>
  <c r="Y28" i="9"/>
  <c r="X28" i="9"/>
  <c r="W28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B28" i="9"/>
  <c r="AC27" i="9"/>
  <c r="AB27" i="9"/>
  <c r="AA27" i="9"/>
  <c r="Z27" i="9"/>
  <c r="Y27" i="9"/>
  <c r="X27" i="9"/>
  <c r="W27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B27" i="9"/>
  <c r="AC26" i="9"/>
  <c r="AB26" i="9"/>
  <c r="AA26" i="9"/>
  <c r="Z26" i="9"/>
  <c r="Y26" i="9"/>
  <c r="X26" i="9"/>
  <c r="W26" i="9"/>
  <c r="V26" i="9"/>
  <c r="U26" i="9"/>
  <c r="T26" i="9"/>
  <c r="S26" i="9"/>
  <c r="R26" i="9"/>
  <c r="Q26" i="9"/>
  <c r="P26" i="9"/>
  <c r="O26" i="9"/>
  <c r="N26" i="9"/>
  <c r="M26" i="9"/>
  <c r="L26" i="9"/>
  <c r="K26" i="9"/>
  <c r="J26" i="9"/>
  <c r="I26" i="9"/>
  <c r="H26" i="9"/>
  <c r="G26" i="9"/>
  <c r="F26" i="9"/>
  <c r="E26" i="9"/>
  <c r="D26" i="9"/>
  <c r="C26" i="9"/>
  <c r="B26" i="9"/>
  <c r="AC25" i="9"/>
  <c r="AB25" i="9"/>
  <c r="AA25" i="9"/>
  <c r="Z25" i="9"/>
  <c r="Y25" i="9"/>
  <c r="X25" i="9"/>
  <c r="W25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B25" i="9"/>
  <c r="AC24" i="9"/>
  <c r="AB24" i="9"/>
  <c r="AA24" i="9"/>
  <c r="Z24" i="9"/>
  <c r="Y24" i="9"/>
  <c r="X24" i="9"/>
  <c r="W24" i="9"/>
  <c r="V24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B24" i="9"/>
  <c r="AC23" i="9"/>
  <c r="AB23" i="9"/>
  <c r="AA23" i="9"/>
  <c r="Z23" i="9"/>
  <c r="Y23" i="9"/>
  <c r="X23" i="9"/>
  <c r="W23" i="9"/>
  <c r="V23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B23" i="9"/>
  <c r="AC22" i="9"/>
  <c r="AB22" i="9"/>
  <c r="AA22" i="9"/>
  <c r="Z22" i="9"/>
  <c r="Y22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B22" i="9"/>
  <c r="AC21" i="9"/>
  <c r="AB21" i="9"/>
  <c r="AA21" i="9"/>
  <c r="Z21" i="9"/>
  <c r="Y21" i="9"/>
  <c r="X21" i="9"/>
  <c r="W21" i="9"/>
  <c r="V21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B21" i="9"/>
  <c r="AC20" i="9"/>
  <c r="AB20" i="9"/>
  <c r="AA20" i="9"/>
  <c r="Z20" i="9"/>
  <c r="Y20" i="9"/>
  <c r="X20" i="9"/>
  <c r="W20" i="9"/>
  <c r="V20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B20" i="9"/>
  <c r="AC19" i="9"/>
  <c r="AB19" i="9"/>
  <c r="AA19" i="9"/>
  <c r="Z19" i="9"/>
  <c r="Y19" i="9"/>
  <c r="X19" i="9"/>
  <c r="W19" i="9"/>
  <c r="V19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B19" i="9"/>
  <c r="AC18" i="9"/>
  <c r="AB18" i="9"/>
  <c r="AA18" i="9"/>
  <c r="Z18" i="9"/>
  <c r="Y18" i="9"/>
  <c r="X18" i="9"/>
  <c r="W18" i="9"/>
  <c r="V18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B18" i="9"/>
  <c r="AC17" i="9"/>
  <c r="AB17" i="9"/>
  <c r="AA17" i="9"/>
  <c r="Z17" i="9"/>
  <c r="Y17" i="9"/>
  <c r="X17" i="9"/>
  <c r="W17" i="9"/>
  <c r="V17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B17" i="9"/>
  <c r="AC16" i="9"/>
  <c r="AB16" i="9"/>
  <c r="AA16" i="9"/>
  <c r="Z16" i="9"/>
  <c r="Y16" i="9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B16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C14" i="9"/>
  <c r="AB14" i="9"/>
  <c r="AA14" i="9"/>
  <c r="Z14" i="9"/>
  <c r="Y14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B14" i="9"/>
  <c r="AC13" i="9"/>
  <c r="AB13" i="9"/>
  <c r="AA13" i="9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B13" i="9"/>
  <c r="AC12" i="9"/>
  <c r="AB12" i="9"/>
  <c r="AA12" i="9"/>
  <c r="Z12" i="9"/>
  <c r="Y12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B12" i="9"/>
  <c r="AC11" i="9"/>
  <c r="AB11" i="9"/>
  <c r="AA11" i="9"/>
  <c r="Z11" i="9"/>
  <c r="Y11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B11" i="9"/>
  <c r="AC10" i="9"/>
  <c r="AB10" i="9"/>
  <c r="AA10" i="9"/>
  <c r="Z10" i="9"/>
  <c r="Y10" i="9"/>
  <c r="X10" i="9"/>
  <c r="W10" i="9"/>
  <c r="V10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B10" i="9"/>
  <c r="AC9" i="9"/>
  <c r="AB9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B9" i="9"/>
  <c r="AC8" i="9"/>
  <c r="AB8" i="9"/>
  <c r="AA8" i="9"/>
  <c r="Z8" i="9"/>
  <c r="Y8" i="9"/>
  <c r="X8" i="9"/>
  <c r="W8" i="9"/>
  <c r="V8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B8" i="9"/>
  <c r="AC7" i="9"/>
  <c r="AB7" i="9"/>
  <c r="AA7" i="9"/>
  <c r="Z7" i="9"/>
  <c r="Y7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B7" i="9"/>
  <c r="AC6" i="9"/>
  <c r="AB6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B6" i="9"/>
  <c r="AC5" i="9"/>
  <c r="AB5" i="9"/>
  <c r="AA5" i="9"/>
  <c r="Z5" i="9"/>
  <c r="Y5" i="9"/>
  <c r="X5" i="9"/>
  <c r="W5" i="9"/>
  <c r="V5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B5" i="9"/>
  <c r="AC4" i="9"/>
  <c r="AB4" i="9"/>
  <c r="AA4" i="9"/>
  <c r="Z4" i="9"/>
  <c r="Y4" i="9"/>
  <c r="X4" i="9"/>
  <c r="W4" i="9"/>
  <c r="V4" i="9"/>
  <c r="U4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E4" i="9"/>
  <c r="D4" i="9"/>
  <c r="C4" i="9"/>
  <c r="B4" i="9"/>
  <c r="AC3" i="9"/>
  <c r="AB3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D3" i="9"/>
  <c r="C3" i="9"/>
  <c r="B3" i="9"/>
  <c r="B103" i="13" l="1"/>
  <c r="AC100" i="7"/>
  <c r="AB100" i="7"/>
  <c r="AA100" i="7"/>
  <c r="Z100" i="7"/>
  <c r="Y100" i="7"/>
  <c r="X100" i="7"/>
  <c r="W100" i="7"/>
  <c r="V100" i="7"/>
  <c r="U100" i="7"/>
  <c r="T100" i="7"/>
  <c r="S100" i="7"/>
  <c r="R100" i="7"/>
  <c r="Q100" i="7"/>
  <c r="P100" i="7"/>
  <c r="O100" i="7"/>
  <c r="N100" i="7"/>
  <c r="M100" i="7"/>
  <c r="L100" i="7"/>
  <c r="K100" i="7"/>
  <c r="J100" i="7"/>
  <c r="I100" i="7"/>
  <c r="H100" i="7"/>
  <c r="G100" i="7"/>
  <c r="F100" i="7"/>
  <c r="E100" i="7"/>
  <c r="D100" i="7"/>
  <c r="C100" i="7"/>
  <c r="B100" i="7"/>
  <c r="AC99" i="7"/>
  <c r="AB99" i="7"/>
  <c r="AA99" i="7"/>
  <c r="Z99" i="7"/>
  <c r="Y99" i="7"/>
  <c r="X99" i="7"/>
  <c r="W99" i="7"/>
  <c r="V99" i="7"/>
  <c r="U99" i="7"/>
  <c r="T99" i="7"/>
  <c r="S99" i="7"/>
  <c r="R99" i="7"/>
  <c r="Q99" i="7"/>
  <c r="P99" i="7"/>
  <c r="O99" i="7"/>
  <c r="N99" i="7"/>
  <c r="M99" i="7"/>
  <c r="L99" i="7"/>
  <c r="K99" i="7"/>
  <c r="J99" i="7"/>
  <c r="I99" i="7"/>
  <c r="H99" i="7"/>
  <c r="G99" i="7"/>
  <c r="F99" i="7"/>
  <c r="E99" i="7"/>
  <c r="D99" i="7"/>
  <c r="C99" i="7"/>
  <c r="B99" i="7"/>
  <c r="AC98" i="7"/>
  <c r="AB98" i="7"/>
  <c r="AA98" i="7"/>
  <c r="Z98" i="7"/>
  <c r="Y98" i="7"/>
  <c r="X98" i="7"/>
  <c r="W98" i="7"/>
  <c r="V98" i="7"/>
  <c r="U98" i="7"/>
  <c r="T98" i="7"/>
  <c r="S98" i="7"/>
  <c r="R98" i="7"/>
  <c r="Q98" i="7"/>
  <c r="P98" i="7"/>
  <c r="O98" i="7"/>
  <c r="N98" i="7"/>
  <c r="M98" i="7"/>
  <c r="L98" i="7"/>
  <c r="K98" i="7"/>
  <c r="J98" i="7"/>
  <c r="I98" i="7"/>
  <c r="H98" i="7"/>
  <c r="G98" i="7"/>
  <c r="F98" i="7"/>
  <c r="E98" i="7"/>
  <c r="D98" i="7"/>
  <c r="C98" i="7"/>
  <c r="B98" i="7"/>
  <c r="AC97" i="7"/>
  <c r="AB97" i="7"/>
  <c r="AA97" i="7"/>
  <c r="Z97" i="7"/>
  <c r="Y97" i="7"/>
  <c r="X97" i="7"/>
  <c r="W97" i="7"/>
  <c r="V97" i="7"/>
  <c r="U97" i="7"/>
  <c r="T97" i="7"/>
  <c r="S97" i="7"/>
  <c r="R97" i="7"/>
  <c r="Q97" i="7"/>
  <c r="P97" i="7"/>
  <c r="O97" i="7"/>
  <c r="N97" i="7"/>
  <c r="M97" i="7"/>
  <c r="L97" i="7"/>
  <c r="K97" i="7"/>
  <c r="J97" i="7"/>
  <c r="I97" i="7"/>
  <c r="H97" i="7"/>
  <c r="G97" i="7"/>
  <c r="F97" i="7"/>
  <c r="E97" i="7"/>
  <c r="D97" i="7"/>
  <c r="C97" i="7"/>
  <c r="B97" i="7"/>
  <c r="AC96" i="7"/>
  <c r="AB96" i="7"/>
  <c r="AA96" i="7"/>
  <c r="Z96" i="7"/>
  <c r="Y96" i="7"/>
  <c r="X96" i="7"/>
  <c r="W96" i="7"/>
  <c r="V96" i="7"/>
  <c r="U96" i="7"/>
  <c r="T96" i="7"/>
  <c r="S96" i="7"/>
  <c r="R96" i="7"/>
  <c r="Q96" i="7"/>
  <c r="P96" i="7"/>
  <c r="O96" i="7"/>
  <c r="N96" i="7"/>
  <c r="M96" i="7"/>
  <c r="L96" i="7"/>
  <c r="K96" i="7"/>
  <c r="J96" i="7"/>
  <c r="I96" i="7"/>
  <c r="H96" i="7"/>
  <c r="G96" i="7"/>
  <c r="F96" i="7"/>
  <c r="E96" i="7"/>
  <c r="D96" i="7"/>
  <c r="C96" i="7"/>
  <c r="B96" i="7"/>
  <c r="AC95" i="7"/>
  <c r="AB95" i="7"/>
  <c r="AA95" i="7"/>
  <c r="Z95" i="7"/>
  <c r="Y95" i="7"/>
  <c r="X95" i="7"/>
  <c r="W95" i="7"/>
  <c r="V95" i="7"/>
  <c r="U95" i="7"/>
  <c r="T95" i="7"/>
  <c r="S95" i="7"/>
  <c r="R95" i="7"/>
  <c r="Q95" i="7"/>
  <c r="P95" i="7"/>
  <c r="O95" i="7"/>
  <c r="N95" i="7"/>
  <c r="M95" i="7"/>
  <c r="L95" i="7"/>
  <c r="K95" i="7"/>
  <c r="J95" i="7"/>
  <c r="I95" i="7"/>
  <c r="H95" i="7"/>
  <c r="G95" i="7"/>
  <c r="F95" i="7"/>
  <c r="E95" i="7"/>
  <c r="D95" i="7"/>
  <c r="C95" i="7"/>
  <c r="B95" i="7"/>
  <c r="AC94" i="7"/>
  <c r="AB94" i="7"/>
  <c r="AA94" i="7"/>
  <c r="Z94" i="7"/>
  <c r="Y94" i="7"/>
  <c r="X94" i="7"/>
  <c r="W94" i="7"/>
  <c r="V94" i="7"/>
  <c r="U94" i="7"/>
  <c r="T94" i="7"/>
  <c r="S94" i="7"/>
  <c r="R94" i="7"/>
  <c r="Q94" i="7"/>
  <c r="P94" i="7"/>
  <c r="O94" i="7"/>
  <c r="N94" i="7"/>
  <c r="M94" i="7"/>
  <c r="L94" i="7"/>
  <c r="K94" i="7"/>
  <c r="J94" i="7"/>
  <c r="I94" i="7"/>
  <c r="H94" i="7"/>
  <c r="G94" i="7"/>
  <c r="F94" i="7"/>
  <c r="E94" i="7"/>
  <c r="D94" i="7"/>
  <c r="C94" i="7"/>
  <c r="B94" i="7"/>
  <c r="AC93" i="7"/>
  <c r="AB93" i="7"/>
  <c r="AA93" i="7"/>
  <c r="Z93" i="7"/>
  <c r="Y93" i="7"/>
  <c r="X93" i="7"/>
  <c r="W93" i="7"/>
  <c r="V93" i="7"/>
  <c r="U93" i="7"/>
  <c r="T93" i="7"/>
  <c r="S93" i="7"/>
  <c r="R93" i="7"/>
  <c r="Q93" i="7"/>
  <c r="P93" i="7"/>
  <c r="O93" i="7"/>
  <c r="N93" i="7"/>
  <c r="M93" i="7"/>
  <c r="L93" i="7"/>
  <c r="K93" i="7"/>
  <c r="J93" i="7"/>
  <c r="I93" i="7"/>
  <c r="H93" i="7"/>
  <c r="G93" i="7"/>
  <c r="F93" i="7"/>
  <c r="E93" i="7"/>
  <c r="D93" i="7"/>
  <c r="C93" i="7"/>
  <c r="B93" i="7"/>
  <c r="AC92" i="7"/>
  <c r="AB92" i="7"/>
  <c r="AA92" i="7"/>
  <c r="Z92" i="7"/>
  <c r="Y92" i="7"/>
  <c r="X92" i="7"/>
  <c r="W92" i="7"/>
  <c r="V92" i="7"/>
  <c r="U92" i="7"/>
  <c r="T92" i="7"/>
  <c r="S92" i="7"/>
  <c r="R92" i="7"/>
  <c r="Q92" i="7"/>
  <c r="P92" i="7"/>
  <c r="O92" i="7"/>
  <c r="N92" i="7"/>
  <c r="M92" i="7"/>
  <c r="L92" i="7"/>
  <c r="K92" i="7"/>
  <c r="J92" i="7"/>
  <c r="I92" i="7"/>
  <c r="H92" i="7"/>
  <c r="G92" i="7"/>
  <c r="F92" i="7"/>
  <c r="E92" i="7"/>
  <c r="D92" i="7"/>
  <c r="C92" i="7"/>
  <c r="B92" i="7"/>
  <c r="AC91" i="7"/>
  <c r="AB91" i="7"/>
  <c r="AA91" i="7"/>
  <c r="Z91" i="7"/>
  <c r="Y91" i="7"/>
  <c r="X91" i="7"/>
  <c r="W91" i="7"/>
  <c r="V91" i="7"/>
  <c r="U91" i="7"/>
  <c r="T91" i="7"/>
  <c r="S91" i="7"/>
  <c r="R91" i="7"/>
  <c r="Q91" i="7"/>
  <c r="P91" i="7"/>
  <c r="O91" i="7"/>
  <c r="N91" i="7"/>
  <c r="M91" i="7"/>
  <c r="L91" i="7"/>
  <c r="K91" i="7"/>
  <c r="J91" i="7"/>
  <c r="I91" i="7"/>
  <c r="H91" i="7"/>
  <c r="G91" i="7"/>
  <c r="F91" i="7"/>
  <c r="E91" i="7"/>
  <c r="D91" i="7"/>
  <c r="C91" i="7"/>
  <c r="B91" i="7"/>
  <c r="AC90" i="7"/>
  <c r="AB90" i="7"/>
  <c r="AA90" i="7"/>
  <c r="Z90" i="7"/>
  <c r="Y90" i="7"/>
  <c r="X90" i="7"/>
  <c r="W90" i="7"/>
  <c r="V90" i="7"/>
  <c r="U90" i="7"/>
  <c r="T90" i="7"/>
  <c r="S90" i="7"/>
  <c r="R90" i="7"/>
  <c r="Q90" i="7"/>
  <c r="P90" i="7"/>
  <c r="O90" i="7"/>
  <c r="N90" i="7"/>
  <c r="M90" i="7"/>
  <c r="L90" i="7"/>
  <c r="K90" i="7"/>
  <c r="J90" i="7"/>
  <c r="I90" i="7"/>
  <c r="H90" i="7"/>
  <c r="G90" i="7"/>
  <c r="F90" i="7"/>
  <c r="E90" i="7"/>
  <c r="D90" i="7"/>
  <c r="C90" i="7"/>
  <c r="B90" i="7"/>
  <c r="AC89" i="7"/>
  <c r="AB89" i="7"/>
  <c r="AA89" i="7"/>
  <c r="Z89" i="7"/>
  <c r="Y89" i="7"/>
  <c r="X89" i="7"/>
  <c r="W89" i="7"/>
  <c r="V89" i="7"/>
  <c r="U89" i="7"/>
  <c r="T89" i="7"/>
  <c r="S89" i="7"/>
  <c r="R89" i="7"/>
  <c r="Q89" i="7"/>
  <c r="P89" i="7"/>
  <c r="O89" i="7"/>
  <c r="N89" i="7"/>
  <c r="M89" i="7"/>
  <c r="L89" i="7"/>
  <c r="K89" i="7"/>
  <c r="J89" i="7"/>
  <c r="I89" i="7"/>
  <c r="H89" i="7"/>
  <c r="G89" i="7"/>
  <c r="F89" i="7"/>
  <c r="E89" i="7"/>
  <c r="D89" i="7"/>
  <c r="C89" i="7"/>
  <c r="B89" i="7"/>
  <c r="AC88" i="7"/>
  <c r="AB88" i="7"/>
  <c r="AA88" i="7"/>
  <c r="Z88" i="7"/>
  <c r="Y88" i="7"/>
  <c r="X88" i="7"/>
  <c r="W88" i="7"/>
  <c r="V88" i="7"/>
  <c r="U88" i="7"/>
  <c r="T88" i="7"/>
  <c r="S88" i="7"/>
  <c r="R88" i="7"/>
  <c r="Q88" i="7"/>
  <c r="P88" i="7"/>
  <c r="O88" i="7"/>
  <c r="N88" i="7"/>
  <c r="M88" i="7"/>
  <c r="L88" i="7"/>
  <c r="K88" i="7"/>
  <c r="J88" i="7"/>
  <c r="I88" i="7"/>
  <c r="H88" i="7"/>
  <c r="G88" i="7"/>
  <c r="F88" i="7"/>
  <c r="E88" i="7"/>
  <c r="D88" i="7"/>
  <c r="C88" i="7"/>
  <c r="B88" i="7"/>
  <c r="AC87" i="7"/>
  <c r="AB87" i="7"/>
  <c r="AA87" i="7"/>
  <c r="Z87" i="7"/>
  <c r="Y87" i="7"/>
  <c r="X87" i="7"/>
  <c r="W87" i="7"/>
  <c r="V87" i="7"/>
  <c r="U87" i="7"/>
  <c r="T87" i="7"/>
  <c r="S87" i="7"/>
  <c r="R87" i="7"/>
  <c r="Q87" i="7"/>
  <c r="P87" i="7"/>
  <c r="O87" i="7"/>
  <c r="N87" i="7"/>
  <c r="M87" i="7"/>
  <c r="L87" i="7"/>
  <c r="K87" i="7"/>
  <c r="J87" i="7"/>
  <c r="I87" i="7"/>
  <c r="H87" i="7"/>
  <c r="G87" i="7"/>
  <c r="F87" i="7"/>
  <c r="E87" i="7"/>
  <c r="D87" i="7"/>
  <c r="C87" i="7"/>
  <c r="B87" i="7"/>
  <c r="AC86" i="7"/>
  <c r="AB86" i="7"/>
  <c r="AA86" i="7"/>
  <c r="Z86" i="7"/>
  <c r="Y86" i="7"/>
  <c r="X86" i="7"/>
  <c r="W86" i="7"/>
  <c r="V86" i="7"/>
  <c r="U86" i="7"/>
  <c r="T86" i="7"/>
  <c r="S86" i="7"/>
  <c r="R86" i="7"/>
  <c r="Q86" i="7"/>
  <c r="P86" i="7"/>
  <c r="O86" i="7"/>
  <c r="N86" i="7"/>
  <c r="M86" i="7"/>
  <c r="L86" i="7"/>
  <c r="K86" i="7"/>
  <c r="J86" i="7"/>
  <c r="I86" i="7"/>
  <c r="H86" i="7"/>
  <c r="G86" i="7"/>
  <c r="F86" i="7"/>
  <c r="E86" i="7"/>
  <c r="D86" i="7"/>
  <c r="C86" i="7"/>
  <c r="B86" i="7"/>
  <c r="AC85" i="7"/>
  <c r="AB85" i="7"/>
  <c r="AA85" i="7"/>
  <c r="Z85" i="7"/>
  <c r="Y85" i="7"/>
  <c r="X85" i="7"/>
  <c r="W85" i="7"/>
  <c r="V85" i="7"/>
  <c r="U85" i="7"/>
  <c r="T85" i="7"/>
  <c r="S85" i="7"/>
  <c r="R85" i="7"/>
  <c r="Q85" i="7"/>
  <c r="P85" i="7"/>
  <c r="O85" i="7"/>
  <c r="N85" i="7"/>
  <c r="M85" i="7"/>
  <c r="L85" i="7"/>
  <c r="K85" i="7"/>
  <c r="J85" i="7"/>
  <c r="I85" i="7"/>
  <c r="H85" i="7"/>
  <c r="G85" i="7"/>
  <c r="F85" i="7"/>
  <c r="E85" i="7"/>
  <c r="D85" i="7"/>
  <c r="C85" i="7"/>
  <c r="B85" i="7"/>
  <c r="AC84" i="7"/>
  <c r="AB84" i="7"/>
  <c r="AA84" i="7"/>
  <c r="Z84" i="7"/>
  <c r="Y84" i="7"/>
  <c r="X84" i="7"/>
  <c r="W84" i="7"/>
  <c r="V84" i="7"/>
  <c r="U84" i="7"/>
  <c r="T84" i="7"/>
  <c r="S84" i="7"/>
  <c r="R84" i="7"/>
  <c r="Q84" i="7"/>
  <c r="P84" i="7"/>
  <c r="O84" i="7"/>
  <c r="N84" i="7"/>
  <c r="M84" i="7"/>
  <c r="L84" i="7"/>
  <c r="K84" i="7"/>
  <c r="J84" i="7"/>
  <c r="I84" i="7"/>
  <c r="H84" i="7"/>
  <c r="G84" i="7"/>
  <c r="F84" i="7"/>
  <c r="E84" i="7"/>
  <c r="D84" i="7"/>
  <c r="C84" i="7"/>
  <c r="B84" i="7"/>
  <c r="AC83" i="7"/>
  <c r="AB83" i="7"/>
  <c r="AA83" i="7"/>
  <c r="Z83" i="7"/>
  <c r="Y83" i="7"/>
  <c r="X83" i="7"/>
  <c r="W83" i="7"/>
  <c r="V83" i="7"/>
  <c r="U83" i="7"/>
  <c r="T83" i="7"/>
  <c r="S83" i="7"/>
  <c r="R83" i="7"/>
  <c r="Q83" i="7"/>
  <c r="P83" i="7"/>
  <c r="O83" i="7"/>
  <c r="N83" i="7"/>
  <c r="M83" i="7"/>
  <c r="L83" i="7"/>
  <c r="K83" i="7"/>
  <c r="J83" i="7"/>
  <c r="I83" i="7"/>
  <c r="H83" i="7"/>
  <c r="G83" i="7"/>
  <c r="F83" i="7"/>
  <c r="E83" i="7"/>
  <c r="D83" i="7"/>
  <c r="C83" i="7"/>
  <c r="B83" i="7"/>
  <c r="AC82" i="7"/>
  <c r="AB82" i="7"/>
  <c r="AA82" i="7"/>
  <c r="Z82" i="7"/>
  <c r="Y82" i="7"/>
  <c r="X82" i="7"/>
  <c r="W82" i="7"/>
  <c r="V82" i="7"/>
  <c r="U82" i="7"/>
  <c r="T82" i="7"/>
  <c r="S82" i="7"/>
  <c r="R82" i="7"/>
  <c r="Q82" i="7"/>
  <c r="P82" i="7"/>
  <c r="O82" i="7"/>
  <c r="N82" i="7"/>
  <c r="M82" i="7"/>
  <c r="L82" i="7"/>
  <c r="K82" i="7"/>
  <c r="J82" i="7"/>
  <c r="I82" i="7"/>
  <c r="H82" i="7"/>
  <c r="G82" i="7"/>
  <c r="F82" i="7"/>
  <c r="E82" i="7"/>
  <c r="D82" i="7"/>
  <c r="C82" i="7"/>
  <c r="B82" i="7"/>
  <c r="AC81" i="7"/>
  <c r="AB81" i="7"/>
  <c r="AA81" i="7"/>
  <c r="Z81" i="7"/>
  <c r="Y81" i="7"/>
  <c r="X81" i="7"/>
  <c r="W81" i="7"/>
  <c r="V81" i="7"/>
  <c r="U81" i="7"/>
  <c r="T81" i="7"/>
  <c r="S81" i="7"/>
  <c r="R81" i="7"/>
  <c r="Q81" i="7"/>
  <c r="P81" i="7"/>
  <c r="O81" i="7"/>
  <c r="N81" i="7"/>
  <c r="M81" i="7"/>
  <c r="L81" i="7"/>
  <c r="K81" i="7"/>
  <c r="J81" i="7"/>
  <c r="I81" i="7"/>
  <c r="H81" i="7"/>
  <c r="G81" i="7"/>
  <c r="F81" i="7"/>
  <c r="E81" i="7"/>
  <c r="D81" i="7"/>
  <c r="C81" i="7"/>
  <c r="B81" i="7"/>
  <c r="AC80" i="7"/>
  <c r="AB80" i="7"/>
  <c r="AA80" i="7"/>
  <c r="Z80" i="7"/>
  <c r="Y80" i="7"/>
  <c r="X80" i="7"/>
  <c r="W80" i="7"/>
  <c r="V80" i="7"/>
  <c r="U80" i="7"/>
  <c r="T80" i="7"/>
  <c r="S80" i="7"/>
  <c r="R80" i="7"/>
  <c r="Q80" i="7"/>
  <c r="P80" i="7"/>
  <c r="O80" i="7"/>
  <c r="N80" i="7"/>
  <c r="M80" i="7"/>
  <c r="L80" i="7"/>
  <c r="K80" i="7"/>
  <c r="J80" i="7"/>
  <c r="I80" i="7"/>
  <c r="H80" i="7"/>
  <c r="G80" i="7"/>
  <c r="F80" i="7"/>
  <c r="E80" i="7"/>
  <c r="D80" i="7"/>
  <c r="C80" i="7"/>
  <c r="B80" i="7"/>
  <c r="AC79" i="7"/>
  <c r="AB79" i="7"/>
  <c r="AA79" i="7"/>
  <c r="Z79" i="7"/>
  <c r="Y79" i="7"/>
  <c r="X79" i="7"/>
  <c r="W79" i="7"/>
  <c r="V79" i="7"/>
  <c r="U79" i="7"/>
  <c r="T79" i="7"/>
  <c r="S79" i="7"/>
  <c r="R79" i="7"/>
  <c r="Q79" i="7"/>
  <c r="P79" i="7"/>
  <c r="O79" i="7"/>
  <c r="N79" i="7"/>
  <c r="M79" i="7"/>
  <c r="L79" i="7"/>
  <c r="K79" i="7"/>
  <c r="J79" i="7"/>
  <c r="I79" i="7"/>
  <c r="H79" i="7"/>
  <c r="G79" i="7"/>
  <c r="F79" i="7"/>
  <c r="E79" i="7"/>
  <c r="D79" i="7"/>
  <c r="C79" i="7"/>
  <c r="B79" i="7"/>
  <c r="AC78" i="7"/>
  <c r="AB78" i="7"/>
  <c r="AA78" i="7"/>
  <c r="Z78" i="7"/>
  <c r="Y78" i="7"/>
  <c r="X78" i="7"/>
  <c r="W78" i="7"/>
  <c r="V78" i="7"/>
  <c r="U78" i="7"/>
  <c r="T78" i="7"/>
  <c r="S78" i="7"/>
  <c r="R78" i="7"/>
  <c r="Q78" i="7"/>
  <c r="P78" i="7"/>
  <c r="O78" i="7"/>
  <c r="N78" i="7"/>
  <c r="M78" i="7"/>
  <c r="L78" i="7"/>
  <c r="K78" i="7"/>
  <c r="J78" i="7"/>
  <c r="I78" i="7"/>
  <c r="H78" i="7"/>
  <c r="G78" i="7"/>
  <c r="F78" i="7"/>
  <c r="E78" i="7"/>
  <c r="D78" i="7"/>
  <c r="C78" i="7"/>
  <c r="B78" i="7"/>
  <c r="AC77" i="7"/>
  <c r="AB77" i="7"/>
  <c r="AA77" i="7"/>
  <c r="Z77" i="7"/>
  <c r="Y77" i="7"/>
  <c r="X77" i="7"/>
  <c r="W77" i="7"/>
  <c r="V77" i="7"/>
  <c r="U77" i="7"/>
  <c r="T77" i="7"/>
  <c r="S77" i="7"/>
  <c r="R77" i="7"/>
  <c r="Q77" i="7"/>
  <c r="P77" i="7"/>
  <c r="O77" i="7"/>
  <c r="N77" i="7"/>
  <c r="M77" i="7"/>
  <c r="L77" i="7"/>
  <c r="K77" i="7"/>
  <c r="J77" i="7"/>
  <c r="I77" i="7"/>
  <c r="H77" i="7"/>
  <c r="G77" i="7"/>
  <c r="F77" i="7"/>
  <c r="E77" i="7"/>
  <c r="D77" i="7"/>
  <c r="C77" i="7"/>
  <c r="B77" i="7"/>
  <c r="AC76" i="7"/>
  <c r="AB76" i="7"/>
  <c r="AA76" i="7"/>
  <c r="Z76" i="7"/>
  <c r="Y76" i="7"/>
  <c r="X76" i="7"/>
  <c r="W76" i="7"/>
  <c r="V76" i="7"/>
  <c r="U76" i="7"/>
  <c r="T76" i="7"/>
  <c r="S76" i="7"/>
  <c r="R76" i="7"/>
  <c r="Q76" i="7"/>
  <c r="P76" i="7"/>
  <c r="O76" i="7"/>
  <c r="N76" i="7"/>
  <c r="M76" i="7"/>
  <c r="L76" i="7"/>
  <c r="K76" i="7"/>
  <c r="J76" i="7"/>
  <c r="I76" i="7"/>
  <c r="H76" i="7"/>
  <c r="G76" i="7"/>
  <c r="F76" i="7"/>
  <c r="E76" i="7"/>
  <c r="D76" i="7"/>
  <c r="C76" i="7"/>
  <c r="B76" i="7"/>
  <c r="AC75" i="7"/>
  <c r="AB75" i="7"/>
  <c r="AA75" i="7"/>
  <c r="Z75" i="7"/>
  <c r="Y75" i="7"/>
  <c r="X75" i="7"/>
  <c r="W75" i="7"/>
  <c r="V75" i="7"/>
  <c r="U75" i="7"/>
  <c r="T75" i="7"/>
  <c r="S75" i="7"/>
  <c r="R75" i="7"/>
  <c r="Q75" i="7"/>
  <c r="P75" i="7"/>
  <c r="O75" i="7"/>
  <c r="N75" i="7"/>
  <c r="M75" i="7"/>
  <c r="L75" i="7"/>
  <c r="K75" i="7"/>
  <c r="J75" i="7"/>
  <c r="I75" i="7"/>
  <c r="H75" i="7"/>
  <c r="G75" i="7"/>
  <c r="F75" i="7"/>
  <c r="E75" i="7"/>
  <c r="D75" i="7"/>
  <c r="C75" i="7"/>
  <c r="B75" i="7"/>
  <c r="AC74" i="7"/>
  <c r="AB74" i="7"/>
  <c r="AA74" i="7"/>
  <c r="Z74" i="7"/>
  <c r="Y74" i="7"/>
  <c r="X74" i="7"/>
  <c r="W74" i="7"/>
  <c r="V74" i="7"/>
  <c r="U74" i="7"/>
  <c r="T74" i="7"/>
  <c r="S74" i="7"/>
  <c r="R74" i="7"/>
  <c r="Q74" i="7"/>
  <c r="P74" i="7"/>
  <c r="O74" i="7"/>
  <c r="N74" i="7"/>
  <c r="M74" i="7"/>
  <c r="L74" i="7"/>
  <c r="K74" i="7"/>
  <c r="J74" i="7"/>
  <c r="I74" i="7"/>
  <c r="H74" i="7"/>
  <c r="G74" i="7"/>
  <c r="F74" i="7"/>
  <c r="E74" i="7"/>
  <c r="D74" i="7"/>
  <c r="C74" i="7"/>
  <c r="B74" i="7"/>
  <c r="AC73" i="7"/>
  <c r="AB73" i="7"/>
  <c r="AA73" i="7"/>
  <c r="Z73" i="7"/>
  <c r="Y73" i="7"/>
  <c r="X73" i="7"/>
  <c r="W73" i="7"/>
  <c r="V73" i="7"/>
  <c r="U73" i="7"/>
  <c r="T73" i="7"/>
  <c r="S73" i="7"/>
  <c r="R73" i="7"/>
  <c r="Q73" i="7"/>
  <c r="P73" i="7"/>
  <c r="O73" i="7"/>
  <c r="N73" i="7"/>
  <c r="M73" i="7"/>
  <c r="L73" i="7"/>
  <c r="K73" i="7"/>
  <c r="J73" i="7"/>
  <c r="I73" i="7"/>
  <c r="H73" i="7"/>
  <c r="G73" i="7"/>
  <c r="F73" i="7"/>
  <c r="E73" i="7"/>
  <c r="D73" i="7"/>
  <c r="C73" i="7"/>
  <c r="B73" i="7"/>
  <c r="AC72" i="7"/>
  <c r="AB72" i="7"/>
  <c r="AA72" i="7"/>
  <c r="Z72" i="7"/>
  <c r="Y72" i="7"/>
  <c r="X72" i="7"/>
  <c r="W72" i="7"/>
  <c r="V72" i="7"/>
  <c r="U72" i="7"/>
  <c r="T72" i="7"/>
  <c r="S72" i="7"/>
  <c r="R72" i="7"/>
  <c r="Q72" i="7"/>
  <c r="P72" i="7"/>
  <c r="O72" i="7"/>
  <c r="N72" i="7"/>
  <c r="M72" i="7"/>
  <c r="L72" i="7"/>
  <c r="K72" i="7"/>
  <c r="J72" i="7"/>
  <c r="I72" i="7"/>
  <c r="H72" i="7"/>
  <c r="G72" i="7"/>
  <c r="F72" i="7"/>
  <c r="E72" i="7"/>
  <c r="D72" i="7"/>
  <c r="C72" i="7"/>
  <c r="B72" i="7"/>
  <c r="AC71" i="7"/>
  <c r="AB71" i="7"/>
  <c r="AA71" i="7"/>
  <c r="Z71" i="7"/>
  <c r="Y71" i="7"/>
  <c r="X71" i="7"/>
  <c r="W71" i="7"/>
  <c r="V71" i="7"/>
  <c r="U71" i="7"/>
  <c r="T71" i="7"/>
  <c r="S71" i="7"/>
  <c r="R71" i="7"/>
  <c r="Q71" i="7"/>
  <c r="P71" i="7"/>
  <c r="O71" i="7"/>
  <c r="N71" i="7"/>
  <c r="M71" i="7"/>
  <c r="L71" i="7"/>
  <c r="K71" i="7"/>
  <c r="J71" i="7"/>
  <c r="I71" i="7"/>
  <c r="H71" i="7"/>
  <c r="G71" i="7"/>
  <c r="F71" i="7"/>
  <c r="E71" i="7"/>
  <c r="D71" i="7"/>
  <c r="C71" i="7"/>
  <c r="B71" i="7"/>
  <c r="AC70" i="7"/>
  <c r="AB70" i="7"/>
  <c r="AA70" i="7"/>
  <c r="Z70" i="7"/>
  <c r="Y70" i="7"/>
  <c r="X70" i="7"/>
  <c r="W70" i="7"/>
  <c r="V70" i="7"/>
  <c r="U70" i="7"/>
  <c r="T70" i="7"/>
  <c r="S70" i="7"/>
  <c r="R70" i="7"/>
  <c r="Q70" i="7"/>
  <c r="P70" i="7"/>
  <c r="O70" i="7"/>
  <c r="N70" i="7"/>
  <c r="M70" i="7"/>
  <c r="L70" i="7"/>
  <c r="K70" i="7"/>
  <c r="J70" i="7"/>
  <c r="I70" i="7"/>
  <c r="H70" i="7"/>
  <c r="G70" i="7"/>
  <c r="F70" i="7"/>
  <c r="E70" i="7"/>
  <c r="D70" i="7"/>
  <c r="C70" i="7"/>
  <c r="B70" i="7"/>
  <c r="AC69" i="7"/>
  <c r="AB69" i="7"/>
  <c r="AA69" i="7"/>
  <c r="Z69" i="7"/>
  <c r="Y69" i="7"/>
  <c r="X69" i="7"/>
  <c r="W69" i="7"/>
  <c r="V69" i="7"/>
  <c r="U69" i="7"/>
  <c r="T69" i="7"/>
  <c r="S69" i="7"/>
  <c r="R69" i="7"/>
  <c r="Q69" i="7"/>
  <c r="P69" i="7"/>
  <c r="O69" i="7"/>
  <c r="N69" i="7"/>
  <c r="M69" i="7"/>
  <c r="L69" i="7"/>
  <c r="K69" i="7"/>
  <c r="J69" i="7"/>
  <c r="I69" i="7"/>
  <c r="H69" i="7"/>
  <c r="G69" i="7"/>
  <c r="F69" i="7"/>
  <c r="E69" i="7"/>
  <c r="D69" i="7"/>
  <c r="C69" i="7"/>
  <c r="B69" i="7"/>
  <c r="AC68" i="7"/>
  <c r="AB68" i="7"/>
  <c r="AA68" i="7"/>
  <c r="Z68" i="7"/>
  <c r="Y68" i="7"/>
  <c r="X68" i="7"/>
  <c r="W68" i="7"/>
  <c r="V68" i="7"/>
  <c r="U68" i="7"/>
  <c r="T68" i="7"/>
  <c r="S68" i="7"/>
  <c r="R68" i="7"/>
  <c r="Q68" i="7"/>
  <c r="P68" i="7"/>
  <c r="O68" i="7"/>
  <c r="N68" i="7"/>
  <c r="M68" i="7"/>
  <c r="L68" i="7"/>
  <c r="K68" i="7"/>
  <c r="J68" i="7"/>
  <c r="I68" i="7"/>
  <c r="H68" i="7"/>
  <c r="G68" i="7"/>
  <c r="F68" i="7"/>
  <c r="E68" i="7"/>
  <c r="D68" i="7"/>
  <c r="C68" i="7"/>
  <c r="B68" i="7"/>
  <c r="AC67" i="7"/>
  <c r="AB67" i="7"/>
  <c r="AA67" i="7"/>
  <c r="Z67" i="7"/>
  <c r="Y67" i="7"/>
  <c r="X67" i="7"/>
  <c r="W67" i="7"/>
  <c r="V67" i="7"/>
  <c r="U67" i="7"/>
  <c r="T67" i="7"/>
  <c r="S67" i="7"/>
  <c r="R67" i="7"/>
  <c r="Q67" i="7"/>
  <c r="P67" i="7"/>
  <c r="O67" i="7"/>
  <c r="N67" i="7"/>
  <c r="M67" i="7"/>
  <c r="L67" i="7"/>
  <c r="K67" i="7"/>
  <c r="J67" i="7"/>
  <c r="I67" i="7"/>
  <c r="H67" i="7"/>
  <c r="G67" i="7"/>
  <c r="F67" i="7"/>
  <c r="E67" i="7"/>
  <c r="D67" i="7"/>
  <c r="C67" i="7"/>
  <c r="B67" i="7"/>
  <c r="AC66" i="7"/>
  <c r="AB66" i="7"/>
  <c r="AA66" i="7"/>
  <c r="Z66" i="7"/>
  <c r="Y66" i="7"/>
  <c r="X66" i="7"/>
  <c r="W66" i="7"/>
  <c r="V66" i="7"/>
  <c r="U66" i="7"/>
  <c r="T66" i="7"/>
  <c r="S66" i="7"/>
  <c r="R66" i="7"/>
  <c r="Q66" i="7"/>
  <c r="P66" i="7"/>
  <c r="O66" i="7"/>
  <c r="N66" i="7"/>
  <c r="M66" i="7"/>
  <c r="L66" i="7"/>
  <c r="K66" i="7"/>
  <c r="J66" i="7"/>
  <c r="I66" i="7"/>
  <c r="H66" i="7"/>
  <c r="G66" i="7"/>
  <c r="F66" i="7"/>
  <c r="E66" i="7"/>
  <c r="D66" i="7"/>
  <c r="C66" i="7"/>
  <c r="B66" i="7"/>
  <c r="AC65" i="7"/>
  <c r="AB65" i="7"/>
  <c r="AA65" i="7"/>
  <c r="Z65" i="7"/>
  <c r="Y65" i="7"/>
  <c r="X65" i="7"/>
  <c r="W65" i="7"/>
  <c r="V65" i="7"/>
  <c r="U65" i="7"/>
  <c r="T65" i="7"/>
  <c r="S65" i="7"/>
  <c r="R65" i="7"/>
  <c r="Q65" i="7"/>
  <c r="P65" i="7"/>
  <c r="O65" i="7"/>
  <c r="N65" i="7"/>
  <c r="M65" i="7"/>
  <c r="L65" i="7"/>
  <c r="K65" i="7"/>
  <c r="J65" i="7"/>
  <c r="I65" i="7"/>
  <c r="H65" i="7"/>
  <c r="G65" i="7"/>
  <c r="F65" i="7"/>
  <c r="E65" i="7"/>
  <c r="D65" i="7"/>
  <c r="C65" i="7"/>
  <c r="B65" i="7"/>
  <c r="AC64" i="7"/>
  <c r="AB64" i="7"/>
  <c r="AA64" i="7"/>
  <c r="Z64" i="7"/>
  <c r="Y64" i="7"/>
  <c r="X64" i="7"/>
  <c r="W64" i="7"/>
  <c r="V64" i="7"/>
  <c r="U64" i="7"/>
  <c r="T64" i="7"/>
  <c r="S64" i="7"/>
  <c r="R64" i="7"/>
  <c r="Q64" i="7"/>
  <c r="P64" i="7"/>
  <c r="O64" i="7"/>
  <c r="N64" i="7"/>
  <c r="M64" i="7"/>
  <c r="L64" i="7"/>
  <c r="K64" i="7"/>
  <c r="J64" i="7"/>
  <c r="I64" i="7"/>
  <c r="H64" i="7"/>
  <c r="G64" i="7"/>
  <c r="F64" i="7"/>
  <c r="E64" i="7"/>
  <c r="D64" i="7"/>
  <c r="C64" i="7"/>
  <c r="B64" i="7"/>
  <c r="AC63" i="7"/>
  <c r="AB63" i="7"/>
  <c r="AA63" i="7"/>
  <c r="Z63" i="7"/>
  <c r="Y63" i="7"/>
  <c r="X63" i="7"/>
  <c r="W63" i="7"/>
  <c r="V63" i="7"/>
  <c r="U63" i="7"/>
  <c r="T63" i="7"/>
  <c r="S63" i="7"/>
  <c r="R63" i="7"/>
  <c r="Q63" i="7"/>
  <c r="P63" i="7"/>
  <c r="O63" i="7"/>
  <c r="N63" i="7"/>
  <c r="M63" i="7"/>
  <c r="L63" i="7"/>
  <c r="K63" i="7"/>
  <c r="J63" i="7"/>
  <c r="I63" i="7"/>
  <c r="H63" i="7"/>
  <c r="G63" i="7"/>
  <c r="F63" i="7"/>
  <c r="E63" i="7"/>
  <c r="D63" i="7"/>
  <c r="C63" i="7"/>
  <c r="B63" i="7"/>
  <c r="AC62" i="7"/>
  <c r="AB62" i="7"/>
  <c r="AA62" i="7"/>
  <c r="Z62" i="7"/>
  <c r="Y62" i="7"/>
  <c r="X62" i="7"/>
  <c r="W62" i="7"/>
  <c r="V62" i="7"/>
  <c r="U62" i="7"/>
  <c r="T62" i="7"/>
  <c r="S62" i="7"/>
  <c r="R62" i="7"/>
  <c r="Q62" i="7"/>
  <c r="P62" i="7"/>
  <c r="O62" i="7"/>
  <c r="N62" i="7"/>
  <c r="M62" i="7"/>
  <c r="L62" i="7"/>
  <c r="K62" i="7"/>
  <c r="J62" i="7"/>
  <c r="I62" i="7"/>
  <c r="H62" i="7"/>
  <c r="G62" i="7"/>
  <c r="F62" i="7"/>
  <c r="E62" i="7"/>
  <c r="D62" i="7"/>
  <c r="C62" i="7"/>
  <c r="B62" i="7"/>
  <c r="AC61" i="7"/>
  <c r="AB61" i="7"/>
  <c r="AA61" i="7"/>
  <c r="Z61" i="7"/>
  <c r="Y61" i="7"/>
  <c r="X61" i="7"/>
  <c r="W61" i="7"/>
  <c r="V61" i="7"/>
  <c r="U61" i="7"/>
  <c r="T61" i="7"/>
  <c r="S61" i="7"/>
  <c r="R61" i="7"/>
  <c r="Q61" i="7"/>
  <c r="P61" i="7"/>
  <c r="O61" i="7"/>
  <c r="N61" i="7"/>
  <c r="M61" i="7"/>
  <c r="L61" i="7"/>
  <c r="K61" i="7"/>
  <c r="J61" i="7"/>
  <c r="I61" i="7"/>
  <c r="H61" i="7"/>
  <c r="G61" i="7"/>
  <c r="F61" i="7"/>
  <c r="E61" i="7"/>
  <c r="D61" i="7"/>
  <c r="C61" i="7"/>
  <c r="B61" i="7"/>
  <c r="AC60" i="7"/>
  <c r="AB60" i="7"/>
  <c r="AA60" i="7"/>
  <c r="Z60" i="7"/>
  <c r="Y60" i="7"/>
  <c r="X60" i="7"/>
  <c r="W60" i="7"/>
  <c r="V60" i="7"/>
  <c r="U60" i="7"/>
  <c r="T60" i="7"/>
  <c r="S60" i="7"/>
  <c r="R60" i="7"/>
  <c r="Q60" i="7"/>
  <c r="P60" i="7"/>
  <c r="O60" i="7"/>
  <c r="N60" i="7"/>
  <c r="M60" i="7"/>
  <c r="L60" i="7"/>
  <c r="K60" i="7"/>
  <c r="J60" i="7"/>
  <c r="I60" i="7"/>
  <c r="H60" i="7"/>
  <c r="G60" i="7"/>
  <c r="F60" i="7"/>
  <c r="E60" i="7"/>
  <c r="D60" i="7"/>
  <c r="C60" i="7"/>
  <c r="B60" i="7"/>
  <c r="AC59" i="7"/>
  <c r="AB59" i="7"/>
  <c r="AA59" i="7"/>
  <c r="Z59" i="7"/>
  <c r="Y59" i="7"/>
  <c r="X59" i="7"/>
  <c r="W59" i="7"/>
  <c r="V59" i="7"/>
  <c r="U59" i="7"/>
  <c r="T59" i="7"/>
  <c r="S59" i="7"/>
  <c r="R59" i="7"/>
  <c r="Q59" i="7"/>
  <c r="P59" i="7"/>
  <c r="O59" i="7"/>
  <c r="N59" i="7"/>
  <c r="M59" i="7"/>
  <c r="L59" i="7"/>
  <c r="K59" i="7"/>
  <c r="J59" i="7"/>
  <c r="I59" i="7"/>
  <c r="H59" i="7"/>
  <c r="G59" i="7"/>
  <c r="F59" i="7"/>
  <c r="E59" i="7"/>
  <c r="D59" i="7"/>
  <c r="C59" i="7"/>
  <c r="B59" i="7"/>
  <c r="AC58" i="7"/>
  <c r="AB58" i="7"/>
  <c r="AA58" i="7"/>
  <c r="Z58" i="7"/>
  <c r="Y58" i="7"/>
  <c r="X58" i="7"/>
  <c r="W58" i="7"/>
  <c r="V58" i="7"/>
  <c r="U58" i="7"/>
  <c r="T58" i="7"/>
  <c r="S58" i="7"/>
  <c r="R58" i="7"/>
  <c r="Q58" i="7"/>
  <c r="P58" i="7"/>
  <c r="O58" i="7"/>
  <c r="N58" i="7"/>
  <c r="M58" i="7"/>
  <c r="L58" i="7"/>
  <c r="K58" i="7"/>
  <c r="J58" i="7"/>
  <c r="I58" i="7"/>
  <c r="H58" i="7"/>
  <c r="G58" i="7"/>
  <c r="F58" i="7"/>
  <c r="E58" i="7"/>
  <c r="D58" i="7"/>
  <c r="C58" i="7"/>
  <c r="B58" i="7"/>
  <c r="AC57" i="7"/>
  <c r="AB57" i="7"/>
  <c r="AA57" i="7"/>
  <c r="Z57" i="7"/>
  <c r="Y57" i="7"/>
  <c r="X57" i="7"/>
  <c r="W57" i="7"/>
  <c r="V57" i="7"/>
  <c r="U57" i="7"/>
  <c r="T57" i="7"/>
  <c r="S57" i="7"/>
  <c r="R57" i="7"/>
  <c r="Q57" i="7"/>
  <c r="P57" i="7"/>
  <c r="O57" i="7"/>
  <c r="N57" i="7"/>
  <c r="M57" i="7"/>
  <c r="L57" i="7"/>
  <c r="K57" i="7"/>
  <c r="J57" i="7"/>
  <c r="I57" i="7"/>
  <c r="H57" i="7"/>
  <c r="G57" i="7"/>
  <c r="F57" i="7"/>
  <c r="E57" i="7"/>
  <c r="D57" i="7"/>
  <c r="C57" i="7"/>
  <c r="B57" i="7"/>
  <c r="AC56" i="7"/>
  <c r="AB56" i="7"/>
  <c r="AA56" i="7"/>
  <c r="Z56" i="7"/>
  <c r="Y56" i="7"/>
  <c r="X56" i="7"/>
  <c r="W56" i="7"/>
  <c r="V56" i="7"/>
  <c r="U56" i="7"/>
  <c r="T56" i="7"/>
  <c r="S56" i="7"/>
  <c r="R56" i="7"/>
  <c r="Q56" i="7"/>
  <c r="P56" i="7"/>
  <c r="O56" i="7"/>
  <c r="N56" i="7"/>
  <c r="M56" i="7"/>
  <c r="L56" i="7"/>
  <c r="K56" i="7"/>
  <c r="J56" i="7"/>
  <c r="I56" i="7"/>
  <c r="H56" i="7"/>
  <c r="G56" i="7"/>
  <c r="F56" i="7"/>
  <c r="E56" i="7"/>
  <c r="D56" i="7"/>
  <c r="C56" i="7"/>
  <c r="B56" i="7"/>
  <c r="AC55" i="7"/>
  <c r="AB55" i="7"/>
  <c r="AA55" i="7"/>
  <c r="Z55" i="7"/>
  <c r="Y55" i="7"/>
  <c r="X55" i="7"/>
  <c r="W55" i="7"/>
  <c r="V55" i="7"/>
  <c r="U55" i="7"/>
  <c r="T55" i="7"/>
  <c r="S55" i="7"/>
  <c r="R55" i="7"/>
  <c r="Q55" i="7"/>
  <c r="P55" i="7"/>
  <c r="O55" i="7"/>
  <c r="N55" i="7"/>
  <c r="M55" i="7"/>
  <c r="L55" i="7"/>
  <c r="K55" i="7"/>
  <c r="J55" i="7"/>
  <c r="I55" i="7"/>
  <c r="H55" i="7"/>
  <c r="G55" i="7"/>
  <c r="F55" i="7"/>
  <c r="E55" i="7"/>
  <c r="D55" i="7"/>
  <c r="C55" i="7"/>
  <c r="B55" i="7"/>
  <c r="AC54" i="7"/>
  <c r="AB54" i="7"/>
  <c r="AA54" i="7"/>
  <c r="Z54" i="7"/>
  <c r="Y54" i="7"/>
  <c r="X54" i="7"/>
  <c r="W54" i="7"/>
  <c r="V54" i="7"/>
  <c r="U54" i="7"/>
  <c r="T54" i="7"/>
  <c r="S54" i="7"/>
  <c r="R54" i="7"/>
  <c r="Q54" i="7"/>
  <c r="P54" i="7"/>
  <c r="O54" i="7"/>
  <c r="N54" i="7"/>
  <c r="M54" i="7"/>
  <c r="L54" i="7"/>
  <c r="K54" i="7"/>
  <c r="J54" i="7"/>
  <c r="I54" i="7"/>
  <c r="H54" i="7"/>
  <c r="G54" i="7"/>
  <c r="F54" i="7"/>
  <c r="E54" i="7"/>
  <c r="D54" i="7"/>
  <c r="C54" i="7"/>
  <c r="B54" i="7"/>
  <c r="AC53" i="7"/>
  <c r="AB53" i="7"/>
  <c r="AA53" i="7"/>
  <c r="Z53" i="7"/>
  <c r="Y53" i="7"/>
  <c r="X53" i="7"/>
  <c r="W53" i="7"/>
  <c r="V53" i="7"/>
  <c r="U53" i="7"/>
  <c r="T53" i="7"/>
  <c r="S53" i="7"/>
  <c r="R53" i="7"/>
  <c r="Q53" i="7"/>
  <c r="P53" i="7"/>
  <c r="O53" i="7"/>
  <c r="N53" i="7"/>
  <c r="M53" i="7"/>
  <c r="L53" i="7"/>
  <c r="K53" i="7"/>
  <c r="J53" i="7"/>
  <c r="I53" i="7"/>
  <c r="H53" i="7"/>
  <c r="G53" i="7"/>
  <c r="F53" i="7"/>
  <c r="E53" i="7"/>
  <c r="D53" i="7"/>
  <c r="C53" i="7"/>
  <c r="B53" i="7"/>
  <c r="AC52" i="7"/>
  <c r="AB52" i="7"/>
  <c r="AA52" i="7"/>
  <c r="Z52" i="7"/>
  <c r="Y52" i="7"/>
  <c r="X52" i="7"/>
  <c r="W52" i="7"/>
  <c r="V52" i="7"/>
  <c r="U52" i="7"/>
  <c r="T52" i="7"/>
  <c r="S52" i="7"/>
  <c r="R52" i="7"/>
  <c r="Q52" i="7"/>
  <c r="P52" i="7"/>
  <c r="O52" i="7"/>
  <c r="N52" i="7"/>
  <c r="M52" i="7"/>
  <c r="L52" i="7"/>
  <c r="K52" i="7"/>
  <c r="J52" i="7"/>
  <c r="I52" i="7"/>
  <c r="H52" i="7"/>
  <c r="G52" i="7"/>
  <c r="F52" i="7"/>
  <c r="E52" i="7"/>
  <c r="D52" i="7"/>
  <c r="C52" i="7"/>
  <c r="B52" i="7"/>
  <c r="AC51" i="7"/>
  <c r="AB51" i="7"/>
  <c r="AA51" i="7"/>
  <c r="Z51" i="7"/>
  <c r="Y51" i="7"/>
  <c r="X51" i="7"/>
  <c r="W51" i="7"/>
  <c r="V51" i="7"/>
  <c r="U51" i="7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C51" i="7"/>
  <c r="B51" i="7"/>
  <c r="AC50" i="7"/>
  <c r="AB50" i="7"/>
  <c r="AA50" i="7"/>
  <c r="Z50" i="7"/>
  <c r="Y50" i="7"/>
  <c r="X50" i="7"/>
  <c r="W50" i="7"/>
  <c r="V50" i="7"/>
  <c r="U50" i="7"/>
  <c r="T50" i="7"/>
  <c r="S50" i="7"/>
  <c r="R50" i="7"/>
  <c r="Q50" i="7"/>
  <c r="P50" i="7"/>
  <c r="O50" i="7"/>
  <c r="N50" i="7"/>
  <c r="M50" i="7"/>
  <c r="L50" i="7"/>
  <c r="K50" i="7"/>
  <c r="J50" i="7"/>
  <c r="I50" i="7"/>
  <c r="H50" i="7"/>
  <c r="G50" i="7"/>
  <c r="F50" i="7"/>
  <c r="E50" i="7"/>
  <c r="D50" i="7"/>
  <c r="C50" i="7"/>
  <c r="B50" i="7"/>
  <c r="AC49" i="7"/>
  <c r="AB49" i="7"/>
  <c r="AA49" i="7"/>
  <c r="Z49" i="7"/>
  <c r="Y49" i="7"/>
  <c r="X49" i="7"/>
  <c r="W49" i="7"/>
  <c r="V49" i="7"/>
  <c r="U49" i="7"/>
  <c r="T49" i="7"/>
  <c r="S49" i="7"/>
  <c r="R49" i="7"/>
  <c r="Q49" i="7"/>
  <c r="P49" i="7"/>
  <c r="O49" i="7"/>
  <c r="N49" i="7"/>
  <c r="M49" i="7"/>
  <c r="L49" i="7"/>
  <c r="K49" i="7"/>
  <c r="J49" i="7"/>
  <c r="I49" i="7"/>
  <c r="H49" i="7"/>
  <c r="G49" i="7"/>
  <c r="F49" i="7"/>
  <c r="E49" i="7"/>
  <c r="D49" i="7"/>
  <c r="C49" i="7"/>
  <c r="B49" i="7"/>
  <c r="AC48" i="7"/>
  <c r="AB48" i="7"/>
  <c r="AA48" i="7"/>
  <c r="Z48" i="7"/>
  <c r="Y48" i="7"/>
  <c r="X48" i="7"/>
  <c r="W48" i="7"/>
  <c r="V48" i="7"/>
  <c r="U48" i="7"/>
  <c r="T48" i="7"/>
  <c r="S48" i="7"/>
  <c r="R48" i="7"/>
  <c r="Q48" i="7"/>
  <c r="P48" i="7"/>
  <c r="O48" i="7"/>
  <c r="N48" i="7"/>
  <c r="M48" i="7"/>
  <c r="L48" i="7"/>
  <c r="K48" i="7"/>
  <c r="J48" i="7"/>
  <c r="I48" i="7"/>
  <c r="H48" i="7"/>
  <c r="G48" i="7"/>
  <c r="F48" i="7"/>
  <c r="E48" i="7"/>
  <c r="D48" i="7"/>
  <c r="C48" i="7"/>
  <c r="B48" i="7"/>
  <c r="AC47" i="7"/>
  <c r="AB47" i="7"/>
  <c r="AA47" i="7"/>
  <c r="Z47" i="7"/>
  <c r="Y47" i="7"/>
  <c r="X47" i="7"/>
  <c r="W47" i="7"/>
  <c r="V47" i="7"/>
  <c r="U47" i="7"/>
  <c r="T47" i="7"/>
  <c r="S47" i="7"/>
  <c r="R47" i="7"/>
  <c r="Q47" i="7"/>
  <c r="P47" i="7"/>
  <c r="O47" i="7"/>
  <c r="N47" i="7"/>
  <c r="M47" i="7"/>
  <c r="L47" i="7"/>
  <c r="K47" i="7"/>
  <c r="J47" i="7"/>
  <c r="I47" i="7"/>
  <c r="H47" i="7"/>
  <c r="G47" i="7"/>
  <c r="F47" i="7"/>
  <c r="E47" i="7"/>
  <c r="D47" i="7"/>
  <c r="C47" i="7"/>
  <c r="B47" i="7"/>
  <c r="AC46" i="7"/>
  <c r="AB46" i="7"/>
  <c r="AA46" i="7"/>
  <c r="Z46" i="7"/>
  <c r="Y46" i="7"/>
  <c r="X46" i="7"/>
  <c r="W46" i="7"/>
  <c r="V46" i="7"/>
  <c r="U46" i="7"/>
  <c r="T46" i="7"/>
  <c r="S46" i="7"/>
  <c r="R46" i="7"/>
  <c r="Q46" i="7"/>
  <c r="P46" i="7"/>
  <c r="O46" i="7"/>
  <c r="N46" i="7"/>
  <c r="M46" i="7"/>
  <c r="L46" i="7"/>
  <c r="K46" i="7"/>
  <c r="J46" i="7"/>
  <c r="I46" i="7"/>
  <c r="H46" i="7"/>
  <c r="G46" i="7"/>
  <c r="F46" i="7"/>
  <c r="E46" i="7"/>
  <c r="D46" i="7"/>
  <c r="C46" i="7"/>
  <c r="B46" i="7"/>
  <c r="AC45" i="7"/>
  <c r="AB45" i="7"/>
  <c r="AA45" i="7"/>
  <c r="Z45" i="7"/>
  <c r="Y45" i="7"/>
  <c r="X45" i="7"/>
  <c r="W45" i="7"/>
  <c r="V45" i="7"/>
  <c r="U45" i="7"/>
  <c r="T45" i="7"/>
  <c r="S45" i="7"/>
  <c r="R45" i="7"/>
  <c r="Q45" i="7"/>
  <c r="P45" i="7"/>
  <c r="O45" i="7"/>
  <c r="N45" i="7"/>
  <c r="M45" i="7"/>
  <c r="L45" i="7"/>
  <c r="K45" i="7"/>
  <c r="J45" i="7"/>
  <c r="I45" i="7"/>
  <c r="H45" i="7"/>
  <c r="G45" i="7"/>
  <c r="F45" i="7"/>
  <c r="E45" i="7"/>
  <c r="D45" i="7"/>
  <c r="C45" i="7"/>
  <c r="B45" i="7"/>
  <c r="AC44" i="7"/>
  <c r="AB44" i="7"/>
  <c r="AA44" i="7"/>
  <c r="Z44" i="7"/>
  <c r="Y44" i="7"/>
  <c r="X44" i="7"/>
  <c r="W44" i="7"/>
  <c r="V44" i="7"/>
  <c r="U44" i="7"/>
  <c r="T44" i="7"/>
  <c r="S44" i="7"/>
  <c r="R44" i="7"/>
  <c r="Q44" i="7"/>
  <c r="P44" i="7"/>
  <c r="O44" i="7"/>
  <c r="N44" i="7"/>
  <c r="M44" i="7"/>
  <c r="L44" i="7"/>
  <c r="K44" i="7"/>
  <c r="J44" i="7"/>
  <c r="I44" i="7"/>
  <c r="H44" i="7"/>
  <c r="G44" i="7"/>
  <c r="F44" i="7"/>
  <c r="E44" i="7"/>
  <c r="D44" i="7"/>
  <c r="C44" i="7"/>
  <c r="B44" i="7"/>
  <c r="AC43" i="7"/>
  <c r="AB43" i="7"/>
  <c r="AA43" i="7"/>
  <c r="Z43" i="7"/>
  <c r="Y43" i="7"/>
  <c r="X43" i="7"/>
  <c r="W43" i="7"/>
  <c r="V43" i="7"/>
  <c r="U43" i="7"/>
  <c r="T43" i="7"/>
  <c r="S43" i="7"/>
  <c r="R43" i="7"/>
  <c r="Q43" i="7"/>
  <c r="P43" i="7"/>
  <c r="O43" i="7"/>
  <c r="N43" i="7"/>
  <c r="M43" i="7"/>
  <c r="L43" i="7"/>
  <c r="K43" i="7"/>
  <c r="J43" i="7"/>
  <c r="I43" i="7"/>
  <c r="H43" i="7"/>
  <c r="G43" i="7"/>
  <c r="F43" i="7"/>
  <c r="E43" i="7"/>
  <c r="D43" i="7"/>
  <c r="C43" i="7"/>
  <c r="B43" i="7"/>
  <c r="AC42" i="7"/>
  <c r="AB42" i="7"/>
  <c r="AA42" i="7"/>
  <c r="Z42" i="7"/>
  <c r="Y42" i="7"/>
  <c r="X42" i="7"/>
  <c r="W42" i="7"/>
  <c r="V42" i="7"/>
  <c r="U42" i="7"/>
  <c r="T42" i="7"/>
  <c r="S42" i="7"/>
  <c r="R42" i="7"/>
  <c r="Q42" i="7"/>
  <c r="P42" i="7"/>
  <c r="O42" i="7"/>
  <c r="N42" i="7"/>
  <c r="M42" i="7"/>
  <c r="L42" i="7"/>
  <c r="K42" i="7"/>
  <c r="J42" i="7"/>
  <c r="I42" i="7"/>
  <c r="H42" i="7"/>
  <c r="G42" i="7"/>
  <c r="F42" i="7"/>
  <c r="E42" i="7"/>
  <c r="D42" i="7"/>
  <c r="C42" i="7"/>
  <c r="B42" i="7"/>
  <c r="AC41" i="7"/>
  <c r="AB41" i="7"/>
  <c r="AA41" i="7"/>
  <c r="Z41" i="7"/>
  <c r="Y41" i="7"/>
  <c r="X41" i="7"/>
  <c r="W41" i="7"/>
  <c r="V41" i="7"/>
  <c r="U41" i="7"/>
  <c r="T41" i="7"/>
  <c r="S41" i="7"/>
  <c r="R41" i="7"/>
  <c r="Q41" i="7"/>
  <c r="P41" i="7"/>
  <c r="O41" i="7"/>
  <c r="N41" i="7"/>
  <c r="M41" i="7"/>
  <c r="L41" i="7"/>
  <c r="K41" i="7"/>
  <c r="J41" i="7"/>
  <c r="I41" i="7"/>
  <c r="H41" i="7"/>
  <c r="G41" i="7"/>
  <c r="F41" i="7"/>
  <c r="E41" i="7"/>
  <c r="D41" i="7"/>
  <c r="C41" i="7"/>
  <c r="B41" i="7"/>
  <c r="AC40" i="7"/>
  <c r="AB40" i="7"/>
  <c r="AA40" i="7"/>
  <c r="Z40" i="7"/>
  <c r="Y40" i="7"/>
  <c r="X40" i="7"/>
  <c r="W40" i="7"/>
  <c r="V40" i="7"/>
  <c r="U40" i="7"/>
  <c r="T40" i="7"/>
  <c r="S40" i="7"/>
  <c r="R40" i="7"/>
  <c r="Q40" i="7"/>
  <c r="P40" i="7"/>
  <c r="O40" i="7"/>
  <c r="N40" i="7"/>
  <c r="M40" i="7"/>
  <c r="L40" i="7"/>
  <c r="K40" i="7"/>
  <c r="J40" i="7"/>
  <c r="I40" i="7"/>
  <c r="H40" i="7"/>
  <c r="G40" i="7"/>
  <c r="F40" i="7"/>
  <c r="E40" i="7"/>
  <c r="D40" i="7"/>
  <c r="C40" i="7"/>
  <c r="B40" i="7"/>
  <c r="AC39" i="7"/>
  <c r="AB39" i="7"/>
  <c r="AA39" i="7"/>
  <c r="Z39" i="7"/>
  <c r="Y39" i="7"/>
  <c r="X39" i="7"/>
  <c r="W39" i="7"/>
  <c r="V39" i="7"/>
  <c r="U39" i="7"/>
  <c r="T39" i="7"/>
  <c r="S39" i="7"/>
  <c r="R39" i="7"/>
  <c r="Q39" i="7"/>
  <c r="P39" i="7"/>
  <c r="O39" i="7"/>
  <c r="N39" i="7"/>
  <c r="M39" i="7"/>
  <c r="L39" i="7"/>
  <c r="K39" i="7"/>
  <c r="J39" i="7"/>
  <c r="I39" i="7"/>
  <c r="H39" i="7"/>
  <c r="G39" i="7"/>
  <c r="F39" i="7"/>
  <c r="E39" i="7"/>
  <c r="D39" i="7"/>
  <c r="C39" i="7"/>
  <c r="B39" i="7"/>
  <c r="AC38" i="7"/>
  <c r="AB38" i="7"/>
  <c r="AA38" i="7"/>
  <c r="Z38" i="7"/>
  <c r="Y38" i="7"/>
  <c r="X38" i="7"/>
  <c r="W38" i="7"/>
  <c r="V38" i="7"/>
  <c r="U38" i="7"/>
  <c r="T38" i="7"/>
  <c r="S38" i="7"/>
  <c r="R38" i="7"/>
  <c r="Q38" i="7"/>
  <c r="P38" i="7"/>
  <c r="O38" i="7"/>
  <c r="N38" i="7"/>
  <c r="M38" i="7"/>
  <c r="L38" i="7"/>
  <c r="K38" i="7"/>
  <c r="J38" i="7"/>
  <c r="I38" i="7"/>
  <c r="H38" i="7"/>
  <c r="G38" i="7"/>
  <c r="F38" i="7"/>
  <c r="E38" i="7"/>
  <c r="D38" i="7"/>
  <c r="C38" i="7"/>
  <c r="B38" i="7"/>
  <c r="AC37" i="7"/>
  <c r="AB37" i="7"/>
  <c r="AA37" i="7"/>
  <c r="Z37" i="7"/>
  <c r="Y37" i="7"/>
  <c r="X37" i="7"/>
  <c r="W37" i="7"/>
  <c r="V37" i="7"/>
  <c r="U37" i="7"/>
  <c r="T37" i="7"/>
  <c r="S37" i="7"/>
  <c r="R37" i="7"/>
  <c r="Q37" i="7"/>
  <c r="P37" i="7"/>
  <c r="O37" i="7"/>
  <c r="N37" i="7"/>
  <c r="M37" i="7"/>
  <c r="L37" i="7"/>
  <c r="K37" i="7"/>
  <c r="J37" i="7"/>
  <c r="I37" i="7"/>
  <c r="H37" i="7"/>
  <c r="G37" i="7"/>
  <c r="F37" i="7"/>
  <c r="E37" i="7"/>
  <c r="D37" i="7"/>
  <c r="C37" i="7"/>
  <c r="B37" i="7"/>
  <c r="AC36" i="7"/>
  <c r="AB36" i="7"/>
  <c r="AA36" i="7"/>
  <c r="Z36" i="7"/>
  <c r="Y36" i="7"/>
  <c r="X36" i="7"/>
  <c r="W36" i="7"/>
  <c r="V36" i="7"/>
  <c r="U36" i="7"/>
  <c r="T36" i="7"/>
  <c r="S36" i="7"/>
  <c r="R36" i="7"/>
  <c r="Q36" i="7"/>
  <c r="P36" i="7"/>
  <c r="O36" i="7"/>
  <c r="N36" i="7"/>
  <c r="M36" i="7"/>
  <c r="L36" i="7"/>
  <c r="K36" i="7"/>
  <c r="J36" i="7"/>
  <c r="I36" i="7"/>
  <c r="H36" i="7"/>
  <c r="G36" i="7"/>
  <c r="F36" i="7"/>
  <c r="E36" i="7"/>
  <c r="D36" i="7"/>
  <c r="C36" i="7"/>
  <c r="B36" i="7"/>
  <c r="AC35" i="7"/>
  <c r="AB35" i="7"/>
  <c r="AA35" i="7"/>
  <c r="Z35" i="7"/>
  <c r="Y35" i="7"/>
  <c r="X35" i="7"/>
  <c r="W35" i="7"/>
  <c r="V35" i="7"/>
  <c r="U35" i="7"/>
  <c r="T35" i="7"/>
  <c r="S35" i="7"/>
  <c r="R35" i="7"/>
  <c r="Q35" i="7"/>
  <c r="P35" i="7"/>
  <c r="O35" i="7"/>
  <c r="N35" i="7"/>
  <c r="M35" i="7"/>
  <c r="L35" i="7"/>
  <c r="K35" i="7"/>
  <c r="J35" i="7"/>
  <c r="I35" i="7"/>
  <c r="H35" i="7"/>
  <c r="G35" i="7"/>
  <c r="F35" i="7"/>
  <c r="E35" i="7"/>
  <c r="D35" i="7"/>
  <c r="C35" i="7"/>
  <c r="B35" i="7"/>
  <c r="AC34" i="7"/>
  <c r="AB34" i="7"/>
  <c r="AA34" i="7"/>
  <c r="Z34" i="7"/>
  <c r="Y34" i="7"/>
  <c r="X34" i="7"/>
  <c r="W34" i="7"/>
  <c r="V34" i="7"/>
  <c r="U34" i="7"/>
  <c r="T34" i="7"/>
  <c r="S34" i="7"/>
  <c r="R34" i="7"/>
  <c r="Q34" i="7"/>
  <c r="P34" i="7"/>
  <c r="O34" i="7"/>
  <c r="N34" i="7"/>
  <c r="M34" i="7"/>
  <c r="L34" i="7"/>
  <c r="K34" i="7"/>
  <c r="J34" i="7"/>
  <c r="I34" i="7"/>
  <c r="H34" i="7"/>
  <c r="G34" i="7"/>
  <c r="F34" i="7"/>
  <c r="E34" i="7"/>
  <c r="D34" i="7"/>
  <c r="C34" i="7"/>
  <c r="B34" i="7"/>
  <c r="AC33" i="7"/>
  <c r="AB33" i="7"/>
  <c r="AA33" i="7"/>
  <c r="Z33" i="7"/>
  <c r="Y33" i="7"/>
  <c r="X33" i="7"/>
  <c r="W33" i="7"/>
  <c r="V33" i="7"/>
  <c r="U33" i="7"/>
  <c r="T33" i="7"/>
  <c r="S33" i="7"/>
  <c r="R33" i="7"/>
  <c r="Q33" i="7"/>
  <c r="P33" i="7"/>
  <c r="O33" i="7"/>
  <c r="N33" i="7"/>
  <c r="M33" i="7"/>
  <c r="L33" i="7"/>
  <c r="K33" i="7"/>
  <c r="J33" i="7"/>
  <c r="I33" i="7"/>
  <c r="H33" i="7"/>
  <c r="G33" i="7"/>
  <c r="F33" i="7"/>
  <c r="E33" i="7"/>
  <c r="D33" i="7"/>
  <c r="C33" i="7"/>
  <c r="B33" i="7"/>
  <c r="AC32" i="7"/>
  <c r="AB32" i="7"/>
  <c r="AA32" i="7"/>
  <c r="Z32" i="7"/>
  <c r="Y32" i="7"/>
  <c r="X32" i="7"/>
  <c r="W32" i="7"/>
  <c r="V32" i="7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G32" i="7"/>
  <c r="F32" i="7"/>
  <c r="E32" i="7"/>
  <c r="D32" i="7"/>
  <c r="C32" i="7"/>
  <c r="B32" i="7"/>
  <c r="AC31" i="7"/>
  <c r="AB31" i="7"/>
  <c r="AA31" i="7"/>
  <c r="Z31" i="7"/>
  <c r="Y31" i="7"/>
  <c r="X31" i="7"/>
  <c r="W31" i="7"/>
  <c r="V31" i="7"/>
  <c r="U31" i="7"/>
  <c r="T31" i="7"/>
  <c r="S31" i="7"/>
  <c r="R31" i="7"/>
  <c r="Q31" i="7"/>
  <c r="P31" i="7"/>
  <c r="O31" i="7"/>
  <c r="N31" i="7"/>
  <c r="M31" i="7"/>
  <c r="L31" i="7"/>
  <c r="K31" i="7"/>
  <c r="J31" i="7"/>
  <c r="I31" i="7"/>
  <c r="H31" i="7"/>
  <c r="G31" i="7"/>
  <c r="F31" i="7"/>
  <c r="E31" i="7"/>
  <c r="D31" i="7"/>
  <c r="C31" i="7"/>
  <c r="B31" i="7"/>
  <c r="AC30" i="7"/>
  <c r="AB30" i="7"/>
  <c r="AA30" i="7"/>
  <c r="Z30" i="7"/>
  <c r="Y30" i="7"/>
  <c r="X30" i="7"/>
  <c r="W30" i="7"/>
  <c r="V30" i="7"/>
  <c r="U30" i="7"/>
  <c r="T30" i="7"/>
  <c r="S30" i="7"/>
  <c r="R30" i="7"/>
  <c r="Q30" i="7"/>
  <c r="P30" i="7"/>
  <c r="O30" i="7"/>
  <c r="N30" i="7"/>
  <c r="M30" i="7"/>
  <c r="L30" i="7"/>
  <c r="K30" i="7"/>
  <c r="J30" i="7"/>
  <c r="I30" i="7"/>
  <c r="H30" i="7"/>
  <c r="G30" i="7"/>
  <c r="F30" i="7"/>
  <c r="E30" i="7"/>
  <c r="D30" i="7"/>
  <c r="C30" i="7"/>
  <c r="B30" i="7"/>
  <c r="AC29" i="7"/>
  <c r="AB29" i="7"/>
  <c r="AA29" i="7"/>
  <c r="Z29" i="7"/>
  <c r="Y29" i="7"/>
  <c r="X29" i="7"/>
  <c r="W29" i="7"/>
  <c r="V29" i="7"/>
  <c r="U29" i="7"/>
  <c r="T29" i="7"/>
  <c r="S29" i="7"/>
  <c r="R29" i="7"/>
  <c r="Q29" i="7"/>
  <c r="P29" i="7"/>
  <c r="O29" i="7"/>
  <c r="N29" i="7"/>
  <c r="M29" i="7"/>
  <c r="L29" i="7"/>
  <c r="K29" i="7"/>
  <c r="J29" i="7"/>
  <c r="I29" i="7"/>
  <c r="H29" i="7"/>
  <c r="G29" i="7"/>
  <c r="F29" i="7"/>
  <c r="E29" i="7"/>
  <c r="D29" i="7"/>
  <c r="C29" i="7"/>
  <c r="B29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  <c r="O28" i="7"/>
  <c r="N28" i="7"/>
  <c r="M28" i="7"/>
  <c r="L28" i="7"/>
  <c r="K28" i="7"/>
  <c r="J28" i="7"/>
  <c r="I28" i="7"/>
  <c r="H28" i="7"/>
  <c r="G28" i="7"/>
  <c r="F28" i="7"/>
  <c r="E28" i="7"/>
  <c r="D28" i="7"/>
  <c r="C28" i="7"/>
  <c r="B28" i="7"/>
  <c r="AC27" i="7"/>
  <c r="AB27" i="7"/>
  <c r="AA27" i="7"/>
  <c r="Z27" i="7"/>
  <c r="Y27" i="7"/>
  <c r="X27" i="7"/>
  <c r="W27" i="7"/>
  <c r="V27" i="7"/>
  <c r="U27" i="7"/>
  <c r="T27" i="7"/>
  <c r="S27" i="7"/>
  <c r="R27" i="7"/>
  <c r="Q27" i="7"/>
  <c r="P27" i="7"/>
  <c r="O27" i="7"/>
  <c r="N27" i="7"/>
  <c r="M27" i="7"/>
  <c r="L27" i="7"/>
  <c r="K27" i="7"/>
  <c r="J27" i="7"/>
  <c r="I27" i="7"/>
  <c r="H27" i="7"/>
  <c r="G27" i="7"/>
  <c r="F27" i="7"/>
  <c r="E27" i="7"/>
  <c r="D27" i="7"/>
  <c r="C27" i="7"/>
  <c r="B27" i="7"/>
  <c r="AC26" i="7"/>
  <c r="AB26" i="7"/>
  <c r="AA26" i="7"/>
  <c r="Z26" i="7"/>
  <c r="Y26" i="7"/>
  <c r="X26" i="7"/>
  <c r="W26" i="7"/>
  <c r="V26" i="7"/>
  <c r="U26" i="7"/>
  <c r="T26" i="7"/>
  <c r="S26" i="7"/>
  <c r="R26" i="7"/>
  <c r="Q26" i="7"/>
  <c r="P26" i="7"/>
  <c r="O26" i="7"/>
  <c r="N26" i="7"/>
  <c r="M26" i="7"/>
  <c r="L26" i="7"/>
  <c r="K26" i="7"/>
  <c r="J26" i="7"/>
  <c r="I26" i="7"/>
  <c r="H26" i="7"/>
  <c r="G26" i="7"/>
  <c r="F26" i="7"/>
  <c r="E26" i="7"/>
  <c r="D26" i="7"/>
  <c r="C26" i="7"/>
  <c r="B26" i="7"/>
  <c r="AC25" i="7"/>
  <c r="AB25" i="7"/>
  <c r="AA25" i="7"/>
  <c r="Z25" i="7"/>
  <c r="Y25" i="7"/>
  <c r="X25" i="7"/>
  <c r="W25" i="7"/>
  <c r="V25" i="7"/>
  <c r="U25" i="7"/>
  <c r="T25" i="7"/>
  <c r="S25" i="7"/>
  <c r="R25" i="7"/>
  <c r="Q25" i="7"/>
  <c r="P25" i="7"/>
  <c r="O25" i="7"/>
  <c r="N25" i="7"/>
  <c r="M25" i="7"/>
  <c r="L25" i="7"/>
  <c r="K25" i="7"/>
  <c r="J25" i="7"/>
  <c r="I25" i="7"/>
  <c r="H25" i="7"/>
  <c r="G25" i="7"/>
  <c r="F25" i="7"/>
  <c r="E25" i="7"/>
  <c r="D25" i="7"/>
  <c r="C25" i="7"/>
  <c r="B25" i="7"/>
  <c r="AC24" i="7"/>
  <c r="AB24" i="7"/>
  <c r="AA24" i="7"/>
  <c r="Z24" i="7"/>
  <c r="Y24" i="7"/>
  <c r="X24" i="7"/>
  <c r="W24" i="7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F24" i="7"/>
  <c r="E24" i="7"/>
  <c r="D24" i="7"/>
  <c r="C24" i="7"/>
  <c r="B24" i="7"/>
  <c r="AC23" i="7"/>
  <c r="AB23" i="7"/>
  <c r="AA23" i="7"/>
  <c r="Z23" i="7"/>
  <c r="Y23" i="7"/>
  <c r="X23" i="7"/>
  <c r="W23" i="7"/>
  <c r="V23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H23" i="7"/>
  <c r="G23" i="7"/>
  <c r="F23" i="7"/>
  <c r="E23" i="7"/>
  <c r="D23" i="7"/>
  <c r="C23" i="7"/>
  <c r="B23" i="7"/>
  <c r="AC22" i="7"/>
  <c r="AB22" i="7"/>
  <c r="AA22" i="7"/>
  <c r="Z22" i="7"/>
  <c r="Y22" i="7"/>
  <c r="X22" i="7"/>
  <c r="W22" i="7"/>
  <c r="V22" i="7"/>
  <c r="U22" i="7"/>
  <c r="T22" i="7"/>
  <c r="S22" i="7"/>
  <c r="R22" i="7"/>
  <c r="Q22" i="7"/>
  <c r="P22" i="7"/>
  <c r="O22" i="7"/>
  <c r="N22" i="7"/>
  <c r="M22" i="7"/>
  <c r="L22" i="7"/>
  <c r="K22" i="7"/>
  <c r="J22" i="7"/>
  <c r="I22" i="7"/>
  <c r="H22" i="7"/>
  <c r="G22" i="7"/>
  <c r="F22" i="7"/>
  <c r="E22" i="7"/>
  <c r="D22" i="7"/>
  <c r="C22" i="7"/>
  <c r="B22" i="7"/>
  <c r="AC21" i="7"/>
  <c r="AB21" i="7"/>
  <c r="AA21" i="7"/>
  <c r="Z21" i="7"/>
  <c r="Y21" i="7"/>
  <c r="X21" i="7"/>
  <c r="W21" i="7"/>
  <c r="V21" i="7"/>
  <c r="U21" i="7"/>
  <c r="T21" i="7"/>
  <c r="S21" i="7"/>
  <c r="R21" i="7"/>
  <c r="Q21" i="7"/>
  <c r="P21" i="7"/>
  <c r="O21" i="7"/>
  <c r="N21" i="7"/>
  <c r="M21" i="7"/>
  <c r="L21" i="7"/>
  <c r="K21" i="7"/>
  <c r="J21" i="7"/>
  <c r="I21" i="7"/>
  <c r="H21" i="7"/>
  <c r="G21" i="7"/>
  <c r="F21" i="7"/>
  <c r="E21" i="7"/>
  <c r="D21" i="7"/>
  <c r="C21" i="7"/>
  <c r="B21" i="7"/>
  <c r="AC20" i="7"/>
  <c r="AB20" i="7"/>
  <c r="AA20" i="7"/>
  <c r="Z20" i="7"/>
  <c r="Y20" i="7"/>
  <c r="X20" i="7"/>
  <c r="W20" i="7"/>
  <c r="V20" i="7"/>
  <c r="U20" i="7"/>
  <c r="T20" i="7"/>
  <c r="S20" i="7"/>
  <c r="R20" i="7"/>
  <c r="Q20" i="7"/>
  <c r="P20" i="7"/>
  <c r="O20" i="7"/>
  <c r="N20" i="7"/>
  <c r="M20" i="7"/>
  <c r="L20" i="7"/>
  <c r="K20" i="7"/>
  <c r="J20" i="7"/>
  <c r="I20" i="7"/>
  <c r="H20" i="7"/>
  <c r="G20" i="7"/>
  <c r="F20" i="7"/>
  <c r="E20" i="7"/>
  <c r="D20" i="7"/>
  <c r="C20" i="7"/>
  <c r="B20" i="7"/>
  <c r="AC19" i="7"/>
  <c r="AB19" i="7"/>
  <c r="AA19" i="7"/>
  <c r="Z19" i="7"/>
  <c r="Y19" i="7"/>
  <c r="X19" i="7"/>
  <c r="W19" i="7"/>
  <c r="V19" i="7"/>
  <c r="U19" i="7"/>
  <c r="T19" i="7"/>
  <c r="S19" i="7"/>
  <c r="R19" i="7"/>
  <c r="Q19" i="7"/>
  <c r="P19" i="7"/>
  <c r="O19" i="7"/>
  <c r="N19" i="7"/>
  <c r="M19" i="7"/>
  <c r="L19" i="7"/>
  <c r="K19" i="7"/>
  <c r="J19" i="7"/>
  <c r="I19" i="7"/>
  <c r="H19" i="7"/>
  <c r="G19" i="7"/>
  <c r="F19" i="7"/>
  <c r="E19" i="7"/>
  <c r="D19" i="7"/>
  <c r="C19" i="7"/>
  <c r="B19" i="7"/>
  <c r="AC18" i="7"/>
  <c r="AB18" i="7"/>
  <c r="AA18" i="7"/>
  <c r="Z18" i="7"/>
  <c r="Y18" i="7"/>
  <c r="X18" i="7"/>
  <c r="W18" i="7"/>
  <c r="V18" i="7"/>
  <c r="U18" i="7"/>
  <c r="T18" i="7"/>
  <c r="S18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C18" i="7"/>
  <c r="B18" i="7"/>
  <c r="AC17" i="7"/>
  <c r="AB17" i="7"/>
  <c r="AA17" i="7"/>
  <c r="Z17" i="7"/>
  <c r="Y17" i="7"/>
  <c r="X17" i="7"/>
  <c r="W17" i="7"/>
  <c r="V17" i="7"/>
  <c r="U17" i="7"/>
  <c r="T17" i="7"/>
  <c r="S17" i="7"/>
  <c r="R17" i="7"/>
  <c r="Q17" i="7"/>
  <c r="P17" i="7"/>
  <c r="O17" i="7"/>
  <c r="N17" i="7"/>
  <c r="M17" i="7"/>
  <c r="L17" i="7"/>
  <c r="K17" i="7"/>
  <c r="J17" i="7"/>
  <c r="I17" i="7"/>
  <c r="H17" i="7"/>
  <c r="G17" i="7"/>
  <c r="F17" i="7"/>
  <c r="E17" i="7"/>
  <c r="D17" i="7"/>
  <c r="C17" i="7"/>
  <c r="B17" i="7"/>
  <c r="AC16" i="7"/>
  <c r="AB16" i="7"/>
  <c r="AA16" i="7"/>
  <c r="Z16" i="7"/>
  <c r="Y16" i="7"/>
  <c r="X16" i="7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G16" i="7"/>
  <c r="F16" i="7"/>
  <c r="E16" i="7"/>
  <c r="D16" i="7"/>
  <c r="C16" i="7"/>
  <c r="B16" i="7"/>
  <c r="AC15" i="7"/>
  <c r="AB15" i="7"/>
  <c r="AA15" i="7"/>
  <c r="Z15" i="7"/>
  <c r="Y15" i="7"/>
  <c r="X15" i="7"/>
  <c r="W15" i="7"/>
  <c r="V15" i="7"/>
  <c r="U15" i="7"/>
  <c r="T15" i="7"/>
  <c r="S15" i="7"/>
  <c r="R15" i="7"/>
  <c r="Q15" i="7"/>
  <c r="P15" i="7"/>
  <c r="O15" i="7"/>
  <c r="N15" i="7"/>
  <c r="M15" i="7"/>
  <c r="L15" i="7"/>
  <c r="K15" i="7"/>
  <c r="J15" i="7"/>
  <c r="I15" i="7"/>
  <c r="H15" i="7"/>
  <c r="G15" i="7"/>
  <c r="F15" i="7"/>
  <c r="E15" i="7"/>
  <c r="D15" i="7"/>
  <c r="C15" i="7"/>
  <c r="B15" i="7"/>
  <c r="AC14" i="7"/>
  <c r="AB14" i="7"/>
  <c r="AA14" i="7"/>
  <c r="Z14" i="7"/>
  <c r="Y14" i="7"/>
  <c r="X14" i="7"/>
  <c r="W14" i="7"/>
  <c r="V14" i="7"/>
  <c r="U14" i="7"/>
  <c r="T14" i="7"/>
  <c r="S14" i="7"/>
  <c r="R14" i="7"/>
  <c r="Q14" i="7"/>
  <c r="P14" i="7"/>
  <c r="O14" i="7"/>
  <c r="N14" i="7"/>
  <c r="M14" i="7"/>
  <c r="L14" i="7"/>
  <c r="K14" i="7"/>
  <c r="J14" i="7"/>
  <c r="I14" i="7"/>
  <c r="H14" i="7"/>
  <c r="G14" i="7"/>
  <c r="F14" i="7"/>
  <c r="E14" i="7"/>
  <c r="D14" i="7"/>
  <c r="C14" i="7"/>
  <c r="B14" i="7"/>
  <c r="AC13" i="7"/>
  <c r="AB13" i="7"/>
  <c r="AA13" i="7"/>
  <c r="Z13" i="7"/>
  <c r="Y13" i="7"/>
  <c r="X13" i="7"/>
  <c r="W13" i="7"/>
  <c r="V13" i="7"/>
  <c r="U13" i="7"/>
  <c r="T13" i="7"/>
  <c r="S13" i="7"/>
  <c r="R13" i="7"/>
  <c r="Q13" i="7"/>
  <c r="P13" i="7"/>
  <c r="O13" i="7"/>
  <c r="N13" i="7"/>
  <c r="M13" i="7"/>
  <c r="L13" i="7"/>
  <c r="K13" i="7"/>
  <c r="J13" i="7"/>
  <c r="I13" i="7"/>
  <c r="H13" i="7"/>
  <c r="G13" i="7"/>
  <c r="F13" i="7"/>
  <c r="E13" i="7"/>
  <c r="D13" i="7"/>
  <c r="C13" i="7"/>
  <c r="B13" i="7"/>
  <c r="AC12" i="7"/>
  <c r="AB12" i="7"/>
  <c r="AA12" i="7"/>
  <c r="Z12" i="7"/>
  <c r="Y12" i="7"/>
  <c r="X12" i="7"/>
  <c r="W12" i="7"/>
  <c r="V12" i="7"/>
  <c r="U12" i="7"/>
  <c r="T12" i="7"/>
  <c r="S12" i="7"/>
  <c r="R12" i="7"/>
  <c r="Q12" i="7"/>
  <c r="P12" i="7"/>
  <c r="O12" i="7"/>
  <c r="N12" i="7"/>
  <c r="M12" i="7"/>
  <c r="L12" i="7"/>
  <c r="K12" i="7"/>
  <c r="J12" i="7"/>
  <c r="I12" i="7"/>
  <c r="H12" i="7"/>
  <c r="G12" i="7"/>
  <c r="F12" i="7"/>
  <c r="E12" i="7"/>
  <c r="D12" i="7"/>
  <c r="C12" i="7"/>
  <c r="B12" i="7"/>
  <c r="AC11" i="7"/>
  <c r="AB11" i="7"/>
  <c r="AA11" i="7"/>
  <c r="Z11" i="7"/>
  <c r="Y11" i="7"/>
  <c r="X11" i="7"/>
  <c r="W11" i="7"/>
  <c r="V11" i="7"/>
  <c r="U11" i="7"/>
  <c r="T11" i="7"/>
  <c r="S11" i="7"/>
  <c r="R11" i="7"/>
  <c r="Q11" i="7"/>
  <c r="P11" i="7"/>
  <c r="O11" i="7"/>
  <c r="N11" i="7"/>
  <c r="M11" i="7"/>
  <c r="L11" i="7"/>
  <c r="K11" i="7"/>
  <c r="J11" i="7"/>
  <c r="I11" i="7"/>
  <c r="H11" i="7"/>
  <c r="G11" i="7"/>
  <c r="F11" i="7"/>
  <c r="E11" i="7"/>
  <c r="D11" i="7"/>
  <c r="C11" i="7"/>
  <c r="B11" i="7"/>
  <c r="AC10" i="7"/>
  <c r="AB10" i="7"/>
  <c r="AA10" i="7"/>
  <c r="Z10" i="7"/>
  <c r="Y10" i="7"/>
  <c r="X10" i="7"/>
  <c r="W10" i="7"/>
  <c r="V10" i="7"/>
  <c r="U10" i="7"/>
  <c r="T10" i="7"/>
  <c r="S10" i="7"/>
  <c r="R10" i="7"/>
  <c r="Q10" i="7"/>
  <c r="P10" i="7"/>
  <c r="O10" i="7"/>
  <c r="N10" i="7"/>
  <c r="M10" i="7"/>
  <c r="L10" i="7"/>
  <c r="K10" i="7"/>
  <c r="J10" i="7"/>
  <c r="I10" i="7"/>
  <c r="H10" i="7"/>
  <c r="G10" i="7"/>
  <c r="F10" i="7"/>
  <c r="E10" i="7"/>
  <c r="D10" i="7"/>
  <c r="C10" i="7"/>
  <c r="B10" i="7"/>
  <c r="AC9" i="7"/>
  <c r="AB9" i="7"/>
  <c r="AA9" i="7"/>
  <c r="Z9" i="7"/>
  <c r="Y9" i="7"/>
  <c r="X9" i="7"/>
  <c r="W9" i="7"/>
  <c r="V9" i="7"/>
  <c r="U9" i="7"/>
  <c r="T9" i="7"/>
  <c r="S9" i="7"/>
  <c r="R9" i="7"/>
  <c r="Q9" i="7"/>
  <c r="P9" i="7"/>
  <c r="O9" i="7"/>
  <c r="N9" i="7"/>
  <c r="M9" i="7"/>
  <c r="L9" i="7"/>
  <c r="K9" i="7"/>
  <c r="J9" i="7"/>
  <c r="I9" i="7"/>
  <c r="H9" i="7"/>
  <c r="G9" i="7"/>
  <c r="F9" i="7"/>
  <c r="E9" i="7"/>
  <c r="D9" i="7"/>
  <c r="C9" i="7"/>
  <c r="B9" i="7"/>
  <c r="AC8" i="7"/>
  <c r="AB8" i="7"/>
  <c r="AA8" i="7"/>
  <c r="Z8" i="7"/>
  <c r="Y8" i="7"/>
  <c r="X8" i="7"/>
  <c r="W8" i="7"/>
  <c r="V8" i="7"/>
  <c r="U8" i="7"/>
  <c r="T8" i="7"/>
  <c r="S8" i="7"/>
  <c r="R8" i="7"/>
  <c r="Q8" i="7"/>
  <c r="P8" i="7"/>
  <c r="O8" i="7"/>
  <c r="N8" i="7"/>
  <c r="M8" i="7"/>
  <c r="L8" i="7"/>
  <c r="K8" i="7"/>
  <c r="J8" i="7"/>
  <c r="I8" i="7"/>
  <c r="H8" i="7"/>
  <c r="G8" i="7"/>
  <c r="F8" i="7"/>
  <c r="E8" i="7"/>
  <c r="D8" i="7"/>
  <c r="C8" i="7"/>
  <c r="B8" i="7"/>
  <c r="AC7" i="7"/>
  <c r="AB7" i="7"/>
  <c r="AA7" i="7"/>
  <c r="Z7" i="7"/>
  <c r="Y7" i="7"/>
  <c r="X7" i="7"/>
  <c r="W7" i="7"/>
  <c r="V7" i="7"/>
  <c r="U7" i="7"/>
  <c r="T7" i="7"/>
  <c r="S7" i="7"/>
  <c r="R7" i="7"/>
  <c r="Q7" i="7"/>
  <c r="P7" i="7"/>
  <c r="O7" i="7"/>
  <c r="N7" i="7"/>
  <c r="M7" i="7"/>
  <c r="L7" i="7"/>
  <c r="K7" i="7"/>
  <c r="J7" i="7"/>
  <c r="I7" i="7"/>
  <c r="H7" i="7"/>
  <c r="G7" i="7"/>
  <c r="F7" i="7"/>
  <c r="E7" i="7"/>
  <c r="D7" i="7"/>
  <c r="C7" i="7"/>
  <c r="B7" i="7"/>
  <c r="AC6" i="7"/>
  <c r="AB6" i="7"/>
  <c r="AA6" i="7"/>
  <c r="Z6" i="7"/>
  <c r="Y6" i="7"/>
  <c r="X6" i="7"/>
  <c r="W6" i="7"/>
  <c r="V6" i="7"/>
  <c r="U6" i="7"/>
  <c r="T6" i="7"/>
  <c r="S6" i="7"/>
  <c r="R6" i="7"/>
  <c r="Q6" i="7"/>
  <c r="P6" i="7"/>
  <c r="O6" i="7"/>
  <c r="N6" i="7"/>
  <c r="M6" i="7"/>
  <c r="L6" i="7"/>
  <c r="K6" i="7"/>
  <c r="J6" i="7"/>
  <c r="I6" i="7"/>
  <c r="H6" i="7"/>
  <c r="G6" i="7"/>
  <c r="F6" i="7"/>
  <c r="E6" i="7"/>
  <c r="D6" i="7"/>
  <c r="C6" i="7"/>
  <c r="B6" i="7"/>
  <c r="AC5" i="7"/>
  <c r="AB5" i="7"/>
  <c r="AA5" i="7"/>
  <c r="Z5" i="7"/>
  <c r="Y5" i="7"/>
  <c r="X5" i="7"/>
  <c r="W5" i="7"/>
  <c r="V5" i="7"/>
  <c r="U5" i="7"/>
  <c r="T5" i="7"/>
  <c r="S5" i="7"/>
  <c r="R5" i="7"/>
  <c r="Q5" i="7"/>
  <c r="P5" i="7"/>
  <c r="O5" i="7"/>
  <c r="N5" i="7"/>
  <c r="M5" i="7"/>
  <c r="L5" i="7"/>
  <c r="K5" i="7"/>
  <c r="J5" i="7"/>
  <c r="I5" i="7"/>
  <c r="H5" i="7"/>
  <c r="G5" i="7"/>
  <c r="F5" i="7"/>
  <c r="E5" i="7"/>
  <c r="D5" i="7"/>
  <c r="C5" i="7"/>
  <c r="B5" i="7"/>
  <c r="AC4" i="7"/>
  <c r="AB4" i="7"/>
  <c r="AA4" i="7"/>
  <c r="Z4" i="7"/>
  <c r="Y4" i="7"/>
  <c r="X4" i="7"/>
  <c r="W4" i="7"/>
  <c r="V4" i="7"/>
  <c r="U4" i="7"/>
  <c r="T4" i="7"/>
  <c r="S4" i="7"/>
  <c r="R4" i="7"/>
  <c r="Q4" i="7"/>
  <c r="P4" i="7"/>
  <c r="O4" i="7"/>
  <c r="N4" i="7"/>
  <c r="M4" i="7"/>
  <c r="L4" i="7"/>
  <c r="K4" i="7"/>
  <c r="J4" i="7"/>
  <c r="I4" i="7"/>
  <c r="H4" i="7"/>
  <c r="G4" i="7"/>
  <c r="F4" i="7"/>
  <c r="E4" i="7"/>
  <c r="D4" i="7"/>
  <c r="C4" i="7"/>
  <c r="B4" i="7"/>
  <c r="AC3" i="7"/>
  <c r="AB3" i="7"/>
  <c r="AA3" i="7"/>
  <c r="Z3" i="7"/>
  <c r="Y3" i="7"/>
  <c r="X3" i="7"/>
  <c r="W3" i="7"/>
  <c r="V3" i="7"/>
  <c r="U3" i="7"/>
  <c r="T3" i="7"/>
  <c r="S3" i="7"/>
  <c r="R3" i="7"/>
  <c r="Q3" i="7"/>
  <c r="P3" i="7"/>
  <c r="O3" i="7"/>
  <c r="N3" i="7"/>
  <c r="M3" i="7"/>
  <c r="L3" i="7"/>
  <c r="K3" i="7"/>
  <c r="J3" i="7"/>
  <c r="I3" i="7"/>
  <c r="H3" i="7"/>
  <c r="G3" i="7"/>
  <c r="F3" i="7"/>
  <c r="E3" i="7"/>
  <c r="D3" i="7"/>
  <c r="C3" i="7"/>
  <c r="B3" i="7"/>
  <c r="AC2" i="7"/>
  <c r="AB2" i="7"/>
  <c r="AA2" i="7"/>
  <c r="Z2" i="7"/>
  <c r="Y2" i="7"/>
  <c r="X2" i="7"/>
  <c r="W2" i="7"/>
  <c r="V2" i="7"/>
  <c r="U2" i="7"/>
  <c r="T2" i="7"/>
  <c r="S2" i="7"/>
  <c r="R2" i="7"/>
  <c r="Q2" i="7"/>
  <c r="P2" i="7"/>
  <c r="O2" i="7"/>
  <c r="N2" i="7"/>
  <c r="M2" i="7"/>
  <c r="L2" i="7"/>
  <c r="K2" i="7"/>
  <c r="J2" i="7"/>
  <c r="I2" i="7"/>
  <c r="H2" i="7"/>
  <c r="G2" i="7"/>
  <c r="F2" i="7"/>
  <c r="E2" i="7"/>
  <c r="D2" i="7"/>
  <c r="C2" i="7"/>
  <c r="B2" i="7"/>
  <c r="AC100" i="5"/>
  <c r="AB100" i="5"/>
  <c r="AA100" i="5"/>
  <c r="Z100" i="5"/>
  <c r="Y100" i="5"/>
  <c r="X100" i="5"/>
  <c r="W100" i="5"/>
  <c r="V100" i="5"/>
  <c r="U100" i="5"/>
  <c r="T100" i="5"/>
  <c r="S100" i="5"/>
  <c r="R100" i="5"/>
  <c r="Q100" i="5"/>
  <c r="P100" i="5"/>
  <c r="O100" i="5"/>
  <c r="N100" i="5"/>
  <c r="M100" i="5"/>
  <c r="L100" i="5"/>
  <c r="K100" i="5"/>
  <c r="J100" i="5"/>
  <c r="I100" i="5"/>
  <c r="H100" i="5"/>
  <c r="G100" i="5"/>
  <c r="F100" i="5"/>
  <c r="E100" i="5"/>
  <c r="D100" i="5"/>
  <c r="C100" i="5"/>
  <c r="B100" i="5"/>
  <c r="AC99" i="5"/>
  <c r="AB99" i="5"/>
  <c r="AA99" i="5"/>
  <c r="Z99" i="5"/>
  <c r="Y99" i="5"/>
  <c r="X99" i="5"/>
  <c r="W99" i="5"/>
  <c r="V99" i="5"/>
  <c r="U99" i="5"/>
  <c r="T99" i="5"/>
  <c r="S99" i="5"/>
  <c r="R99" i="5"/>
  <c r="Q99" i="5"/>
  <c r="P99" i="5"/>
  <c r="O99" i="5"/>
  <c r="N99" i="5"/>
  <c r="M99" i="5"/>
  <c r="L99" i="5"/>
  <c r="K99" i="5"/>
  <c r="J99" i="5"/>
  <c r="I99" i="5"/>
  <c r="H99" i="5"/>
  <c r="G99" i="5"/>
  <c r="F99" i="5"/>
  <c r="E99" i="5"/>
  <c r="D99" i="5"/>
  <c r="C99" i="5"/>
  <c r="B99" i="5"/>
  <c r="AC98" i="5"/>
  <c r="AB98" i="5"/>
  <c r="AA98" i="5"/>
  <c r="Z98" i="5"/>
  <c r="Y98" i="5"/>
  <c r="X98" i="5"/>
  <c r="W98" i="5"/>
  <c r="V98" i="5"/>
  <c r="U98" i="5"/>
  <c r="T98" i="5"/>
  <c r="S98" i="5"/>
  <c r="R98" i="5"/>
  <c r="Q98" i="5"/>
  <c r="P98" i="5"/>
  <c r="O98" i="5"/>
  <c r="N98" i="5"/>
  <c r="M98" i="5"/>
  <c r="L98" i="5"/>
  <c r="K98" i="5"/>
  <c r="J98" i="5"/>
  <c r="I98" i="5"/>
  <c r="H98" i="5"/>
  <c r="G98" i="5"/>
  <c r="F98" i="5"/>
  <c r="E98" i="5"/>
  <c r="D98" i="5"/>
  <c r="C98" i="5"/>
  <c r="B98" i="5"/>
  <c r="AC97" i="5"/>
  <c r="AB97" i="5"/>
  <c r="AA97" i="5"/>
  <c r="Z97" i="5"/>
  <c r="Y97" i="5"/>
  <c r="X97" i="5"/>
  <c r="W97" i="5"/>
  <c r="V97" i="5"/>
  <c r="U97" i="5"/>
  <c r="T97" i="5"/>
  <c r="S97" i="5"/>
  <c r="R97" i="5"/>
  <c r="Q97" i="5"/>
  <c r="P97" i="5"/>
  <c r="O97" i="5"/>
  <c r="N97" i="5"/>
  <c r="M97" i="5"/>
  <c r="L97" i="5"/>
  <c r="K97" i="5"/>
  <c r="J97" i="5"/>
  <c r="I97" i="5"/>
  <c r="H97" i="5"/>
  <c r="G97" i="5"/>
  <c r="F97" i="5"/>
  <c r="E97" i="5"/>
  <c r="D97" i="5"/>
  <c r="C97" i="5"/>
  <c r="B97" i="5"/>
  <c r="AC96" i="5"/>
  <c r="AB96" i="5"/>
  <c r="AA96" i="5"/>
  <c r="Z96" i="5"/>
  <c r="Y96" i="5"/>
  <c r="X96" i="5"/>
  <c r="W96" i="5"/>
  <c r="V96" i="5"/>
  <c r="U96" i="5"/>
  <c r="T96" i="5"/>
  <c r="S96" i="5"/>
  <c r="R96" i="5"/>
  <c r="Q96" i="5"/>
  <c r="P96" i="5"/>
  <c r="O96" i="5"/>
  <c r="N96" i="5"/>
  <c r="M96" i="5"/>
  <c r="L96" i="5"/>
  <c r="K96" i="5"/>
  <c r="J96" i="5"/>
  <c r="I96" i="5"/>
  <c r="H96" i="5"/>
  <c r="G96" i="5"/>
  <c r="F96" i="5"/>
  <c r="E96" i="5"/>
  <c r="D96" i="5"/>
  <c r="C96" i="5"/>
  <c r="B96" i="5"/>
  <c r="AC95" i="5"/>
  <c r="AB95" i="5"/>
  <c r="AA95" i="5"/>
  <c r="Z95" i="5"/>
  <c r="Y95" i="5"/>
  <c r="X95" i="5"/>
  <c r="W95" i="5"/>
  <c r="V95" i="5"/>
  <c r="U95" i="5"/>
  <c r="T95" i="5"/>
  <c r="S95" i="5"/>
  <c r="R95" i="5"/>
  <c r="Q95" i="5"/>
  <c r="P95" i="5"/>
  <c r="O95" i="5"/>
  <c r="N95" i="5"/>
  <c r="M95" i="5"/>
  <c r="L95" i="5"/>
  <c r="K95" i="5"/>
  <c r="J95" i="5"/>
  <c r="I95" i="5"/>
  <c r="H95" i="5"/>
  <c r="G95" i="5"/>
  <c r="F95" i="5"/>
  <c r="E95" i="5"/>
  <c r="D95" i="5"/>
  <c r="C95" i="5"/>
  <c r="B95" i="5"/>
  <c r="AC94" i="5"/>
  <c r="AB94" i="5"/>
  <c r="AA94" i="5"/>
  <c r="Z94" i="5"/>
  <c r="Y94" i="5"/>
  <c r="X94" i="5"/>
  <c r="W94" i="5"/>
  <c r="V94" i="5"/>
  <c r="U94" i="5"/>
  <c r="T94" i="5"/>
  <c r="S94" i="5"/>
  <c r="R94" i="5"/>
  <c r="Q94" i="5"/>
  <c r="P94" i="5"/>
  <c r="O94" i="5"/>
  <c r="N94" i="5"/>
  <c r="M94" i="5"/>
  <c r="L94" i="5"/>
  <c r="K94" i="5"/>
  <c r="J94" i="5"/>
  <c r="I94" i="5"/>
  <c r="H94" i="5"/>
  <c r="G94" i="5"/>
  <c r="F94" i="5"/>
  <c r="E94" i="5"/>
  <c r="D94" i="5"/>
  <c r="C94" i="5"/>
  <c r="B94" i="5"/>
  <c r="AC93" i="5"/>
  <c r="AB93" i="5"/>
  <c r="AA93" i="5"/>
  <c r="Z93" i="5"/>
  <c r="Y93" i="5"/>
  <c r="X93" i="5"/>
  <c r="W93" i="5"/>
  <c r="V93" i="5"/>
  <c r="U93" i="5"/>
  <c r="T93" i="5"/>
  <c r="S93" i="5"/>
  <c r="R93" i="5"/>
  <c r="Q93" i="5"/>
  <c r="P93" i="5"/>
  <c r="O93" i="5"/>
  <c r="N93" i="5"/>
  <c r="M93" i="5"/>
  <c r="L93" i="5"/>
  <c r="K93" i="5"/>
  <c r="J93" i="5"/>
  <c r="I93" i="5"/>
  <c r="H93" i="5"/>
  <c r="G93" i="5"/>
  <c r="F93" i="5"/>
  <c r="E93" i="5"/>
  <c r="D93" i="5"/>
  <c r="C93" i="5"/>
  <c r="B93" i="5"/>
  <c r="AC92" i="5"/>
  <c r="AB92" i="5"/>
  <c r="AA92" i="5"/>
  <c r="Z92" i="5"/>
  <c r="Y92" i="5"/>
  <c r="X92" i="5"/>
  <c r="W92" i="5"/>
  <c r="V92" i="5"/>
  <c r="U92" i="5"/>
  <c r="T92" i="5"/>
  <c r="S92" i="5"/>
  <c r="R92" i="5"/>
  <c r="Q92" i="5"/>
  <c r="P92" i="5"/>
  <c r="O92" i="5"/>
  <c r="N92" i="5"/>
  <c r="M92" i="5"/>
  <c r="L92" i="5"/>
  <c r="K92" i="5"/>
  <c r="J92" i="5"/>
  <c r="I92" i="5"/>
  <c r="H92" i="5"/>
  <c r="G92" i="5"/>
  <c r="F92" i="5"/>
  <c r="E92" i="5"/>
  <c r="D92" i="5"/>
  <c r="C92" i="5"/>
  <c r="B92" i="5"/>
  <c r="AC91" i="5"/>
  <c r="AB91" i="5"/>
  <c r="AA91" i="5"/>
  <c r="Z91" i="5"/>
  <c r="Y91" i="5"/>
  <c r="X91" i="5"/>
  <c r="W91" i="5"/>
  <c r="V91" i="5"/>
  <c r="U91" i="5"/>
  <c r="T91" i="5"/>
  <c r="S91" i="5"/>
  <c r="R91" i="5"/>
  <c r="Q91" i="5"/>
  <c r="P91" i="5"/>
  <c r="O91" i="5"/>
  <c r="N91" i="5"/>
  <c r="M91" i="5"/>
  <c r="L91" i="5"/>
  <c r="K91" i="5"/>
  <c r="J91" i="5"/>
  <c r="I91" i="5"/>
  <c r="H91" i="5"/>
  <c r="G91" i="5"/>
  <c r="F91" i="5"/>
  <c r="E91" i="5"/>
  <c r="D91" i="5"/>
  <c r="C91" i="5"/>
  <c r="B91" i="5"/>
  <c r="AC90" i="5"/>
  <c r="AB90" i="5"/>
  <c r="AA90" i="5"/>
  <c r="Z90" i="5"/>
  <c r="Y90" i="5"/>
  <c r="X90" i="5"/>
  <c r="W90" i="5"/>
  <c r="V90" i="5"/>
  <c r="U90" i="5"/>
  <c r="T90" i="5"/>
  <c r="S90" i="5"/>
  <c r="R90" i="5"/>
  <c r="Q90" i="5"/>
  <c r="P90" i="5"/>
  <c r="O90" i="5"/>
  <c r="N90" i="5"/>
  <c r="M90" i="5"/>
  <c r="L90" i="5"/>
  <c r="K90" i="5"/>
  <c r="J90" i="5"/>
  <c r="I90" i="5"/>
  <c r="H90" i="5"/>
  <c r="G90" i="5"/>
  <c r="F90" i="5"/>
  <c r="E90" i="5"/>
  <c r="D90" i="5"/>
  <c r="C90" i="5"/>
  <c r="B90" i="5"/>
  <c r="AC89" i="5"/>
  <c r="AB89" i="5"/>
  <c r="AA89" i="5"/>
  <c r="Z89" i="5"/>
  <c r="Y89" i="5"/>
  <c r="X89" i="5"/>
  <c r="W89" i="5"/>
  <c r="V89" i="5"/>
  <c r="U89" i="5"/>
  <c r="T89" i="5"/>
  <c r="S89" i="5"/>
  <c r="R89" i="5"/>
  <c r="Q89" i="5"/>
  <c r="P89" i="5"/>
  <c r="O89" i="5"/>
  <c r="N89" i="5"/>
  <c r="M89" i="5"/>
  <c r="L89" i="5"/>
  <c r="K89" i="5"/>
  <c r="J89" i="5"/>
  <c r="I89" i="5"/>
  <c r="H89" i="5"/>
  <c r="G89" i="5"/>
  <c r="F89" i="5"/>
  <c r="E89" i="5"/>
  <c r="D89" i="5"/>
  <c r="C89" i="5"/>
  <c r="B89" i="5"/>
  <c r="AC88" i="5"/>
  <c r="AB88" i="5"/>
  <c r="AA88" i="5"/>
  <c r="Z88" i="5"/>
  <c r="Y88" i="5"/>
  <c r="X88" i="5"/>
  <c r="W88" i="5"/>
  <c r="V88" i="5"/>
  <c r="U88" i="5"/>
  <c r="T88" i="5"/>
  <c r="S88" i="5"/>
  <c r="R88" i="5"/>
  <c r="Q88" i="5"/>
  <c r="P88" i="5"/>
  <c r="O88" i="5"/>
  <c r="N88" i="5"/>
  <c r="M88" i="5"/>
  <c r="L88" i="5"/>
  <c r="K88" i="5"/>
  <c r="J88" i="5"/>
  <c r="I88" i="5"/>
  <c r="H88" i="5"/>
  <c r="G88" i="5"/>
  <c r="F88" i="5"/>
  <c r="E88" i="5"/>
  <c r="D88" i="5"/>
  <c r="C88" i="5"/>
  <c r="B88" i="5"/>
  <c r="AC87" i="5"/>
  <c r="AB87" i="5"/>
  <c r="AA87" i="5"/>
  <c r="Z87" i="5"/>
  <c r="Y87" i="5"/>
  <c r="X87" i="5"/>
  <c r="W87" i="5"/>
  <c r="V87" i="5"/>
  <c r="U87" i="5"/>
  <c r="T87" i="5"/>
  <c r="S87" i="5"/>
  <c r="R87" i="5"/>
  <c r="Q87" i="5"/>
  <c r="P87" i="5"/>
  <c r="O87" i="5"/>
  <c r="N87" i="5"/>
  <c r="M87" i="5"/>
  <c r="L87" i="5"/>
  <c r="K87" i="5"/>
  <c r="J87" i="5"/>
  <c r="I87" i="5"/>
  <c r="H87" i="5"/>
  <c r="G87" i="5"/>
  <c r="F87" i="5"/>
  <c r="E87" i="5"/>
  <c r="D87" i="5"/>
  <c r="C87" i="5"/>
  <c r="B87" i="5"/>
  <c r="AC86" i="5"/>
  <c r="AB86" i="5"/>
  <c r="AA86" i="5"/>
  <c r="Z86" i="5"/>
  <c r="Y86" i="5"/>
  <c r="X86" i="5"/>
  <c r="W86" i="5"/>
  <c r="V86" i="5"/>
  <c r="U86" i="5"/>
  <c r="T86" i="5"/>
  <c r="S86" i="5"/>
  <c r="R86" i="5"/>
  <c r="Q86" i="5"/>
  <c r="P86" i="5"/>
  <c r="O86" i="5"/>
  <c r="N86" i="5"/>
  <c r="M86" i="5"/>
  <c r="L86" i="5"/>
  <c r="K86" i="5"/>
  <c r="J86" i="5"/>
  <c r="I86" i="5"/>
  <c r="H86" i="5"/>
  <c r="G86" i="5"/>
  <c r="F86" i="5"/>
  <c r="E86" i="5"/>
  <c r="D86" i="5"/>
  <c r="C86" i="5"/>
  <c r="B86" i="5"/>
  <c r="AC85" i="5"/>
  <c r="AB85" i="5"/>
  <c r="AA85" i="5"/>
  <c r="Z85" i="5"/>
  <c r="Y85" i="5"/>
  <c r="X85" i="5"/>
  <c r="W85" i="5"/>
  <c r="V85" i="5"/>
  <c r="U85" i="5"/>
  <c r="T85" i="5"/>
  <c r="S85" i="5"/>
  <c r="R85" i="5"/>
  <c r="Q85" i="5"/>
  <c r="P85" i="5"/>
  <c r="O85" i="5"/>
  <c r="N85" i="5"/>
  <c r="M85" i="5"/>
  <c r="L85" i="5"/>
  <c r="K85" i="5"/>
  <c r="J85" i="5"/>
  <c r="I85" i="5"/>
  <c r="H85" i="5"/>
  <c r="G85" i="5"/>
  <c r="F85" i="5"/>
  <c r="E85" i="5"/>
  <c r="D85" i="5"/>
  <c r="C85" i="5"/>
  <c r="B85" i="5"/>
  <c r="AC84" i="5"/>
  <c r="AB84" i="5"/>
  <c r="AA84" i="5"/>
  <c r="Z84" i="5"/>
  <c r="Y84" i="5"/>
  <c r="X84" i="5"/>
  <c r="W84" i="5"/>
  <c r="V84" i="5"/>
  <c r="U84" i="5"/>
  <c r="T84" i="5"/>
  <c r="S84" i="5"/>
  <c r="R84" i="5"/>
  <c r="Q84" i="5"/>
  <c r="P84" i="5"/>
  <c r="O84" i="5"/>
  <c r="N84" i="5"/>
  <c r="M84" i="5"/>
  <c r="L84" i="5"/>
  <c r="K84" i="5"/>
  <c r="J84" i="5"/>
  <c r="I84" i="5"/>
  <c r="H84" i="5"/>
  <c r="G84" i="5"/>
  <c r="F84" i="5"/>
  <c r="E84" i="5"/>
  <c r="D84" i="5"/>
  <c r="C84" i="5"/>
  <c r="B84" i="5"/>
  <c r="AC83" i="5"/>
  <c r="AB83" i="5"/>
  <c r="AA83" i="5"/>
  <c r="Z83" i="5"/>
  <c r="Y83" i="5"/>
  <c r="X83" i="5"/>
  <c r="W83" i="5"/>
  <c r="V83" i="5"/>
  <c r="U83" i="5"/>
  <c r="T83" i="5"/>
  <c r="S83" i="5"/>
  <c r="R83" i="5"/>
  <c r="Q83" i="5"/>
  <c r="P83" i="5"/>
  <c r="O83" i="5"/>
  <c r="N83" i="5"/>
  <c r="M83" i="5"/>
  <c r="L83" i="5"/>
  <c r="K83" i="5"/>
  <c r="J83" i="5"/>
  <c r="I83" i="5"/>
  <c r="H83" i="5"/>
  <c r="G83" i="5"/>
  <c r="F83" i="5"/>
  <c r="E83" i="5"/>
  <c r="D83" i="5"/>
  <c r="C83" i="5"/>
  <c r="B83" i="5"/>
  <c r="AC82" i="5"/>
  <c r="AB82" i="5"/>
  <c r="AA82" i="5"/>
  <c r="Z82" i="5"/>
  <c r="Y82" i="5"/>
  <c r="X82" i="5"/>
  <c r="W82" i="5"/>
  <c r="V82" i="5"/>
  <c r="U82" i="5"/>
  <c r="T82" i="5"/>
  <c r="S82" i="5"/>
  <c r="R82" i="5"/>
  <c r="Q82" i="5"/>
  <c r="P82" i="5"/>
  <c r="O82" i="5"/>
  <c r="N82" i="5"/>
  <c r="M82" i="5"/>
  <c r="L82" i="5"/>
  <c r="K82" i="5"/>
  <c r="J82" i="5"/>
  <c r="I82" i="5"/>
  <c r="H82" i="5"/>
  <c r="G82" i="5"/>
  <c r="F82" i="5"/>
  <c r="E82" i="5"/>
  <c r="D82" i="5"/>
  <c r="C82" i="5"/>
  <c r="B82" i="5"/>
  <c r="AC81" i="5"/>
  <c r="AB81" i="5"/>
  <c r="AA81" i="5"/>
  <c r="Z81" i="5"/>
  <c r="Y81" i="5"/>
  <c r="X81" i="5"/>
  <c r="W81" i="5"/>
  <c r="V81" i="5"/>
  <c r="U81" i="5"/>
  <c r="T81" i="5"/>
  <c r="S81" i="5"/>
  <c r="R81" i="5"/>
  <c r="Q81" i="5"/>
  <c r="P81" i="5"/>
  <c r="O81" i="5"/>
  <c r="N81" i="5"/>
  <c r="M81" i="5"/>
  <c r="L81" i="5"/>
  <c r="K81" i="5"/>
  <c r="J81" i="5"/>
  <c r="I81" i="5"/>
  <c r="H81" i="5"/>
  <c r="G81" i="5"/>
  <c r="F81" i="5"/>
  <c r="E81" i="5"/>
  <c r="D81" i="5"/>
  <c r="C81" i="5"/>
  <c r="B81" i="5"/>
  <c r="AC80" i="5"/>
  <c r="AB80" i="5"/>
  <c r="AA80" i="5"/>
  <c r="Z80" i="5"/>
  <c r="Y80" i="5"/>
  <c r="X80" i="5"/>
  <c r="W80" i="5"/>
  <c r="V80" i="5"/>
  <c r="U80" i="5"/>
  <c r="T80" i="5"/>
  <c r="S80" i="5"/>
  <c r="R80" i="5"/>
  <c r="Q80" i="5"/>
  <c r="P80" i="5"/>
  <c r="O80" i="5"/>
  <c r="N80" i="5"/>
  <c r="M80" i="5"/>
  <c r="L80" i="5"/>
  <c r="K80" i="5"/>
  <c r="J80" i="5"/>
  <c r="I80" i="5"/>
  <c r="H80" i="5"/>
  <c r="G80" i="5"/>
  <c r="F80" i="5"/>
  <c r="E80" i="5"/>
  <c r="D80" i="5"/>
  <c r="C80" i="5"/>
  <c r="B80" i="5"/>
  <c r="AC79" i="5"/>
  <c r="AB79" i="5"/>
  <c r="AA79" i="5"/>
  <c r="Z79" i="5"/>
  <c r="Y79" i="5"/>
  <c r="X79" i="5"/>
  <c r="W79" i="5"/>
  <c r="V79" i="5"/>
  <c r="U79" i="5"/>
  <c r="T79" i="5"/>
  <c r="S79" i="5"/>
  <c r="R79" i="5"/>
  <c r="Q79" i="5"/>
  <c r="P79" i="5"/>
  <c r="O79" i="5"/>
  <c r="N79" i="5"/>
  <c r="M79" i="5"/>
  <c r="L79" i="5"/>
  <c r="K79" i="5"/>
  <c r="J79" i="5"/>
  <c r="I79" i="5"/>
  <c r="H79" i="5"/>
  <c r="G79" i="5"/>
  <c r="F79" i="5"/>
  <c r="E79" i="5"/>
  <c r="D79" i="5"/>
  <c r="C79" i="5"/>
  <c r="B79" i="5"/>
  <c r="AC78" i="5"/>
  <c r="AB78" i="5"/>
  <c r="AA78" i="5"/>
  <c r="Z78" i="5"/>
  <c r="Y78" i="5"/>
  <c r="X78" i="5"/>
  <c r="W78" i="5"/>
  <c r="V78" i="5"/>
  <c r="U78" i="5"/>
  <c r="T78" i="5"/>
  <c r="S78" i="5"/>
  <c r="R78" i="5"/>
  <c r="Q78" i="5"/>
  <c r="P78" i="5"/>
  <c r="O78" i="5"/>
  <c r="N78" i="5"/>
  <c r="M78" i="5"/>
  <c r="L78" i="5"/>
  <c r="K78" i="5"/>
  <c r="J78" i="5"/>
  <c r="I78" i="5"/>
  <c r="H78" i="5"/>
  <c r="G78" i="5"/>
  <c r="F78" i="5"/>
  <c r="E78" i="5"/>
  <c r="D78" i="5"/>
  <c r="C78" i="5"/>
  <c r="B78" i="5"/>
  <c r="AC77" i="5"/>
  <c r="AB77" i="5"/>
  <c r="AA77" i="5"/>
  <c r="Z77" i="5"/>
  <c r="Y77" i="5"/>
  <c r="X77" i="5"/>
  <c r="W77" i="5"/>
  <c r="V77" i="5"/>
  <c r="U77" i="5"/>
  <c r="T77" i="5"/>
  <c r="S77" i="5"/>
  <c r="R77" i="5"/>
  <c r="Q77" i="5"/>
  <c r="P77" i="5"/>
  <c r="O77" i="5"/>
  <c r="N77" i="5"/>
  <c r="M77" i="5"/>
  <c r="L77" i="5"/>
  <c r="K77" i="5"/>
  <c r="J77" i="5"/>
  <c r="I77" i="5"/>
  <c r="H77" i="5"/>
  <c r="G77" i="5"/>
  <c r="F77" i="5"/>
  <c r="E77" i="5"/>
  <c r="D77" i="5"/>
  <c r="C77" i="5"/>
  <c r="B77" i="5"/>
  <c r="AC76" i="5"/>
  <c r="AB76" i="5"/>
  <c r="AA76" i="5"/>
  <c r="Z76" i="5"/>
  <c r="Y76" i="5"/>
  <c r="X76" i="5"/>
  <c r="W76" i="5"/>
  <c r="V76" i="5"/>
  <c r="U76" i="5"/>
  <c r="T76" i="5"/>
  <c r="S76" i="5"/>
  <c r="R76" i="5"/>
  <c r="Q76" i="5"/>
  <c r="P76" i="5"/>
  <c r="O76" i="5"/>
  <c r="N76" i="5"/>
  <c r="M76" i="5"/>
  <c r="L76" i="5"/>
  <c r="K76" i="5"/>
  <c r="J76" i="5"/>
  <c r="I76" i="5"/>
  <c r="H76" i="5"/>
  <c r="G76" i="5"/>
  <c r="F76" i="5"/>
  <c r="E76" i="5"/>
  <c r="D76" i="5"/>
  <c r="C76" i="5"/>
  <c r="B76" i="5"/>
  <c r="AC75" i="5"/>
  <c r="AB75" i="5"/>
  <c r="AA75" i="5"/>
  <c r="Z75" i="5"/>
  <c r="Y75" i="5"/>
  <c r="X75" i="5"/>
  <c r="W75" i="5"/>
  <c r="V75" i="5"/>
  <c r="U75" i="5"/>
  <c r="T75" i="5"/>
  <c r="S75" i="5"/>
  <c r="R75" i="5"/>
  <c r="Q75" i="5"/>
  <c r="P75" i="5"/>
  <c r="O75" i="5"/>
  <c r="N75" i="5"/>
  <c r="M75" i="5"/>
  <c r="L75" i="5"/>
  <c r="K75" i="5"/>
  <c r="J75" i="5"/>
  <c r="I75" i="5"/>
  <c r="H75" i="5"/>
  <c r="G75" i="5"/>
  <c r="F75" i="5"/>
  <c r="E75" i="5"/>
  <c r="D75" i="5"/>
  <c r="C75" i="5"/>
  <c r="B75" i="5"/>
  <c r="AC74" i="5"/>
  <c r="AB74" i="5"/>
  <c r="AA74" i="5"/>
  <c r="Z74" i="5"/>
  <c r="Y74" i="5"/>
  <c r="X74" i="5"/>
  <c r="W74" i="5"/>
  <c r="V74" i="5"/>
  <c r="U74" i="5"/>
  <c r="T74" i="5"/>
  <c r="S74" i="5"/>
  <c r="R74" i="5"/>
  <c r="Q74" i="5"/>
  <c r="P74" i="5"/>
  <c r="O74" i="5"/>
  <c r="N74" i="5"/>
  <c r="M74" i="5"/>
  <c r="L74" i="5"/>
  <c r="K74" i="5"/>
  <c r="J74" i="5"/>
  <c r="I74" i="5"/>
  <c r="H74" i="5"/>
  <c r="G74" i="5"/>
  <c r="F74" i="5"/>
  <c r="E74" i="5"/>
  <c r="D74" i="5"/>
  <c r="C74" i="5"/>
  <c r="B74" i="5"/>
  <c r="AC73" i="5"/>
  <c r="AB73" i="5"/>
  <c r="AA73" i="5"/>
  <c r="Z73" i="5"/>
  <c r="Y73" i="5"/>
  <c r="X73" i="5"/>
  <c r="W73" i="5"/>
  <c r="V73" i="5"/>
  <c r="U73" i="5"/>
  <c r="T73" i="5"/>
  <c r="S73" i="5"/>
  <c r="R73" i="5"/>
  <c r="Q73" i="5"/>
  <c r="P73" i="5"/>
  <c r="O73" i="5"/>
  <c r="N73" i="5"/>
  <c r="M73" i="5"/>
  <c r="L73" i="5"/>
  <c r="K73" i="5"/>
  <c r="J73" i="5"/>
  <c r="I73" i="5"/>
  <c r="H73" i="5"/>
  <c r="G73" i="5"/>
  <c r="F73" i="5"/>
  <c r="E73" i="5"/>
  <c r="D73" i="5"/>
  <c r="C73" i="5"/>
  <c r="B73" i="5"/>
  <c r="AC72" i="5"/>
  <c r="AB72" i="5"/>
  <c r="AA72" i="5"/>
  <c r="Z72" i="5"/>
  <c r="Y72" i="5"/>
  <c r="X72" i="5"/>
  <c r="W72" i="5"/>
  <c r="V72" i="5"/>
  <c r="U72" i="5"/>
  <c r="T72" i="5"/>
  <c r="S72" i="5"/>
  <c r="R72" i="5"/>
  <c r="Q72" i="5"/>
  <c r="P72" i="5"/>
  <c r="O72" i="5"/>
  <c r="N72" i="5"/>
  <c r="M72" i="5"/>
  <c r="L72" i="5"/>
  <c r="K72" i="5"/>
  <c r="J72" i="5"/>
  <c r="I72" i="5"/>
  <c r="H72" i="5"/>
  <c r="G72" i="5"/>
  <c r="F72" i="5"/>
  <c r="E72" i="5"/>
  <c r="D72" i="5"/>
  <c r="C72" i="5"/>
  <c r="B72" i="5"/>
  <c r="AC71" i="5"/>
  <c r="AB71" i="5"/>
  <c r="AA71" i="5"/>
  <c r="Z71" i="5"/>
  <c r="Y71" i="5"/>
  <c r="X71" i="5"/>
  <c r="W71" i="5"/>
  <c r="V71" i="5"/>
  <c r="U71" i="5"/>
  <c r="T71" i="5"/>
  <c r="S71" i="5"/>
  <c r="R71" i="5"/>
  <c r="Q71" i="5"/>
  <c r="P71" i="5"/>
  <c r="O71" i="5"/>
  <c r="N71" i="5"/>
  <c r="M71" i="5"/>
  <c r="L71" i="5"/>
  <c r="K71" i="5"/>
  <c r="J71" i="5"/>
  <c r="I71" i="5"/>
  <c r="H71" i="5"/>
  <c r="G71" i="5"/>
  <c r="F71" i="5"/>
  <c r="E71" i="5"/>
  <c r="D71" i="5"/>
  <c r="C71" i="5"/>
  <c r="B71" i="5"/>
  <c r="AC70" i="5"/>
  <c r="AB70" i="5"/>
  <c r="AA70" i="5"/>
  <c r="Z70" i="5"/>
  <c r="Y70" i="5"/>
  <c r="X70" i="5"/>
  <c r="W70" i="5"/>
  <c r="V70" i="5"/>
  <c r="U70" i="5"/>
  <c r="T70" i="5"/>
  <c r="S70" i="5"/>
  <c r="R70" i="5"/>
  <c r="Q70" i="5"/>
  <c r="P70" i="5"/>
  <c r="O70" i="5"/>
  <c r="N70" i="5"/>
  <c r="M70" i="5"/>
  <c r="L70" i="5"/>
  <c r="K70" i="5"/>
  <c r="J70" i="5"/>
  <c r="I70" i="5"/>
  <c r="H70" i="5"/>
  <c r="G70" i="5"/>
  <c r="F70" i="5"/>
  <c r="E70" i="5"/>
  <c r="D70" i="5"/>
  <c r="C70" i="5"/>
  <c r="B70" i="5"/>
  <c r="AC69" i="5"/>
  <c r="AB69" i="5"/>
  <c r="AA69" i="5"/>
  <c r="Z69" i="5"/>
  <c r="Y69" i="5"/>
  <c r="X69" i="5"/>
  <c r="W69" i="5"/>
  <c r="V69" i="5"/>
  <c r="U69" i="5"/>
  <c r="T69" i="5"/>
  <c r="S69" i="5"/>
  <c r="R69" i="5"/>
  <c r="Q69" i="5"/>
  <c r="P69" i="5"/>
  <c r="O69" i="5"/>
  <c r="N69" i="5"/>
  <c r="M69" i="5"/>
  <c r="L69" i="5"/>
  <c r="K69" i="5"/>
  <c r="J69" i="5"/>
  <c r="I69" i="5"/>
  <c r="H69" i="5"/>
  <c r="G69" i="5"/>
  <c r="F69" i="5"/>
  <c r="E69" i="5"/>
  <c r="D69" i="5"/>
  <c r="C69" i="5"/>
  <c r="B69" i="5"/>
  <c r="AC68" i="5"/>
  <c r="AB68" i="5"/>
  <c r="AA68" i="5"/>
  <c r="Z68" i="5"/>
  <c r="Y68" i="5"/>
  <c r="X68" i="5"/>
  <c r="W68" i="5"/>
  <c r="V68" i="5"/>
  <c r="U68" i="5"/>
  <c r="T68" i="5"/>
  <c r="S68" i="5"/>
  <c r="R68" i="5"/>
  <c r="Q68" i="5"/>
  <c r="P68" i="5"/>
  <c r="O68" i="5"/>
  <c r="N68" i="5"/>
  <c r="M68" i="5"/>
  <c r="L68" i="5"/>
  <c r="K68" i="5"/>
  <c r="J68" i="5"/>
  <c r="I68" i="5"/>
  <c r="H68" i="5"/>
  <c r="G68" i="5"/>
  <c r="F68" i="5"/>
  <c r="E68" i="5"/>
  <c r="D68" i="5"/>
  <c r="C68" i="5"/>
  <c r="B68" i="5"/>
  <c r="AC67" i="5"/>
  <c r="AB67" i="5"/>
  <c r="AA67" i="5"/>
  <c r="Z67" i="5"/>
  <c r="Y67" i="5"/>
  <c r="X67" i="5"/>
  <c r="W67" i="5"/>
  <c r="V67" i="5"/>
  <c r="U67" i="5"/>
  <c r="T67" i="5"/>
  <c r="S67" i="5"/>
  <c r="R67" i="5"/>
  <c r="Q67" i="5"/>
  <c r="P67" i="5"/>
  <c r="O67" i="5"/>
  <c r="N67" i="5"/>
  <c r="M67" i="5"/>
  <c r="L67" i="5"/>
  <c r="K67" i="5"/>
  <c r="J67" i="5"/>
  <c r="I67" i="5"/>
  <c r="H67" i="5"/>
  <c r="G67" i="5"/>
  <c r="F67" i="5"/>
  <c r="E67" i="5"/>
  <c r="D67" i="5"/>
  <c r="C67" i="5"/>
  <c r="B67" i="5"/>
  <c r="AC66" i="5"/>
  <c r="AB66" i="5"/>
  <c r="AA66" i="5"/>
  <c r="Z66" i="5"/>
  <c r="Y66" i="5"/>
  <c r="X66" i="5"/>
  <c r="W66" i="5"/>
  <c r="V66" i="5"/>
  <c r="U66" i="5"/>
  <c r="T66" i="5"/>
  <c r="S66" i="5"/>
  <c r="R66" i="5"/>
  <c r="Q66" i="5"/>
  <c r="P66" i="5"/>
  <c r="O66" i="5"/>
  <c r="N66" i="5"/>
  <c r="M66" i="5"/>
  <c r="L66" i="5"/>
  <c r="K66" i="5"/>
  <c r="J66" i="5"/>
  <c r="I66" i="5"/>
  <c r="H66" i="5"/>
  <c r="G66" i="5"/>
  <c r="F66" i="5"/>
  <c r="E66" i="5"/>
  <c r="D66" i="5"/>
  <c r="C66" i="5"/>
  <c r="B66" i="5"/>
  <c r="AC65" i="5"/>
  <c r="AB65" i="5"/>
  <c r="AA65" i="5"/>
  <c r="Z65" i="5"/>
  <c r="Y65" i="5"/>
  <c r="X65" i="5"/>
  <c r="W65" i="5"/>
  <c r="V65" i="5"/>
  <c r="U65" i="5"/>
  <c r="T65" i="5"/>
  <c r="S65" i="5"/>
  <c r="R65" i="5"/>
  <c r="Q65" i="5"/>
  <c r="P65" i="5"/>
  <c r="O65" i="5"/>
  <c r="N65" i="5"/>
  <c r="M65" i="5"/>
  <c r="L65" i="5"/>
  <c r="K65" i="5"/>
  <c r="J65" i="5"/>
  <c r="I65" i="5"/>
  <c r="H65" i="5"/>
  <c r="G65" i="5"/>
  <c r="F65" i="5"/>
  <c r="E65" i="5"/>
  <c r="D65" i="5"/>
  <c r="C65" i="5"/>
  <c r="B65" i="5"/>
  <c r="AC64" i="5"/>
  <c r="AB64" i="5"/>
  <c r="AA64" i="5"/>
  <c r="Z64" i="5"/>
  <c r="Y64" i="5"/>
  <c r="X64" i="5"/>
  <c r="W64" i="5"/>
  <c r="V64" i="5"/>
  <c r="U64" i="5"/>
  <c r="T64" i="5"/>
  <c r="S64" i="5"/>
  <c r="R64" i="5"/>
  <c r="Q64" i="5"/>
  <c r="P64" i="5"/>
  <c r="O64" i="5"/>
  <c r="N64" i="5"/>
  <c r="M64" i="5"/>
  <c r="L64" i="5"/>
  <c r="K64" i="5"/>
  <c r="J64" i="5"/>
  <c r="I64" i="5"/>
  <c r="H64" i="5"/>
  <c r="G64" i="5"/>
  <c r="F64" i="5"/>
  <c r="E64" i="5"/>
  <c r="D64" i="5"/>
  <c r="C64" i="5"/>
  <c r="B64" i="5"/>
  <c r="AC63" i="5"/>
  <c r="AB63" i="5"/>
  <c r="AA63" i="5"/>
  <c r="Z63" i="5"/>
  <c r="Y63" i="5"/>
  <c r="X63" i="5"/>
  <c r="W63" i="5"/>
  <c r="V63" i="5"/>
  <c r="U63" i="5"/>
  <c r="T63" i="5"/>
  <c r="S63" i="5"/>
  <c r="R63" i="5"/>
  <c r="Q63" i="5"/>
  <c r="P63" i="5"/>
  <c r="O63" i="5"/>
  <c r="N63" i="5"/>
  <c r="M63" i="5"/>
  <c r="L63" i="5"/>
  <c r="K63" i="5"/>
  <c r="J63" i="5"/>
  <c r="I63" i="5"/>
  <c r="H63" i="5"/>
  <c r="G63" i="5"/>
  <c r="F63" i="5"/>
  <c r="E63" i="5"/>
  <c r="D63" i="5"/>
  <c r="C63" i="5"/>
  <c r="B63" i="5"/>
  <c r="AC62" i="5"/>
  <c r="AB62" i="5"/>
  <c r="AA62" i="5"/>
  <c r="Z62" i="5"/>
  <c r="Y62" i="5"/>
  <c r="X62" i="5"/>
  <c r="W62" i="5"/>
  <c r="V62" i="5"/>
  <c r="U62" i="5"/>
  <c r="T62" i="5"/>
  <c r="S62" i="5"/>
  <c r="R62" i="5"/>
  <c r="Q62" i="5"/>
  <c r="P62" i="5"/>
  <c r="O62" i="5"/>
  <c r="N62" i="5"/>
  <c r="M62" i="5"/>
  <c r="L62" i="5"/>
  <c r="K62" i="5"/>
  <c r="J62" i="5"/>
  <c r="I62" i="5"/>
  <c r="H62" i="5"/>
  <c r="G62" i="5"/>
  <c r="F62" i="5"/>
  <c r="E62" i="5"/>
  <c r="D62" i="5"/>
  <c r="C62" i="5"/>
  <c r="B62" i="5"/>
  <c r="AC61" i="5"/>
  <c r="AB61" i="5"/>
  <c r="AA61" i="5"/>
  <c r="Z61" i="5"/>
  <c r="Y61" i="5"/>
  <c r="X61" i="5"/>
  <c r="W61" i="5"/>
  <c r="V61" i="5"/>
  <c r="U61" i="5"/>
  <c r="T61" i="5"/>
  <c r="S61" i="5"/>
  <c r="R61" i="5"/>
  <c r="Q61" i="5"/>
  <c r="P61" i="5"/>
  <c r="O61" i="5"/>
  <c r="N61" i="5"/>
  <c r="M61" i="5"/>
  <c r="L61" i="5"/>
  <c r="K61" i="5"/>
  <c r="J61" i="5"/>
  <c r="I61" i="5"/>
  <c r="H61" i="5"/>
  <c r="G61" i="5"/>
  <c r="F61" i="5"/>
  <c r="E61" i="5"/>
  <c r="D61" i="5"/>
  <c r="C61" i="5"/>
  <c r="B61" i="5"/>
  <c r="AC60" i="5"/>
  <c r="AB60" i="5"/>
  <c r="AA60" i="5"/>
  <c r="Z60" i="5"/>
  <c r="Y60" i="5"/>
  <c r="X60" i="5"/>
  <c r="W60" i="5"/>
  <c r="V60" i="5"/>
  <c r="U60" i="5"/>
  <c r="T60" i="5"/>
  <c r="S60" i="5"/>
  <c r="R60" i="5"/>
  <c r="Q60" i="5"/>
  <c r="P60" i="5"/>
  <c r="O60" i="5"/>
  <c r="N60" i="5"/>
  <c r="M60" i="5"/>
  <c r="L60" i="5"/>
  <c r="K60" i="5"/>
  <c r="J60" i="5"/>
  <c r="I60" i="5"/>
  <c r="H60" i="5"/>
  <c r="G60" i="5"/>
  <c r="F60" i="5"/>
  <c r="E60" i="5"/>
  <c r="D60" i="5"/>
  <c r="C60" i="5"/>
  <c r="B60" i="5"/>
  <c r="AC59" i="5"/>
  <c r="AB59" i="5"/>
  <c r="AA59" i="5"/>
  <c r="Z59" i="5"/>
  <c r="Y59" i="5"/>
  <c r="X59" i="5"/>
  <c r="W59" i="5"/>
  <c r="V59" i="5"/>
  <c r="U59" i="5"/>
  <c r="T59" i="5"/>
  <c r="S59" i="5"/>
  <c r="R59" i="5"/>
  <c r="Q59" i="5"/>
  <c r="P59" i="5"/>
  <c r="O59" i="5"/>
  <c r="N59" i="5"/>
  <c r="M59" i="5"/>
  <c r="L59" i="5"/>
  <c r="K59" i="5"/>
  <c r="J59" i="5"/>
  <c r="I59" i="5"/>
  <c r="H59" i="5"/>
  <c r="G59" i="5"/>
  <c r="F59" i="5"/>
  <c r="E59" i="5"/>
  <c r="D59" i="5"/>
  <c r="C59" i="5"/>
  <c r="B59" i="5"/>
  <c r="AC58" i="5"/>
  <c r="AB58" i="5"/>
  <c r="AA58" i="5"/>
  <c r="Z58" i="5"/>
  <c r="Y58" i="5"/>
  <c r="X58" i="5"/>
  <c r="W58" i="5"/>
  <c r="V58" i="5"/>
  <c r="U58" i="5"/>
  <c r="T58" i="5"/>
  <c r="S58" i="5"/>
  <c r="R58" i="5"/>
  <c r="Q58" i="5"/>
  <c r="P58" i="5"/>
  <c r="O58" i="5"/>
  <c r="N58" i="5"/>
  <c r="M58" i="5"/>
  <c r="L58" i="5"/>
  <c r="K58" i="5"/>
  <c r="J58" i="5"/>
  <c r="I58" i="5"/>
  <c r="H58" i="5"/>
  <c r="G58" i="5"/>
  <c r="F58" i="5"/>
  <c r="E58" i="5"/>
  <c r="D58" i="5"/>
  <c r="C58" i="5"/>
  <c r="B58" i="5"/>
  <c r="AC57" i="5"/>
  <c r="AB57" i="5"/>
  <c r="AA57" i="5"/>
  <c r="Z57" i="5"/>
  <c r="Y57" i="5"/>
  <c r="X57" i="5"/>
  <c r="W57" i="5"/>
  <c r="V57" i="5"/>
  <c r="U57" i="5"/>
  <c r="T57" i="5"/>
  <c r="S57" i="5"/>
  <c r="R57" i="5"/>
  <c r="Q57" i="5"/>
  <c r="P57" i="5"/>
  <c r="O57" i="5"/>
  <c r="N57" i="5"/>
  <c r="M57" i="5"/>
  <c r="L57" i="5"/>
  <c r="K57" i="5"/>
  <c r="J57" i="5"/>
  <c r="I57" i="5"/>
  <c r="H57" i="5"/>
  <c r="G57" i="5"/>
  <c r="F57" i="5"/>
  <c r="E57" i="5"/>
  <c r="D57" i="5"/>
  <c r="C57" i="5"/>
  <c r="B57" i="5"/>
  <c r="AC56" i="5"/>
  <c r="AB56" i="5"/>
  <c r="AA56" i="5"/>
  <c r="Z56" i="5"/>
  <c r="Y56" i="5"/>
  <c r="X56" i="5"/>
  <c r="W56" i="5"/>
  <c r="V56" i="5"/>
  <c r="U56" i="5"/>
  <c r="T56" i="5"/>
  <c r="S56" i="5"/>
  <c r="R56" i="5"/>
  <c r="Q56" i="5"/>
  <c r="P56" i="5"/>
  <c r="O56" i="5"/>
  <c r="N56" i="5"/>
  <c r="M56" i="5"/>
  <c r="L56" i="5"/>
  <c r="K56" i="5"/>
  <c r="J56" i="5"/>
  <c r="I56" i="5"/>
  <c r="H56" i="5"/>
  <c r="G56" i="5"/>
  <c r="F56" i="5"/>
  <c r="E56" i="5"/>
  <c r="D56" i="5"/>
  <c r="C56" i="5"/>
  <c r="B56" i="5"/>
  <c r="AC55" i="5"/>
  <c r="AB55" i="5"/>
  <c r="AA55" i="5"/>
  <c r="Z55" i="5"/>
  <c r="Y55" i="5"/>
  <c r="X55" i="5"/>
  <c r="W55" i="5"/>
  <c r="V55" i="5"/>
  <c r="U55" i="5"/>
  <c r="T55" i="5"/>
  <c r="S55" i="5"/>
  <c r="R55" i="5"/>
  <c r="Q55" i="5"/>
  <c r="P55" i="5"/>
  <c r="O55" i="5"/>
  <c r="N55" i="5"/>
  <c r="M55" i="5"/>
  <c r="L55" i="5"/>
  <c r="K55" i="5"/>
  <c r="J55" i="5"/>
  <c r="I55" i="5"/>
  <c r="H55" i="5"/>
  <c r="G55" i="5"/>
  <c r="F55" i="5"/>
  <c r="E55" i="5"/>
  <c r="D55" i="5"/>
  <c r="C55" i="5"/>
  <c r="B55" i="5"/>
  <c r="AC54" i="5"/>
  <c r="AB54" i="5"/>
  <c r="AA54" i="5"/>
  <c r="Z54" i="5"/>
  <c r="Y54" i="5"/>
  <c r="X54" i="5"/>
  <c r="W54" i="5"/>
  <c r="V54" i="5"/>
  <c r="U54" i="5"/>
  <c r="T54" i="5"/>
  <c r="S54" i="5"/>
  <c r="R54" i="5"/>
  <c r="Q54" i="5"/>
  <c r="P54" i="5"/>
  <c r="O54" i="5"/>
  <c r="N54" i="5"/>
  <c r="M54" i="5"/>
  <c r="L54" i="5"/>
  <c r="K54" i="5"/>
  <c r="J54" i="5"/>
  <c r="I54" i="5"/>
  <c r="H54" i="5"/>
  <c r="G54" i="5"/>
  <c r="F54" i="5"/>
  <c r="E54" i="5"/>
  <c r="D54" i="5"/>
  <c r="C54" i="5"/>
  <c r="B54" i="5"/>
  <c r="AC53" i="5"/>
  <c r="AB53" i="5"/>
  <c r="AA53" i="5"/>
  <c r="Z53" i="5"/>
  <c r="Y53" i="5"/>
  <c r="X53" i="5"/>
  <c r="W53" i="5"/>
  <c r="V53" i="5"/>
  <c r="U53" i="5"/>
  <c r="T53" i="5"/>
  <c r="S53" i="5"/>
  <c r="R53" i="5"/>
  <c r="Q53" i="5"/>
  <c r="P53" i="5"/>
  <c r="O53" i="5"/>
  <c r="N53" i="5"/>
  <c r="M53" i="5"/>
  <c r="L53" i="5"/>
  <c r="K53" i="5"/>
  <c r="J53" i="5"/>
  <c r="I53" i="5"/>
  <c r="H53" i="5"/>
  <c r="G53" i="5"/>
  <c r="F53" i="5"/>
  <c r="E53" i="5"/>
  <c r="D53" i="5"/>
  <c r="C53" i="5"/>
  <c r="B53" i="5"/>
  <c r="AC52" i="5"/>
  <c r="AB52" i="5"/>
  <c r="AA52" i="5"/>
  <c r="Z52" i="5"/>
  <c r="Y52" i="5"/>
  <c r="X52" i="5"/>
  <c r="W52" i="5"/>
  <c r="V52" i="5"/>
  <c r="U52" i="5"/>
  <c r="T52" i="5"/>
  <c r="S52" i="5"/>
  <c r="R52" i="5"/>
  <c r="Q52" i="5"/>
  <c r="P52" i="5"/>
  <c r="O52" i="5"/>
  <c r="N52" i="5"/>
  <c r="M52" i="5"/>
  <c r="L52" i="5"/>
  <c r="K52" i="5"/>
  <c r="J52" i="5"/>
  <c r="I52" i="5"/>
  <c r="H52" i="5"/>
  <c r="G52" i="5"/>
  <c r="F52" i="5"/>
  <c r="E52" i="5"/>
  <c r="D52" i="5"/>
  <c r="C52" i="5"/>
  <c r="B52" i="5"/>
  <c r="AC51" i="5"/>
  <c r="AB51" i="5"/>
  <c r="AA51" i="5"/>
  <c r="Z51" i="5"/>
  <c r="Y51" i="5"/>
  <c r="X51" i="5"/>
  <c r="W51" i="5"/>
  <c r="V51" i="5"/>
  <c r="U51" i="5"/>
  <c r="T51" i="5"/>
  <c r="S51" i="5"/>
  <c r="R51" i="5"/>
  <c r="Q51" i="5"/>
  <c r="P51" i="5"/>
  <c r="O51" i="5"/>
  <c r="N51" i="5"/>
  <c r="M51" i="5"/>
  <c r="L51" i="5"/>
  <c r="K51" i="5"/>
  <c r="J51" i="5"/>
  <c r="I51" i="5"/>
  <c r="H51" i="5"/>
  <c r="G51" i="5"/>
  <c r="F51" i="5"/>
  <c r="E51" i="5"/>
  <c r="D51" i="5"/>
  <c r="C51" i="5"/>
  <c r="B51" i="5"/>
  <c r="AC50" i="5"/>
  <c r="AB50" i="5"/>
  <c r="AA50" i="5"/>
  <c r="Z50" i="5"/>
  <c r="Y50" i="5"/>
  <c r="X50" i="5"/>
  <c r="W50" i="5"/>
  <c r="V50" i="5"/>
  <c r="U50" i="5"/>
  <c r="T50" i="5"/>
  <c r="S50" i="5"/>
  <c r="R50" i="5"/>
  <c r="Q50" i="5"/>
  <c r="P50" i="5"/>
  <c r="O50" i="5"/>
  <c r="N50" i="5"/>
  <c r="M50" i="5"/>
  <c r="L50" i="5"/>
  <c r="K50" i="5"/>
  <c r="J50" i="5"/>
  <c r="I50" i="5"/>
  <c r="H50" i="5"/>
  <c r="G50" i="5"/>
  <c r="F50" i="5"/>
  <c r="E50" i="5"/>
  <c r="D50" i="5"/>
  <c r="C50" i="5"/>
  <c r="B50" i="5"/>
  <c r="AC49" i="5"/>
  <c r="AB49" i="5"/>
  <c r="AA49" i="5"/>
  <c r="Z49" i="5"/>
  <c r="Y49" i="5"/>
  <c r="X49" i="5"/>
  <c r="W49" i="5"/>
  <c r="V49" i="5"/>
  <c r="U49" i="5"/>
  <c r="T49" i="5"/>
  <c r="S49" i="5"/>
  <c r="R49" i="5"/>
  <c r="Q49" i="5"/>
  <c r="P49" i="5"/>
  <c r="O49" i="5"/>
  <c r="N49" i="5"/>
  <c r="M49" i="5"/>
  <c r="L49" i="5"/>
  <c r="K49" i="5"/>
  <c r="J49" i="5"/>
  <c r="I49" i="5"/>
  <c r="H49" i="5"/>
  <c r="G49" i="5"/>
  <c r="F49" i="5"/>
  <c r="E49" i="5"/>
  <c r="D49" i="5"/>
  <c r="C49" i="5"/>
  <c r="B49" i="5"/>
  <c r="AC48" i="5"/>
  <c r="AB48" i="5"/>
  <c r="AA48" i="5"/>
  <c r="Z48" i="5"/>
  <c r="Y48" i="5"/>
  <c r="X48" i="5"/>
  <c r="W48" i="5"/>
  <c r="V48" i="5"/>
  <c r="U48" i="5"/>
  <c r="T48" i="5"/>
  <c r="S48" i="5"/>
  <c r="R48" i="5"/>
  <c r="Q48" i="5"/>
  <c r="P48" i="5"/>
  <c r="O48" i="5"/>
  <c r="N48" i="5"/>
  <c r="M48" i="5"/>
  <c r="L48" i="5"/>
  <c r="K48" i="5"/>
  <c r="J48" i="5"/>
  <c r="I48" i="5"/>
  <c r="H48" i="5"/>
  <c r="G48" i="5"/>
  <c r="F48" i="5"/>
  <c r="E48" i="5"/>
  <c r="D48" i="5"/>
  <c r="C48" i="5"/>
  <c r="B48" i="5"/>
  <c r="AC47" i="5"/>
  <c r="AB47" i="5"/>
  <c r="AA47" i="5"/>
  <c r="Z47" i="5"/>
  <c r="Y47" i="5"/>
  <c r="X47" i="5"/>
  <c r="W47" i="5"/>
  <c r="V47" i="5"/>
  <c r="U47" i="5"/>
  <c r="T47" i="5"/>
  <c r="S47" i="5"/>
  <c r="R47" i="5"/>
  <c r="Q47" i="5"/>
  <c r="P47" i="5"/>
  <c r="O47" i="5"/>
  <c r="N47" i="5"/>
  <c r="M47" i="5"/>
  <c r="L47" i="5"/>
  <c r="K47" i="5"/>
  <c r="J47" i="5"/>
  <c r="I47" i="5"/>
  <c r="H47" i="5"/>
  <c r="G47" i="5"/>
  <c r="F47" i="5"/>
  <c r="E47" i="5"/>
  <c r="D47" i="5"/>
  <c r="C47" i="5"/>
  <c r="B47" i="5"/>
  <c r="AC46" i="5"/>
  <c r="AB46" i="5"/>
  <c r="AA46" i="5"/>
  <c r="Z46" i="5"/>
  <c r="Y46" i="5"/>
  <c r="X46" i="5"/>
  <c r="W46" i="5"/>
  <c r="V46" i="5"/>
  <c r="U46" i="5"/>
  <c r="T46" i="5"/>
  <c r="S46" i="5"/>
  <c r="R46" i="5"/>
  <c r="Q46" i="5"/>
  <c r="P46" i="5"/>
  <c r="O46" i="5"/>
  <c r="N46" i="5"/>
  <c r="M46" i="5"/>
  <c r="L46" i="5"/>
  <c r="K46" i="5"/>
  <c r="J46" i="5"/>
  <c r="I46" i="5"/>
  <c r="H46" i="5"/>
  <c r="G46" i="5"/>
  <c r="F46" i="5"/>
  <c r="E46" i="5"/>
  <c r="D46" i="5"/>
  <c r="C46" i="5"/>
  <c r="B46" i="5"/>
  <c r="AC45" i="5"/>
  <c r="AB45" i="5"/>
  <c r="AA45" i="5"/>
  <c r="Z45" i="5"/>
  <c r="Y45" i="5"/>
  <c r="X45" i="5"/>
  <c r="W45" i="5"/>
  <c r="V45" i="5"/>
  <c r="U45" i="5"/>
  <c r="T45" i="5"/>
  <c r="S45" i="5"/>
  <c r="R45" i="5"/>
  <c r="Q45" i="5"/>
  <c r="P45" i="5"/>
  <c r="O45" i="5"/>
  <c r="N45" i="5"/>
  <c r="M45" i="5"/>
  <c r="L45" i="5"/>
  <c r="K45" i="5"/>
  <c r="J45" i="5"/>
  <c r="I45" i="5"/>
  <c r="H45" i="5"/>
  <c r="G45" i="5"/>
  <c r="F45" i="5"/>
  <c r="E45" i="5"/>
  <c r="D45" i="5"/>
  <c r="C45" i="5"/>
  <c r="B45" i="5"/>
  <c r="AC44" i="5"/>
  <c r="AB44" i="5"/>
  <c r="AA44" i="5"/>
  <c r="Z44" i="5"/>
  <c r="Y44" i="5"/>
  <c r="X44" i="5"/>
  <c r="W44" i="5"/>
  <c r="V44" i="5"/>
  <c r="U44" i="5"/>
  <c r="T44" i="5"/>
  <c r="S44" i="5"/>
  <c r="R44" i="5"/>
  <c r="Q44" i="5"/>
  <c r="P44" i="5"/>
  <c r="O44" i="5"/>
  <c r="N44" i="5"/>
  <c r="M44" i="5"/>
  <c r="L44" i="5"/>
  <c r="K44" i="5"/>
  <c r="J44" i="5"/>
  <c r="I44" i="5"/>
  <c r="H44" i="5"/>
  <c r="G44" i="5"/>
  <c r="F44" i="5"/>
  <c r="E44" i="5"/>
  <c r="D44" i="5"/>
  <c r="C44" i="5"/>
  <c r="B44" i="5"/>
  <c r="AC43" i="5"/>
  <c r="AB43" i="5"/>
  <c r="AA43" i="5"/>
  <c r="Z43" i="5"/>
  <c r="Y43" i="5"/>
  <c r="X43" i="5"/>
  <c r="W43" i="5"/>
  <c r="V43" i="5"/>
  <c r="U43" i="5"/>
  <c r="T43" i="5"/>
  <c r="S43" i="5"/>
  <c r="R43" i="5"/>
  <c r="Q43" i="5"/>
  <c r="P43" i="5"/>
  <c r="O43" i="5"/>
  <c r="N43" i="5"/>
  <c r="M43" i="5"/>
  <c r="L43" i="5"/>
  <c r="K43" i="5"/>
  <c r="J43" i="5"/>
  <c r="I43" i="5"/>
  <c r="H43" i="5"/>
  <c r="G43" i="5"/>
  <c r="F43" i="5"/>
  <c r="E43" i="5"/>
  <c r="D43" i="5"/>
  <c r="C43" i="5"/>
  <c r="B43" i="5"/>
  <c r="AC42" i="5"/>
  <c r="AB42" i="5"/>
  <c r="AA42" i="5"/>
  <c r="Z42" i="5"/>
  <c r="Y42" i="5"/>
  <c r="X42" i="5"/>
  <c r="W42" i="5"/>
  <c r="V42" i="5"/>
  <c r="U42" i="5"/>
  <c r="T42" i="5"/>
  <c r="S42" i="5"/>
  <c r="R42" i="5"/>
  <c r="Q42" i="5"/>
  <c r="P42" i="5"/>
  <c r="O42" i="5"/>
  <c r="N42" i="5"/>
  <c r="M42" i="5"/>
  <c r="L42" i="5"/>
  <c r="K42" i="5"/>
  <c r="J42" i="5"/>
  <c r="I42" i="5"/>
  <c r="H42" i="5"/>
  <c r="G42" i="5"/>
  <c r="F42" i="5"/>
  <c r="E42" i="5"/>
  <c r="D42" i="5"/>
  <c r="C42" i="5"/>
  <c r="B42" i="5"/>
  <c r="AC41" i="5"/>
  <c r="AB41" i="5"/>
  <c r="AA41" i="5"/>
  <c r="Z41" i="5"/>
  <c r="Y41" i="5"/>
  <c r="X41" i="5"/>
  <c r="W41" i="5"/>
  <c r="V41" i="5"/>
  <c r="U41" i="5"/>
  <c r="T41" i="5"/>
  <c r="S41" i="5"/>
  <c r="R41" i="5"/>
  <c r="Q41" i="5"/>
  <c r="P41" i="5"/>
  <c r="O41" i="5"/>
  <c r="N41" i="5"/>
  <c r="M41" i="5"/>
  <c r="L41" i="5"/>
  <c r="K41" i="5"/>
  <c r="J41" i="5"/>
  <c r="I41" i="5"/>
  <c r="H41" i="5"/>
  <c r="G41" i="5"/>
  <c r="F41" i="5"/>
  <c r="E41" i="5"/>
  <c r="D41" i="5"/>
  <c r="C41" i="5"/>
  <c r="B41" i="5"/>
  <c r="AC40" i="5"/>
  <c r="AB40" i="5"/>
  <c r="AA40" i="5"/>
  <c r="Z40" i="5"/>
  <c r="Y40" i="5"/>
  <c r="X40" i="5"/>
  <c r="W40" i="5"/>
  <c r="V40" i="5"/>
  <c r="U40" i="5"/>
  <c r="T40" i="5"/>
  <c r="S40" i="5"/>
  <c r="R40" i="5"/>
  <c r="Q40" i="5"/>
  <c r="P40" i="5"/>
  <c r="O40" i="5"/>
  <c r="N40" i="5"/>
  <c r="M40" i="5"/>
  <c r="L40" i="5"/>
  <c r="K40" i="5"/>
  <c r="J40" i="5"/>
  <c r="I40" i="5"/>
  <c r="H40" i="5"/>
  <c r="G40" i="5"/>
  <c r="F40" i="5"/>
  <c r="E40" i="5"/>
  <c r="D40" i="5"/>
  <c r="C40" i="5"/>
  <c r="B40" i="5"/>
  <c r="AC39" i="5"/>
  <c r="AB39" i="5"/>
  <c r="AA39" i="5"/>
  <c r="Z39" i="5"/>
  <c r="Y39" i="5"/>
  <c r="X39" i="5"/>
  <c r="W39" i="5"/>
  <c r="V39" i="5"/>
  <c r="U39" i="5"/>
  <c r="T39" i="5"/>
  <c r="S39" i="5"/>
  <c r="R39" i="5"/>
  <c r="Q39" i="5"/>
  <c r="P39" i="5"/>
  <c r="O39" i="5"/>
  <c r="N39" i="5"/>
  <c r="M39" i="5"/>
  <c r="L39" i="5"/>
  <c r="K39" i="5"/>
  <c r="J39" i="5"/>
  <c r="I39" i="5"/>
  <c r="H39" i="5"/>
  <c r="G39" i="5"/>
  <c r="F39" i="5"/>
  <c r="E39" i="5"/>
  <c r="D39" i="5"/>
  <c r="C39" i="5"/>
  <c r="B39" i="5"/>
  <c r="AC38" i="5"/>
  <c r="AB38" i="5"/>
  <c r="AA38" i="5"/>
  <c r="Z38" i="5"/>
  <c r="Y38" i="5"/>
  <c r="X38" i="5"/>
  <c r="W38" i="5"/>
  <c r="V38" i="5"/>
  <c r="U38" i="5"/>
  <c r="T38" i="5"/>
  <c r="S38" i="5"/>
  <c r="R38" i="5"/>
  <c r="Q38" i="5"/>
  <c r="P38" i="5"/>
  <c r="O38" i="5"/>
  <c r="N38" i="5"/>
  <c r="M38" i="5"/>
  <c r="L38" i="5"/>
  <c r="K38" i="5"/>
  <c r="J38" i="5"/>
  <c r="I38" i="5"/>
  <c r="H38" i="5"/>
  <c r="G38" i="5"/>
  <c r="F38" i="5"/>
  <c r="E38" i="5"/>
  <c r="D38" i="5"/>
  <c r="C38" i="5"/>
  <c r="B38" i="5"/>
  <c r="AC37" i="5"/>
  <c r="AB37" i="5"/>
  <c r="AA37" i="5"/>
  <c r="Z37" i="5"/>
  <c r="Y37" i="5"/>
  <c r="X37" i="5"/>
  <c r="W37" i="5"/>
  <c r="V37" i="5"/>
  <c r="U37" i="5"/>
  <c r="T37" i="5"/>
  <c r="S37" i="5"/>
  <c r="R37" i="5"/>
  <c r="Q37" i="5"/>
  <c r="P37" i="5"/>
  <c r="O37" i="5"/>
  <c r="N37" i="5"/>
  <c r="M37" i="5"/>
  <c r="L37" i="5"/>
  <c r="K37" i="5"/>
  <c r="J37" i="5"/>
  <c r="I37" i="5"/>
  <c r="H37" i="5"/>
  <c r="G37" i="5"/>
  <c r="F37" i="5"/>
  <c r="E37" i="5"/>
  <c r="D37" i="5"/>
  <c r="C37" i="5"/>
  <c r="B37" i="5"/>
  <c r="AC36" i="5"/>
  <c r="AB36" i="5"/>
  <c r="AA36" i="5"/>
  <c r="Z36" i="5"/>
  <c r="Y36" i="5"/>
  <c r="X36" i="5"/>
  <c r="W36" i="5"/>
  <c r="V36" i="5"/>
  <c r="U36" i="5"/>
  <c r="T36" i="5"/>
  <c r="S36" i="5"/>
  <c r="R36" i="5"/>
  <c r="Q36" i="5"/>
  <c r="P36" i="5"/>
  <c r="O36" i="5"/>
  <c r="N36" i="5"/>
  <c r="M36" i="5"/>
  <c r="L36" i="5"/>
  <c r="K36" i="5"/>
  <c r="J36" i="5"/>
  <c r="I36" i="5"/>
  <c r="H36" i="5"/>
  <c r="G36" i="5"/>
  <c r="F36" i="5"/>
  <c r="E36" i="5"/>
  <c r="D36" i="5"/>
  <c r="C36" i="5"/>
  <c r="B36" i="5"/>
  <c r="AC35" i="5"/>
  <c r="AB35" i="5"/>
  <c r="AA35" i="5"/>
  <c r="Z35" i="5"/>
  <c r="Y35" i="5"/>
  <c r="X35" i="5"/>
  <c r="W35" i="5"/>
  <c r="V35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E35" i="5"/>
  <c r="D35" i="5"/>
  <c r="C35" i="5"/>
  <c r="B35" i="5"/>
  <c r="AC34" i="5"/>
  <c r="AB34" i="5"/>
  <c r="AA34" i="5"/>
  <c r="Z34" i="5"/>
  <c r="Y34" i="5"/>
  <c r="X34" i="5"/>
  <c r="W34" i="5"/>
  <c r="V34" i="5"/>
  <c r="U34" i="5"/>
  <c r="T34" i="5"/>
  <c r="S34" i="5"/>
  <c r="R34" i="5"/>
  <c r="Q34" i="5"/>
  <c r="P34" i="5"/>
  <c r="O34" i="5"/>
  <c r="N34" i="5"/>
  <c r="M34" i="5"/>
  <c r="L34" i="5"/>
  <c r="K34" i="5"/>
  <c r="J34" i="5"/>
  <c r="I34" i="5"/>
  <c r="H34" i="5"/>
  <c r="G34" i="5"/>
  <c r="F34" i="5"/>
  <c r="E34" i="5"/>
  <c r="D34" i="5"/>
  <c r="C34" i="5"/>
  <c r="B34" i="5"/>
  <c r="AC33" i="5"/>
  <c r="AB33" i="5"/>
  <c r="AA33" i="5"/>
  <c r="Z33" i="5"/>
  <c r="Y33" i="5"/>
  <c r="X33" i="5"/>
  <c r="W33" i="5"/>
  <c r="V33" i="5"/>
  <c r="U33" i="5"/>
  <c r="T33" i="5"/>
  <c r="S33" i="5"/>
  <c r="R33" i="5"/>
  <c r="Q33" i="5"/>
  <c r="P33" i="5"/>
  <c r="O33" i="5"/>
  <c r="N33" i="5"/>
  <c r="M33" i="5"/>
  <c r="L33" i="5"/>
  <c r="K33" i="5"/>
  <c r="J33" i="5"/>
  <c r="I33" i="5"/>
  <c r="H33" i="5"/>
  <c r="G33" i="5"/>
  <c r="F33" i="5"/>
  <c r="E33" i="5"/>
  <c r="D33" i="5"/>
  <c r="C33" i="5"/>
  <c r="B33" i="5"/>
  <c r="AC32" i="5"/>
  <c r="AB32" i="5"/>
  <c r="AA32" i="5"/>
  <c r="Z32" i="5"/>
  <c r="Y32" i="5"/>
  <c r="X32" i="5"/>
  <c r="W32" i="5"/>
  <c r="V32" i="5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G32" i="5"/>
  <c r="F32" i="5"/>
  <c r="E32" i="5"/>
  <c r="D32" i="5"/>
  <c r="C32" i="5"/>
  <c r="B32" i="5"/>
  <c r="AC31" i="5"/>
  <c r="AB31" i="5"/>
  <c r="AA31" i="5"/>
  <c r="Z31" i="5"/>
  <c r="Y31" i="5"/>
  <c r="X31" i="5"/>
  <c r="W31" i="5"/>
  <c r="V31" i="5"/>
  <c r="U31" i="5"/>
  <c r="T31" i="5"/>
  <c r="S31" i="5"/>
  <c r="R31" i="5"/>
  <c r="Q31" i="5"/>
  <c r="P31" i="5"/>
  <c r="O31" i="5"/>
  <c r="N31" i="5"/>
  <c r="M31" i="5"/>
  <c r="L31" i="5"/>
  <c r="K31" i="5"/>
  <c r="J31" i="5"/>
  <c r="I31" i="5"/>
  <c r="H31" i="5"/>
  <c r="G31" i="5"/>
  <c r="F31" i="5"/>
  <c r="E31" i="5"/>
  <c r="D31" i="5"/>
  <c r="C31" i="5"/>
  <c r="B31" i="5"/>
  <c r="AC30" i="5"/>
  <c r="AB30" i="5"/>
  <c r="AA30" i="5"/>
  <c r="Z30" i="5"/>
  <c r="Y30" i="5"/>
  <c r="X30" i="5"/>
  <c r="W30" i="5"/>
  <c r="V30" i="5"/>
  <c r="U30" i="5"/>
  <c r="T30" i="5"/>
  <c r="S30" i="5"/>
  <c r="R30" i="5"/>
  <c r="Q30" i="5"/>
  <c r="P30" i="5"/>
  <c r="O30" i="5"/>
  <c r="N30" i="5"/>
  <c r="M30" i="5"/>
  <c r="L30" i="5"/>
  <c r="K30" i="5"/>
  <c r="J30" i="5"/>
  <c r="I30" i="5"/>
  <c r="H30" i="5"/>
  <c r="G30" i="5"/>
  <c r="F30" i="5"/>
  <c r="E30" i="5"/>
  <c r="D30" i="5"/>
  <c r="C30" i="5"/>
  <c r="B30" i="5"/>
  <c r="AC29" i="5"/>
  <c r="AB29" i="5"/>
  <c r="AA29" i="5"/>
  <c r="Z29" i="5"/>
  <c r="Y29" i="5"/>
  <c r="X29" i="5"/>
  <c r="W29" i="5"/>
  <c r="V29" i="5"/>
  <c r="U29" i="5"/>
  <c r="T29" i="5"/>
  <c r="S29" i="5"/>
  <c r="R29" i="5"/>
  <c r="Q29" i="5"/>
  <c r="P29" i="5"/>
  <c r="O29" i="5"/>
  <c r="N29" i="5"/>
  <c r="M29" i="5"/>
  <c r="L29" i="5"/>
  <c r="K29" i="5"/>
  <c r="J29" i="5"/>
  <c r="I29" i="5"/>
  <c r="H29" i="5"/>
  <c r="G29" i="5"/>
  <c r="F29" i="5"/>
  <c r="E29" i="5"/>
  <c r="D29" i="5"/>
  <c r="C29" i="5"/>
  <c r="B29" i="5"/>
  <c r="AC28" i="5"/>
  <c r="AB28" i="5"/>
  <c r="AA28" i="5"/>
  <c r="Z28" i="5"/>
  <c r="Y28" i="5"/>
  <c r="X28" i="5"/>
  <c r="W28" i="5"/>
  <c r="V28" i="5"/>
  <c r="U28" i="5"/>
  <c r="T28" i="5"/>
  <c r="S28" i="5"/>
  <c r="R28" i="5"/>
  <c r="Q28" i="5"/>
  <c r="P28" i="5"/>
  <c r="O28" i="5"/>
  <c r="N28" i="5"/>
  <c r="M28" i="5"/>
  <c r="L28" i="5"/>
  <c r="K28" i="5"/>
  <c r="J28" i="5"/>
  <c r="I28" i="5"/>
  <c r="H28" i="5"/>
  <c r="G28" i="5"/>
  <c r="F28" i="5"/>
  <c r="E28" i="5"/>
  <c r="D28" i="5"/>
  <c r="C28" i="5"/>
  <c r="B28" i="5"/>
  <c r="AC27" i="5"/>
  <c r="AB27" i="5"/>
  <c r="AA27" i="5"/>
  <c r="Z27" i="5"/>
  <c r="Y27" i="5"/>
  <c r="X27" i="5"/>
  <c r="W27" i="5"/>
  <c r="V27" i="5"/>
  <c r="U27" i="5"/>
  <c r="T27" i="5"/>
  <c r="S27" i="5"/>
  <c r="R27" i="5"/>
  <c r="Q27" i="5"/>
  <c r="P27" i="5"/>
  <c r="O27" i="5"/>
  <c r="N27" i="5"/>
  <c r="M27" i="5"/>
  <c r="L27" i="5"/>
  <c r="K27" i="5"/>
  <c r="J27" i="5"/>
  <c r="I27" i="5"/>
  <c r="H27" i="5"/>
  <c r="G27" i="5"/>
  <c r="F27" i="5"/>
  <c r="E27" i="5"/>
  <c r="D27" i="5"/>
  <c r="C27" i="5"/>
  <c r="B27" i="5"/>
  <c r="AC26" i="5"/>
  <c r="AB26" i="5"/>
  <c r="AA26" i="5"/>
  <c r="Z26" i="5"/>
  <c r="Y26" i="5"/>
  <c r="X26" i="5"/>
  <c r="W26" i="5"/>
  <c r="V26" i="5"/>
  <c r="U26" i="5"/>
  <c r="T26" i="5"/>
  <c r="S26" i="5"/>
  <c r="R26" i="5"/>
  <c r="Q26" i="5"/>
  <c r="P26" i="5"/>
  <c r="O26" i="5"/>
  <c r="N26" i="5"/>
  <c r="M26" i="5"/>
  <c r="L26" i="5"/>
  <c r="K26" i="5"/>
  <c r="J26" i="5"/>
  <c r="I26" i="5"/>
  <c r="H26" i="5"/>
  <c r="G26" i="5"/>
  <c r="F26" i="5"/>
  <c r="E26" i="5"/>
  <c r="D26" i="5"/>
  <c r="C26" i="5"/>
  <c r="B26" i="5"/>
  <c r="AC25" i="5"/>
  <c r="AB25" i="5"/>
  <c r="AA25" i="5"/>
  <c r="Z25" i="5"/>
  <c r="Y25" i="5"/>
  <c r="X25" i="5"/>
  <c r="W25" i="5"/>
  <c r="V25" i="5"/>
  <c r="U25" i="5"/>
  <c r="T25" i="5"/>
  <c r="S25" i="5"/>
  <c r="R25" i="5"/>
  <c r="Q25" i="5"/>
  <c r="P25" i="5"/>
  <c r="O25" i="5"/>
  <c r="N25" i="5"/>
  <c r="M25" i="5"/>
  <c r="L25" i="5"/>
  <c r="K25" i="5"/>
  <c r="J25" i="5"/>
  <c r="I25" i="5"/>
  <c r="H25" i="5"/>
  <c r="G25" i="5"/>
  <c r="F25" i="5"/>
  <c r="E25" i="5"/>
  <c r="D25" i="5"/>
  <c r="C25" i="5"/>
  <c r="B25" i="5"/>
  <c r="AC24" i="5"/>
  <c r="AB24" i="5"/>
  <c r="AA24" i="5"/>
  <c r="Z24" i="5"/>
  <c r="Y24" i="5"/>
  <c r="X24" i="5"/>
  <c r="W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  <c r="F24" i="5"/>
  <c r="E24" i="5"/>
  <c r="D24" i="5"/>
  <c r="C24" i="5"/>
  <c r="B24" i="5"/>
  <c r="AC23" i="5"/>
  <c r="AB23" i="5"/>
  <c r="AA23" i="5"/>
  <c r="Z23" i="5"/>
  <c r="Y23" i="5"/>
  <c r="X23" i="5"/>
  <c r="W23" i="5"/>
  <c r="V23" i="5"/>
  <c r="U23" i="5"/>
  <c r="T23" i="5"/>
  <c r="S23" i="5"/>
  <c r="R23" i="5"/>
  <c r="Q23" i="5"/>
  <c r="P23" i="5"/>
  <c r="O23" i="5"/>
  <c r="N23" i="5"/>
  <c r="M23" i="5"/>
  <c r="L23" i="5"/>
  <c r="K23" i="5"/>
  <c r="J23" i="5"/>
  <c r="I23" i="5"/>
  <c r="H23" i="5"/>
  <c r="G23" i="5"/>
  <c r="F23" i="5"/>
  <c r="E23" i="5"/>
  <c r="D23" i="5"/>
  <c r="C23" i="5"/>
  <c r="B23" i="5"/>
  <c r="AC22" i="5"/>
  <c r="AB22" i="5"/>
  <c r="AA22" i="5"/>
  <c r="Z22" i="5"/>
  <c r="Y22" i="5"/>
  <c r="X22" i="5"/>
  <c r="W22" i="5"/>
  <c r="V22" i="5"/>
  <c r="U22" i="5"/>
  <c r="T22" i="5"/>
  <c r="S22" i="5"/>
  <c r="R22" i="5"/>
  <c r="Q22" i="5"/>
  <c r="P22" i="5"/>
  <c r="O22" i="5"/>
  <c r="N22" i="5"/>
  <c r="M22" i="5"/>
  <c r="L22" i="5"/>
  <c r="K22" i="5"/>
  <c r="J22" i="5"/>
  <c r="I22" i="5"/>
  <c r="H22" i="5"/>
  <c r="G22" i="5"/>
  <c r="F22" i="5"/>
  <c r="E22" i="5"/>
  <c r="D22" i="5"/>
  <c r="C22" i="5"/>
  <c r="B22" i="5"/>
  <c r="AC21" i="5"/>
  <c r="AB21" i="5"/>
  <c r="AA21" i="5"/>
  <c r="Z21" i="5"/>
  <c r="Y21" i="5"/>
  <c r="X21" i="5"/>
  <c r="W21" i="5"/>
  <c r="V21" i="5"/>
  <c r="U21" i="5"/>
  <c r="T21" i="5"/>
  <c r="S21" i="5"/>
  <c r="R21" i="5"/>
  <c r="Q21" i="5"/>
  <c r="P21" i="5"/>
  <c r="O21" i="5"/>
  <c r="N21" i="5"/>
  <c r="M21" i="5"/>
  <c r="L21" i="5"/>
  <c r="K21" i="5"/>
  <c r="J21" i="5"/>
  <c r="I21" i="5"/>
  <c r="H21" i="5"/>
  <c r="G21" i="5"/>
  <c r="F21" i="5"/>
  <c r="E21" i="5"/>
  <c r="D21" i="5"/>
  <c r="C21" i="5"/>
  <c r="B21" i="5"/>
  <c r="AC20" i="5"/>
  <c r="AB20" i="5"/>
  <c r="AA20" i="5"/>
  <c r="Z20" i="5"/>
  <c r="Y20" i="5"/>
  <c r="X20" i="5"/>
  <c r="W20" i="5"/>
  <c r="V20" i="5"/>
  <c r="U20" i="5"/>
  <c r="T20" i="5"/>
  <c r="S20" i="5"/>
  <c r="R20" i="5"/>
  <c r="Q20" i="5"/>
  <c r="P20" i="5"/>
  <c r="O20" i="5"/>
  <c r="N20" i="5"/>
  <c r="M20" i="5"/>
  <c r="L20" i="5"/>
  <c r="K20" i="5"/>
  <c r="J20" i="5"/>
  <c r="I20" i="5"/>
  <c r="H20" i="5"/>
  <c r="G20" i="5"/>
  <c r="F20" i="5"/>
  <c r="E20" i="5"/>
  <c r="D20" i="5"/>
  <c r="C20" i="5"/>
  <c r="B20" i="5"/>
  <c r="AC19" i="5"/>
  <c r="AB19" i="5"/>
  <c r="AA19" i="5"/>
  <c r="Z19" i="5"/>
  <c r="Y19" i="5"/>
  <c r="X19" i="5"/>
  <c r="W19" i="5"/>
  <c r="V19" i="5"/>
  <c r="U19" i="5"/>
  <c r="T19" i="5"/>
  <c r="S19" i="5"/>
  <c r="R19" i="5"/>
  <c r="Q19" i="5"/>
  <c r="P19" i="5"/>
  <c r="O19" i="5"/>
  <c r="N19" i="5"/>
  <c r="M19" i="5"/>
  <c r="L19" i="5"/>
  <c r="K19" i="5"/>
  <c r="J19" i="5"/>
  <c r="I19" i="5"/>
  <c r="H19" i="5"/>
  <c r="G19" i="5"/>
  <c r="F19" i="5"/>
  <c r="E19" i="5"/>
  <c r="D19" i="5"/>
  <c r="C19" i="5"/>
  <c r="B19" i="5"/>
  <c r="AC18" i="5"/>
  <c r="AB18" i="5"/>
  <c r="AA18" i="5"/>
  <c r="Z18" i="5"/>
  <c r="Y18" i="5"/>
  <c r="X18" i="5"/>
  <c r="W18" i="5"/>
  <c r="V18" i="5"/>
  <c r="U18" i="5"/>
  <c r="T18" i="5"/>
  <c r="S18" i="5"/>
  <c r="R18" i="5"/>
  <c r="Q18" i="5"/>
  <c r="P18" i="5"/>
  <c r="O18" i="5"/>
  <c r="N18" i="5"/>
  <c r="M18" i="5"/>
  <c r="L18" i="5"/>
  <c r="K18" i="5"/>
  <c r="J18" i="5"/>
  <c r="I18" i="5"/>
  <c r="H18" i="5"/>
  <c r="G18" i="5"/>
  <c r="F18" i="5"/>
  <c r="E18" i="5"/>
  <c r="D18" i="5"/>
  <c r="C18" i="5"/>
  <c r="B18" i="5"/>
  <c r="AC17" i="5"/>
  <c r="AB17" i="5"/>
  <c r="AA17" i="5"/>
  <c r="Z17" i="5"/>
  <c r="Y17" i="5"/>
  <c r="X17" i="5"/>
  <c r="W17" i="5"/>
  <c r="V17" i="5"/>
  <c r="U17" i="5"/>
  <c r="T17" i="5"/>
  <c r="S17" i="5"/>
  <c r="R17" i="5"/>
  <c r="Q17" i="5"/>
  <c r="P17" i="5"/>
  <c r="O17" i="5"/>
  <c r="N17" i="5"/>
  <c r="M17" i="5"/>
  <c r="L17" i="5"/>
  <c r="K17" i="5"/>
  <c r="J17" i="5"/>
  <c r="I17" i="5"/>
  <c r="H17" i="5"/>
  <c r="G17" i="5"/>
  <c r="F17" i="5"/>
  <c r="E17" i="5"/>
  <c r="D17" i="5"/>
  <c r="C17" i="5"/>
  <c r="B17" i="5"/>
  <c r="AC16" i="5"/>
  <c r="AB16" i="5"/>
  <c r="AA16" i="5"/>
  <c r="Z16" i="5"/>
  <c r="Y16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D16" i="5"/>
  <c r="C16" i="5"/>
  <c r="B16" i="5"/>
  <c r="AC15" i="5"/>
  <c r="AB15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D15" i="5"/>
  <c r="C15" i="5"/>
  <c r="B15" i="5"/>
  <c r="AC14" i="5"/>
  <c r="AB14" i="5"/>
  <c r="AA14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D14" i="5"/>
  <c r="C14" i="5"/>
  <c r="B14" i="5"/>
  <c r="AC13" i="5"/>
  <c r="AB13" i="5"/>
  <c r="AA13" i="5"/>
  <c r="Z13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E13" i="5"/>
  <c r="D13" i="5"/>
  <c r="C13" i="5"/>
  <c r="B13" i="5"/>
  <c r="AC12" i="5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D12" i="5"/>
  <c r="C12" i="5"/>
  <c r="B12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B11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B10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B9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B8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B7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B6" i="5"/>
  <c r="AC5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B5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4" i="5"/>
  <c r="B4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B3" i="5"/>
  <c r="AC2" i="5"/>
  <c r="AB2" i="5"/>
  <c r="AA2" i="5"/>
  <c r="Z2" i="5"/>
  <c r="Y2" i="5"/>
  <c r="X2" i="5"/>
  <c r="W2" i="5"/>
  <c r="V2" i="5"/>
  <c r="U2" i="5"/>
  <c r="T2" i="5"/>
  <c r="S2" i="5"/>
  <c r="R2" i="5"/>
  <c r="Q2" i="5"/>
  <c r="P2" i="5"/>
  <c r="O2" i="5"/>
  <c r="N2" i="5"/>
  <c r="M2" i="5"/>
  <c r="L2" i="5"/>
  <c r="K2" i="5"/>
  <c r="J2" i="5"/>
  <c r="I2" i="5"/>
  <c r="H2" i="5"/>
  <c r="G2" i="5"/>
  <c r="F2" i="5"/>
  <c r="E2" i="5"/>
  <c r="D2" i="5"/>
  <c r="C2" i="5"/>
  <c r="B2" i="5"/>
  <c r="R101" i="7" l="1"/>
  <c r="J101" i="7"/>
  <c r="H101" i="7"/>
  <c r="I101" i="7"/>
  <c r="Q101" i="7"/>
  <c r="Y101" i="7"/>
  <c r="Z101" i="7"/>
  <c r="U101" i="7"/>
  <c r="T101" i="7"/>
  <c r="V101" i="7"/>
  <c r="Y101" i="5"/>
  <c r="AA101" i="7"/>
  <c r="AC101" i="7"/>
  <c r="Z101" i="5"/>
  <c r="AB101" i="7"/>
  <c r="W101" i="7"/>
  <c r="X101" i="7"/>
  <c r="H101" i="5"/>
  <c r="B101" i="7"/>
  <c r="D101" i="7"/>
  <c r="C101" i="7"/>
  <c r="E101" i="7"/>
  <c r="F101" i="7"/>
  <c r="G101" i="7"/>
  <c r="I101" i="5"/>
  <c r="Q101" i="5"/>
  <c r="K101" i="7"/>
  <c r="S101" i="7"/>
  <c r="M101" i="7"/>
  <c r="R101" i="5"/>
  <c r="L101" i="7"/>
  <c r="J101" i="5"/>
  <c r="N101" i="7"/>
  <c r="O101" i="7"/>
  <c r="P101" i="7"/>
  <c r="D101" i="5"/>
  <c r="M101" i="5"/>
  <c r="U101" i="5"/>
  <c r="AC101" i="5"/>
  <c r="E101" i="5"/>
  <c r="N101" i="5"/>
  <c r="V101" i="5"/>
  <c r="B101" i="5"/>
  <c r="F101" i="5"/>
  <c r="K101" i="5"/>
  <c r="O101" i="5"/>
  <c r="S101" i="5"/>
  <c r="W101" i="5"/>
  <c r="AA101" i="5"/>
  <c r="C101" i="5"/>
  <c r="G101" i="5"/>
  <c r="L101" i="5"/>
  <c r="P101" i="5"/>
  <c r="T101" i="5"/>
  <c r="X101" i="5"/>
  <c r="AB101" i="5"/>
  <c r="B104" i="7" l="1"/>
  <c r="B103" i="5"/>
  <c r="B107" i="7" s="1"/>
  <c r="P103" i="7"/>
  <c r="F104" i="7" l="1"/>
  <c r="F107" i="7" s="1"/>
  <c r="P102" i="5"/>
</calcChain>
</file>

<file path=xl/sharedStrings.xml><?xml version="1.0" encoding="utf-8"?>
<sst xmlns="http://schemas.openxmlformats.org/spreadsheetml/2006/main" count="2807" uniqueCount="2075">
  <si>
    <t>2Day*8</t>
  </si>
  <si>
    <t>2Day*5</t>
  </si>
  <si>
    <t>2Day*7</t>
  </si>
  <si>
    <t>2Day*2</t>
  </si>
  <si>
    <t>2Day*6</t>
  </si>
  <si>
    <t>2Day*4</t>
  </si>
  <si>
    <t>2Day*3</t>
  </si>
  <si>
    <t>Next Day AM*8</t>
  </si>
  <si>
    <t>Next Day AM*7</t>
  </si>
  <si>
    <t>Next Day AM*3</t>
  </si>
  <si>
    <t>Next Day AM*2</t>
  </si>
  <si>
    <t>Next Day AM*5</t>
  </si>
  <si>
    <t>Next Day AM*6</t>
  </si>
  <si>
    <t>Next Day AM*4</t>
  </si>
  <si>
    <t>3Day*7</t>
  </si>
  <si>
    <t>3Day*8</t>
  </si>
  <si>
    <t>3Day*4</t>
  </si>
  <si>
    <t>3Day*2</t>
  </si>
  <si>
    <t>3Day*5</t>
  </si>
  <si>
    <t>3Day*6</t>
  </si>
  <si>
    <t>3Day*3</t>
  </si>
  <si>
    <t>Ground*8</t>
  </si>
  <si>
    <t>Ground*3</t>
  </si>
  <si>
    <t>Ground*2</t>
  </si>
  <si>
    <t>Ground*7</t>
  </si>
  <si>
    <t>Ground*5</t>
  </si>
  <si>
    <t>Ground*6</t>
  </si>
  <si>
    <t>Ground*4</t>
  </si>
  <si>
    <t>Wgt</t>
  </si>
  <si>
    <t>Total UPS</t>
  </si>
  <si>
    <t>Total FedEx</t>
  </si>
  <si>
    <t>6 mos</t>
  </si>
  <si>
    <t>Difference UPS-FEDEX</t>
  </si>
  <si>
    <t>8.20</t>
  </si>
  <si>
    <t>8.42</t>
  </si>
  <si>
    <t>8.54</t>
  </si>
  <si>
    <t>9.41</t>
  </si>
  <si>
    <t>9.05</t>
  </si>
  <si>
    <t>9.94</t>
  </si>
  <si>
    <t>10.29</t>
  </si>
  <si>
    <t>8.39</t>
  </si>
  <si>
    <t>9.21</t>
  </si>
  <si>
    <t>9.55</t>
  </si>
  <si>
    <t>10.79</t>
  </si>
  <si>
    <t>11.20</t>
  </si>
  <si>
    <t>8.57</t>
  </si>
  <si>
    <t>9.30</t>
  </si>
  <si>
    <t>9.64</t>
  </si>
  <si>
    <t>10.94</t>
  </si>
  <si>
    <t>11.29</t>
  </si>
  <si>
    <t>10.87</t>
  </si>
  <si>
    <t>11.38</t>
  </si>
  <si>
    <t>12.55</t>
  </si>
  <si>
    <t>13.09</t>
  </si>
  <si>
    <t>10.07</t>
  </si>
  <si>
    <t>11.41</t>
  </si>
  <si>
    <t>11.84</t>
  </si>
  <si>
    <t>13.10</t>
  </si>
  <si>
    <t>13.99</t>
  </si>
  <si>
    <t>10.51</t>
  </si>
  <si>
    <t>11.85</t>
  </si>
  <si>
    <t>12.40</t>
  </si>
  <si>
    <t>13.87</t>
  </si>
  <si>
    <t>14.43</t>
  </si>
  <si>
    <t>11.89</t>
  </si>
  <si>
    <t>12.46</t>
  </si>
  <si>
    <t>13.95</t>
  </si>
  <si>
    <t>14.47</t>
  </si>
  <si>
    <t>11.00</t>
  </si>
  <si>
    <t>12.07</t>
  </si>
  <si>
    <t>12.63</t>
  </si>
  <si>
    <t>14.09</t>
  </si>
  <si>
    <t>14.60</t>
  </si>
  <si>
    <t>13.41</t>
  </si>
  <si>
    <t>15.39</t>
  </si>
  <si>
    <t>16.06</t>
  </si>
  <si>
    <t>16.78</t>
  </si>
  <si>
    <t>17.12</t>
  </si>
  <si>
    <t>7.88</t>
  </si>
  <si>
    <t>13.72</t>
  </si>
  <si>
    <t>16.11</t>
  </si>
  <si>
    <t>16.74</t>
  </si>
  <si>
    <t>17.14</t>
  </si>
  <si>
    <t>17.48</t>
  </si>
  <si>
    <t>7.96</t>
  </si>
  <si>
    <t>14.03</t>
  </si>
  <si>
    <t>16.47</t>
  </si>
  <si>
    <t>16.82</t>
  </si>
  <si>
    <t>18.66</t>
  </si>
  <si>
    <t>19.03</t>
  </si>
  <si>
    <t>8.06</t>
  </si>
  <si>
    <t>14.64</t>
  </si>
  <si>
    <t>16.50</t>
  </si>
  <si>
    <t>16.83</t>
  </si>
  <si>
    <t>18.81</t>
  </si>
  <si>
    <t>19.19</t>
  </si>
  <si>
    <t>8.10</t>
  </si>
  <si>
    <t>14.90</t>
  </si>
  <si>
    <t>16.61</t>
  </si>
  <si>
    <t>16.94</t>
  </si>
  <si>
    <t>18.91</t>
  </si>
  <si>
    <t>19.29</t>
  </si>
  <si>
    <t>9.08</t>
  </si>
  <si>
    <t>15.95</t>
  </si>
  <si>
    <t>18.68</t>
  </si>
  <si>
    <t>19.05</t>
  </si>
  <si>
    <t>20.82</t>
  </si>
  <si>
    <t>21.23</t>
  </si>
  <si>
    <t>9.18</t>
  </si>
  <si>
    <t>16.84</t>
  </si>
  <si>
    <t>18.89</t>
  </si>
  <si>
    <t>19.27</t>
  </si>
  <si>
    <t>21.01</t>
  </si>
  <si>
    <t>21.43</t>
  </si>
  <si>
    <t>9.23</t>
  </si>
  <si>
    <t>16.93</t>
  </si>
  <si>
    <t>21.03</t>
  </si>
  <si>
    <t>21.45</t>
  </si>
  <si>
    <t>9.25</t>
  </si>
  <si>
    <t>16.96</t>
  </si>
  <si>
    <t>18.93</t>
  </si>
  <si>
    <t>19.31</t>
  </si>
  <si>
    <t>21.05</t>
  </si>
  <si>
    <t>21.47</t>
  </si>
  <si>
    <t>9.28</t>
  </si>
  <si>
    <t>17.04</t>
  </si>
  <si>
    <t>18.96</t>
  </si>
  <si>
    <t>19.37</t>
  </si>
  <si>
    <t>21.11</t>
  </si>
  <si>
    <t>21.58</t>
  </si>
  <si>
    <t>9.71</t>
  </si>
  <si>
    <t>18.59</t>
  </si>
  <si>
    <t>19.70</t>
  </si>
  <si>
    <t>20.55</t>
  </si>
  <si>
    <t>22.32</t>
  </si>
  <si>
    <t>23.69</t>
  </si>
  <si>
    <t>10.25</t>
  </si>
  <si>
    <t>19.06</t>
  </si>
  <si>
    <t>20.27</t>
  </si>
  <si>
    <t>20.70</t>
  </si>
  <si>
    <t>23.42</t>
  </si>
  <si>
    <t>24.50</t>
  </si>
  <si>
    <t>10.30</t>
  </si>
  <si>
    <t>19.59</t>
  </si>
  <si>
    <t>21.24</t>
  </si>
  <si>
    <t>22.37</t>
  </si>
  <si>
    <t>24.70</t>
  </si>
  <si>
    <t>25.20</t>
  </si>
  <si>
    <t>10.35</t>
  </si>
  <si>
    <t>19.87</t>
  </si>
  <si>
    <t>22.09</t>
  </si>
  <si>
    <t>22.53</t>
  </si>
  <si>
    <t>25.71</t>
  </si>
  <si>
    <t>10.38</t>
  </si>
  <si>
    <t>20.54</t>
  </si>
  <si>
    <t>22.18</t>
  </si>
  <si>
    <t>22.97</t>
  </si>
  <si>
    <t>25.27</t>
  </si>
  <si>
    <t>25.77</t>
  </si>
  <si>
    <t>7.86</t>
  </si>
  <si>
    <t>11.21</t>
  </si>
  <si>
    <t>21.73</t>
  </si>
  <si>
    <t>23.71</t>
  </si>
  <si>
    <t>24.79</t>
  </si>
  <si>
    <t>25.90</t>
  </si>
  <si>
    <t>27.05</t>
  </si>
  <si>
    <t>7.91</t>
  </si>
  <si>
    <t>22.27</t>
  </si>
  <si>
    <t>23.86</t>
  </si>
  <si>
    <t>25.40</t>
  </si>
  <si>
    <t>26.53</t>
  </si>
  <si>
    <t>28.26</t>
  </si>
  <si>
    <t>8.07</t>
  </si>
  <si>
    <t>11.34</t>
  </si>
  <si>
    <t>22.86</t>
  </si>
  <si>
    <t>24.56</t>
  </si>
  <si>
    <t>25.46</t>
  </si>
  <si>
    <t>27.12</t>
  </si>
  <si>
    <t>28.96</t>
  </si>
  <si>
    <t>8.12</t>
  </si>
  <si>
    <t>11.39</t>
  </si>
  <si>
    <t>23.38</t>
  </si>
  <si>
    <t>24.64</t>
  </si>
  <si>
    <t>25.48</t>
  </si>
  <si>
    <t>27.90</t>
  </si>
  <si>
    <t>29.12</t>
  </si>
  <si>
    <t>8.16</t>
  </si>
  <si>
    <t>23.43</t>
  </si>
  <si>
    <t>24.85</t>
  </si>
  <si>
    <t>25.60</t>
  </si>
  <si>
    <t>28.02</t>
  </si>
  <si>
    <t>29.18</t>
  </si>
  <si>
    <t>8.46</t>
  </si>
  <si>
    <t>11.73</t>
  </si>
  <si>
    <t>24.43</t>
  </si>
  <si>
    <t>25.96</t>
  </si>
  <si>
    <t>27.78</t>
  </si>
  <si>
    <t>28.98</t>
  </si>
  <si>
    <t>30.26</t>
  </si>
  <si>
    <t>8.70</t>
  </si>
  <si>
    <t>12.01</t>
  </si>
  <si>
    <t>24.96</t>
  </si>
  <si>
    <t>26.07</t>
  </si>
  <si>
    <t>28.00</t>
  </si>
  <si>
    <t>29.11</t>
  </si>
  <si>
    <t>30.75</t>
  </si>
  <si>
    <t>8.92</t>
  </si>
  <si>
    <t>12.69</t>
  </si>
  <si>
    <t>25.36</t>
  </si>
  <si>
    <t>27.81</t>
  </si>
  <si>
    <t>28.50</t>
  </si>
  <si>
    <t>30.83</t>
  </si>
  <si>
    <t>31.97</t>
  </si>
  <si>
    <t>9.10</t>
  </si>
  <si>
    <t>12.76</t>
  </si>
  <si>
    <t>27.99</t>
  </si>
  <si>
    <t>28.55</t>
  </si>
  <si>
    <t>31.48</t>
  </si>
  <si>
    <t>32.12</t>
  </si>
  <si>
    <t>12.80</t>
  </si>
  <si>
    <t>28.60</t>
  </si>
  <si>
    <t>31.78</t>
  </si>
  <si>
    <t>32.41</t>
  </si>
  <si>
    <t>9.69</t>
  </si>
  <si>
    <t>13.05</t>
  </si>
  <si>
    <t>26.98</t>
  </si>
  <si>
    <t>28.59</t>
  </si>
  <si>
    <t>29.60</t>
  </si>
  <si>
    <t>32.24</t>
  </si>
  <si>
    <t>33.10</t>
  </si>
  <si>
    <t>9.72</t>
  </si>
  <si>
    <t>13.92</t>
  </si>
  <si>
    <t>27.61</t>
  </si>
  <si>
    <t>30.30</t>
  </si>
  <si>
    <t>31.04</t>
  </si>
  <si>
    <t>33.30</t>
  </si>
  <si>
    <t>34.22</t>
  </si>
  <si>
    <t>9.75</t>
  </si>
  <si>
    <t>14.01</t>
  </si>
  <si>
    <t>28.04</t>
  </si>
  <si>
    <t>30.48</t>
  </si>
  <si>
    <t>31.55</t>
  </si>
  <si>
    <t>33.41</t>
  </si>
  <si>
    <t>34.33</t>
  </si>
  <si>
    <t>9.79</t>
  </si>
  <si>
    <t>14.04</t>
  </si>
  <si>
    <t>28.52</t>
  </si>
  <si>
    <t>30.50</t>
  </si>
  <si>
    <t>31.60</t>
  </si>
  <si>
    <t>34.25</t>
  </si>
  <si>
    <t>34.94</t>
  </si>
  <si>
    <t>9.81</t>
  </si>
  <si>
    <t>14.08</t>
  </si>
  <si>
    <t>28.57</t>
  </si>
  <si>
    <t>30.53</t>
  </si>
  <si>
    <t>31.68</t>
  </si>
  <si>
    <t>34.34</t>
  </si>
  <si>
    <t>35.02</t>
  </si>
  <si>
    <t>14.76</t>
  </si>
  <si>
    <t>29.56</t>
  </si>
  <si>
    <t>31.31</t>
  </si>
  <si>
    <t>33.44</t>
  </si>
  <si>
    <t>34.82</t>
  </si>
  <si>
    <t>36.55</t>
  </si>
  <si>
    <t>10.39</t>
  </si>
  <si>
    <t>14.83</t>
  </si>
  <si>
    <t>29.94</t>
  </si>
  <si>
    <t>31.80</t>
  </si>
  <si>
    <t>33.61</t>
  </si>
  <si>
    <t>34.95</t>
  </si>
  <si>
    <t>37.35</t>
  </si>
  <si>
    <t>10.67</t>
  </si>
  <si>
    <t>15.06</t>
  </si>
  <si>
    <t>30.71</t>
  </si>
  <si>
    <t>32.64</t>
  </si>
  <si>
    <t>36.66</t>
  </si>
  <si>
    <t>39.41</t>
  </si>
  <si>
    <t>10.91</t>
  </si>
  <si>
    <t>15.85</t>
  </si>
  <si>
    <t>31.22</t>
  </si>
  <si>
    <t>33.53</t>
  </si>
  <si>
    <t>37.25</t>
  </si>
  <si>
    <t>39.62</t>
  </si>
  <si>
    <t>11.43</t>
  </si>
  <si>
    <t>16.46</t>
  </si>
  <si>
    <t>31.56</t>
  </si>
  <si>
    <t>33.87</t>
  </si>
  <si>
    <t>34.88</t>
  </si>
  <si>
    <t>37.86</t>
  </si>
  <si>
    <t>39.70</t>
  </si>
  <si>
    <t>11.75</t>
  </si>
  <si>
    <t>16.53</t>
  </si>
  <si>
    <t>32.07</t>
  </si>
  <si>
    <t>34.80</t>
  </si>
  <si>
    <t>36.09</t>
  </si>
  <si>
    <t>38.29</t>
  </si>
  <si>
    <t>41.23</t>
  </si>
  <si>
    <t>11.91</t>
  </si>
  <si>
    <t>16.77</t>
  </si>
  <si>
    <t>32.13</t>
  </si>
  <si>
    <t>34.93</t>
  </si>
  <si>
    <t>36.25</t>
  </si>
  <si>
    <t>38.40</t>
  </si>
  <si>
    <t>41.39</t>
  </si>
  <si>
    <t>11.93</t>
  </si>
  <si>
    <t>16.80</t>
  </si>
  <si>
    <t>32.14</t>
  </si>
  <si>
    <t>35.19</t>
  </si>
  <si>
    <t>36.28</t>
  </si>
  <si>
    <t>39.10</t>
  </si>
  <si>
    <t>41.41</t>
  </si>
  <si>
    <t>11.95</t>
  </si>
  <si>
    <t>32.16</t>
  </si>
  <si>
    <t>35.23</t>
  </si>
  <si>
    <t>36.29</t>
  </si>
  <si>
    <t>39.17</t>
  </si>
  <si>
    <t>41.43</t>
  </si>
  <si>
    <t>12.02</t>
  </si>
  <si>
    <t>16.92</t>
  </si>
  <si>
    <t>32.28</t>
  </si>
  <si>
    <t>35.38</t>
  </si>
  <si>
    <t>36.44</t>
  </si>
  <si>
    <t>39.33</t>
  </si>
  <si>
    <t>41.55</t>
  </si>
  <si>
    <t>13.38</t>
  </si>
  <si>
    <t>18.80</t>
  </si>
  <si>
    <t>34.62</t>
  </si>
  <si>
    <t>38.53</t>
  </si>
  <si>
    <t>39.32</t>
  </si>
  <si>
    <t>42.54</t>
  </si>
  <si>
    <t>43.94</t>
  </si>
  <si>
    <t>13.58</t>
  </si>
  <si>
    <t>19.79</t>
  </si>
  <si>
    <t>37.09</t>
  </si>
  <si>
    <t>39.29</t>
  </si>
  <si>
    <t>40.75</t>
  </si>
  <si>
    <t>44.20</t>
  </si>
  <si>
    <t>46.36</t>
  </si>
  <si>
    <t>13.73</t>
  </si>
  <si>
    <t>19.88</t>
  </si>
  <si>
    <t>37.34</t>
  </si>
  <si>
    <t>40.06</t>
  </si>
  <si>
    <t>40.90</t>
  </si>
  <si>
    <t>46.25</t>
  </si>
  <si>
    <t>47.32</t>
  </si>
  <si>
    <t>13.77</t>
  </si>
  <si>
    <t>19.93</t>
  </si>
  <si>
    <t>37.39</t>
  </si>
  <si>
    <t>40.14</t>
  </si>
  <si>
    <t>40.94</t>
  </si>
  <si>
    <t>46.46</t>
  </si>
  <si>
    <t>47.41</t>
  </si>
  <si>
    <t>13.82</t>
  </si>
  <si>
    <t>37.65</t>
  </si>
  <si>
    <t>40.24</t>
  </si>
  <si>
    <t>41.04</t>
  </si>
  <si>
    <t>46.49</t>
  </si>
  <si>
    <t>47.45</t>
  </si>
  <si>
    <t>14.82</t>
  </si>
  <si>
    <t>21.41</t>
  </si>
  <si>
    <t>37.70</t>
  </si>
  <si>
    <t>41.35</t>
  </si>
  <si>
    <t>42.17</t>
  </si>
  <si>
    <t>46.54</t>
  </si>
  <si>
    <t>47.49</t>
  </si>
  <si>
    <t>14.95</t>
  </si>
  <si>
    <t>21.62</t>
  </si>
  <si>
    <t>37.77</t>
  </si>
  <si>
    <t>41.45</t>
  </si>
  <si>
    <t>42.36</t>
  </si>
  <si>
    <t>46.60</t>
  </si>
  <si>
    <t>47.53</t>
  </si>
  <si>
    <t>14.99</t>
  </si>
  <si>
    <t>21.71</t>
  </si>
  <si>
    <t>37.81</t>
  </si>
  <si>
    <t>41.50</t>
  </si>
  <si>
    <t>43.23</t>
  </si>
  <si>
    <t>46.72</t>
  </si>
  <si>
    <t>47.66</t>
  </si>
  <si>
    <t>15.04</t>
  </si>
  <si>
    <t>21.76</t>
  </si>
  <si>
    <t>38.71</t>
  </si>
  <si>
    <t>42.12</t>
  </si>
  <si>
    <t>43.32</t>
  </si>
  <si>
    <t>46.85</t>
  </si>
  <si>
    <t>50.18</t>
  </si>
  <si>
    <t>15.08</t>
  </si>
  <si>
    <t>21.80</t>
  </si>
  <si>
    <t>38.80</t>
  </si>
  <si>
    <t>42.18</t>
  </si>
  <si>
    <t>43.41</t>
  </si>
  <si>
    <t>49.45</t>
  </si>
  <si>
    <t>50.44</t>
  </si>
  <si>
    <t>15.87</t>
  </si>
  <si>
    <t>22.57</t>
  </si>
  <si>
    <t>40.37</t>
  </si>
  <si>
    <t>43.40</t>
  </si>
  <si>
    <t>45.16</t>
  </si>
  <si>
    <t>51.00</t>
  </si>
  <si>
    <t>52.02</t>
  </si>
  <si>
    <t>16.04</t>
  </si>
  <si>
    <t>23.26</t>
  </si>
  <si>
    <t>40.97</t>
  </si>
  <si>
    <t>45.34</t>
  </si>
  <si>
    <t>51.73</t>
  </si>
  <si>
    <t>53.27</t>
  </si>
  <si>
    <t>16.09</t>
  </si>
  <si>
    <t>23.34</t>
  </si>
  <si>
    <t>41.34</t>
  </si>
  <si>
    <t>44.00</t>
  </si>
  <si>
    <t>45.55</t>
  </si>
  <si>
    <t>52.46</t>
  </si>
  <si>
    <t>53.52</t>
  </si>
  <si>
    <t>16.90</t>
  </si>
  <si>
    <t>24.07</t>
  </si>
  <si>
    <t>41.38</t>
  </si>
  <si>
    <t>45.24</t>
  </si>
  <si>
    <t>46.97</t>
  </si>
  <si>
    <t>53.41</t>
  </si>
  <si>
    <t>55.49</t>
  </si>
  <si>
    <t>16.98</t>
  </si>
  <si>
    <t>24.24</t>
  </si>
  <si>
    <t>41.74</t>
  </si>
  <si>
    <t>45.73</t>
  </si>
  <si>
    <t>47.27</t>
  </si>
  <si>
    <t>54.24</t>
  </si>
  <si>
    <t>56.12</t>
  </si>
  <si>
    <t>17.02</t>
  </si>
  <si>
    <t>24.31</t>
  </si>
  <si>
    <t>43.48</t>
  </si>
  <si>
    <t>47.15</t>
  </si>
  <si>
    <t>48.71</t>
  </si>
  <si>
    <t>54.33</t>
  </si>
  <si>
    <t>56.23</t>
  </si>
  <si>
    <t>17.18</t>
  </si>
  <si>
    <t>25.63</t>
  </si>
  <si>
    <t>43.65</t>
  </si>
  <si>
    <t>47.30</t>
  </si>
  <si>
    <t>48.86</t>
  </si>
  <si>
    <t>54.36</t>
  </si>
  <si>
    <t>56.28</t>
  </si>
  <si>
    <t>17.58</t>
  </si>
  <si>
    <t>25.78</t>
  </si>
  <si>
    <t>43.69</t>
  </si>
  <si>
    <t>47.89</t>
  </si>
  <si>
    <t>48.90</t>
  </si>
  <si>
    <t>54.40</t>
  </si>
  <si>
    <t>56.60</t>
  </si>
  <si>
    <t>17.62</t>
  </si>
  <si>
    <t>25.82</t>
  </si>
  <si>
    <t>43.74</t>
  </si>
  <si>
    <t>48.02</t>
  </si>
  <si>
    <t>48.98</t>
  </si>
  <si>
    <t>54.44</t>
  </si>
  <si>
    <t>57.68</t>
  </si>
  <si>
    <t>17.66</t>
  </si>
  <si>
    <t>25.86</t>
  </si>
  <si>
    <t>43.77</t>
  </si>
  <si>
    <t>48.06</t>
  </si>
  <si>
    <t>49.03</t>
  </si>
  <si>
    <t>54.56</t>
  </si>
  <si>
    <t>57.79</t>
  </si>
  <si>
    <t>18.17</t>
  </si>
  <si>
    <t>25.91</t>
  </si>
  <si>
    <t>43.92</t>
  </si>
  <si>
    <t>48.15</t>
  </si>
  <si>
    <t>49.11</t>
  </si>
  <si>
    <t>56.86</t>
  </si>
  <si>
    <t>58.00</t>
  </si>
  <si>
    <t>18.28</t>
  </si>
  <si>
    <t>26.67</t>
  </si>
  <si>
    <t>46.75</t>
  </si>
  <si>
    <t>49.76</t>
  </si>
  <si>
    <t>50.75</t>
  </si>
  <si>
    <t>59.33</t>
  </si>
  <si>
    <t>62.18</t>
  </si>
  <si>
    <t>18.33</t>
  </si>
  <si>
    <t>27.22</t>
  </si>
  <si>
    <t>47.03</t>
  </si>
  <si>
    <t>49.92</t>
  </si>
  <si>
    <t>50.92</t>
  </si>
  <si>
    <t>59.58</t>
  </si>
  <si>
    <t>62.60</t>
  </si>
  <si>
    <t>18.36</t>
  </si>
  <si>
    <t>27.28</t>
  </si>
  <si>
    <t>47.07</t>
  </si>
  <si>
    <t>49.97</t>
  </si>
  <si>
    <t>50.97</t>
  </si>
  <si>
    <t>59.62</t>
  </si>
  <si>
    <t>62.64</t>
  </si>
  <si>
    <t>18.46</t>
  </si>
  <si>
    <t>27.37</t>
  </si>
  <si>
    <t>50.05</t>
  </si>
  <si>
    <t>51.04</t>
  </si>
  <si>
    <t>59.71</t>
  </si>
  <si>
    <t>62.72</t>
  </si>
  <si>
    <t>19.40</t>
  </si>
  <si>
    <t>28.13</t>
  </si>
  <si>
    <t>47.40</t>
  </si>
  <si>
    <t>50.47</t>
  </si>
  <si>
    <t>51.48</t>
  </si>
  <si>
    <t>61.28</t>
  </si>
  <si>
    <t>62.80</t>
  </si>
  <si>
    <t>19.50</t>
  </si>
  <si>
    <t>29.06</t>
  </si>
  <si>
    <t>47.60</t>
  </si>
  <si>
    <t>52.09</t>
  </si>
  <si>
    <t>53.57</t>
  </si>
  <si>
    <t>61.44</t>
  </si>
  <si>
    <t>62.89</t>
  </si>
  <si>
    <t>29.17</t>
  </si>
  <si>
    <t>49.35</t>
  </si>
  <si>
    <t>53.31</t>
  </si>
  <si>
    <t>54.96</t>
  </si>
  <si>
    <t>61.52</t>
  </si>
  <si>
    <t>62.96</t>
  </si>
  <si>
    <t>19.67</t>
  </si>
  <si>
    <t>29.25</t>
  </si>
  <si>
    <t>49.53</t>
  </si>
  <si>
    <t>54.10</t>
  </si>
  <si>
    <t>55.78</t>
  </si>
  <si>
    <t>62.57</t>
  </si>
  <si>
    <t>63.83</t>
  </si>
  <si>
    <t>19.76</t>
  </si>
  <si>
    <t>29.33</t>
  </si>
  <si>
    <t>49.60</t>
  </si>
  <si>
    <t>54.27</t>
  </si>
  <si>
    <t>55.94</t>
  </si>
  <si>
    <t>62.83</t>
  </si>
  <si>
    <t>64.09</t>
  </si>
  <si>
    <t>20.44</t>
  </si>
  <si>
    <t>29.42</t>
  </si>
  <si>
    <t>51.08</t>
  </si>
  <si>
    <t>57.60</t>
  </si>
  <si>
    <t>58.90</t>
  </si>
  <si>
    <t>64.41</t>
  </si>
  <si>
    <t>65.70</t>
  </si>
  <si>
    <t>20.52</t>
  </si>
  <si>
    <t>29.51</t>
  </si>
  <si>
    <t>51.34</t>
  </si>
  <si>
    <t>57.94</t>
  </si>
  <si>
    <t>59.20</t>
  </si>
  <si>
    <t>64.58</t>
  </si>
  <si>
    <t>65.86</t>
  </si>
  <si>
    <t>20.61</t>
  </si>
  <si>
    <t>29.59</t>
  </si>
  <si>
    <t>51.43</t>
  </si>
  <si>
    <t>58.02</t>
  </si>
  <si>
    <t>59.28</t>
  </si>
  <si>
    <t>64.66</t>
  </si>
  <si>
    <t>65.95</t>
  </si>
  <si>
    <t>20.69</t>
  </si>
  <si>
    <t>29.67</t>
  </si>
  <si>
    <t>51.51</t>
  </si>
  <si>
    <t>58.09</t>
  </si>
  <si>
    <t>59.37</t>
  </si>
  <si>
    <t>65.98</t>
  </si>
  <si>
    <t>67.30</t>
  </si>
  <si>
    <t>20.78</t>
  </si>
  <si>
    <t>29.77</t>
  </si>
  <si>
    <t>51.59</t>
  </si>
  <si>
    <t>58.18</t>
  </si>
  <si>
    <t>59.45</t>
  </si>
  <si>
    <t>66.11</t>
  </si>
  <si>
    <t>67.43</t>
  </si>
  <si>
    <t>21.93</t>
  </si>
  <si>
    <t>31.18</t>
  </si>
  <si>
    <t>51.74</t>
  </si>
  <si>
    <t>58.39</t>
  </si>
  <si>
    <t>59.56</t>
  </si>
  <si>
    <t>66.19</t>
  </si>
  <si>
    <t>67.51</t>
  </si>
  <si>
    <t>22.04</t>
  </si>
  <si>
    <t>53.60</t>
  </si>
  <si>
    <t>58.65</t>
  </si>
  <si>
    <t>59.83</t>
  </si>
  <si>
    <t>66.29</t>
  </si>
  <si>
    <t>67.61</t>
  </si>
  <si>
    <t>22.13</t>
  </si>
  <si>
    <t>31.38</t>
  </si>
  <si>
    <t>53.79</t>
  </si>
  <si>
    <t>58.78</t>
  </si>
  <si>
    <t>59.98</t>
  </si>
  <si>
    <t>66.55</t>
  </si>
  <si>
    <t>67.95</t>
  </si>
  <si>
    <t>22.21</t>
  </si>
  <si>
    <t>31.45</t>
  </si>
  <si>
    <t>55.99</t>
  </si>
  <si>
    <t>61.32</t>
  </si>
  <si>
    <t>63.02</t>
  </si>
  <si>
    <t>71.59</t>
  </si>
  <si>
    <t>74.59</t>
  </si>
  <si>
    <t>22.30</t>
  </si>
  <si>
    <t>31.52</t>
  </si>
  <si>
    <t>57.59</t>
  </si>
  <si>
    <t>61.68</t>
  </si>
  <si>
    <t>63.81</t>
  </si>
  <si>
    <t>74.35</t>
  </si>
  <si>
    <t>75.98</t>
  </si>
  <si>
    <t>22.41</t>
  </si>
  <si>
    <t>31.59</t>
  </si>
  <si>
    <t>57.75</t>
  </si>
  <si>
    <t>61.76</t>
  </si>
  <si>
    <t>63.89</t>
  </si>
  <si>
    <t>74.63</t>
  </si>
  <si>
    <t>76.12</t>
  </si>
  <si>
    <t>22.48</t>
  </si>
  <si>
    <t>31.66</t>
  </si>
  <si>
    <t>57.81</t>
  </si>
  <si>
    <t>61.83</t>
  </si>
  <si>
    <t>63.97</t>
  </si>
  <si>
    <t>74.71</t>
  </si>
  <si>
    <t>76.21</t>
  </si>
  <si>
    <t>22.55</t>
  </si>
  <si>
    <t>31.73</t>
  </si>
  <si>
    <t>57.89</t>
  </si>
  <si>
    <t>61.91</t>
  </si>
  <si>
    <t>64.04</t>
  </si>
  <si>
    <t>74.81</t>
  </si>
  <si>
    <t>76.30</t>
  </si>
  <si>
    <t>22.62</t>
  </si>
  <si>
    <t>57.95</t>
  </si>
  <si>
    <t>62.00</t>
  </si>
  <si>
    <t>64.13</t>
  </si>
  <si>
    <t>74.90</t>
  </si>
  <si>
    <t>76.39</t>
  </si>
  <si>
    <t>22.69</t>
  </si>
  <si>
    <t>31.87</t>
  </si>
  <si>
    <t>62.45</t>
  </si>
  <si>
    <t>64.21</t>
  </si>
  <si>
    <t>74.97</t>
  </si>
  <si>
    <t>76.49</t>
  </si>
  <si>
    <t>22.76</t>
  </si>
  <si>
    <t>31.94</t>
  </si>
  <si>
    <t>62.86</t>
  </si>
  <si>
    <t>64.69</t>
  </si>
  <si>
    <t>75.05</t>
  </si>
  <si>
    <t>76.56</t>
  </si>
  <si>
    <t>22.83</t>
  </si>
  <si>
    <t>32.01</t>
  </si>
  <si>
    <t>58.16</t>
  </si>
  <si>
    <t>63.38</t>
  </si>
  <si>
    <t>65.33</t>
  </si>
  <si>
    <t>75.13</t>
  </si>
  <si>
    <t>76.66</t>
  </si>
  <si>
    <t>22.90</t>
  </si>
  <si>
    <t>58.23</t>
  </si>
  <si>
    <t>63.55</t>
  </si>
  <si>
    <t>66.71</t>
  </si>
  <si>
    <t>75.31</t>
  </si>
  <si>
    <t>76.84</t>
  </si>
  <si>
    <t>32.15</t>
  </si>
  <si>
    <t>58.29</t>
  </si>
  <si>
    <t>67.03</t>
  </si>
  <si>
    <t>68.66</t>
  </si>
  <si>
    <t>78.89</t>
  </si>
  <si>
    <t>80.46</t>
  </si>
  <si>
    <t>7.89</t>
  </si>
  <si>
    <t>8.83</t>
  </si>
  <si>
    <t>7.09</t>
  </si>
  <si>
    <t>9.12</t>
  </si>
  <si>
    <t>10.09</t>
  </si>
  <si>
    <t>10.48</t>
  </si>
  <si>
    <t>7.87</t>
  </si>
  <si>
    <t>10.19</t>
  </si>
  <si>
    <t>11.24</t>
  </si>
  <si>
    <t>11.92</t>
  </si>
  <si>
    <t>6.12</t>
  </si>
  <si>
    <t>8.60</t>
  </si>
  <si>
    <t>11.32</t>
  </si>
  <si>
    <t>12.49</t>
  </si>
  <si>
    <t>6.63</t>
  </si>
  <si>
    <t>9.40</t>
  </si>
  <si>
    <t>12.74</t>
  </si>
  <si>
    <t>13.86</t>
  </si>
  <si>
    <t>14.38</t>
  </si>
  <si>
    <t>7.10</t>
  </si>
  <si>
    <t>15.27</t>
  </si>
  <si>
    <t>15.83</t>
  </si>
  <si>
    <t>6.24</t>
  </si>
  <si>
    <t>7.67</t>
  </si>
  <si>
    <t>15.33</t>
  </si>
  <si>
    <t>16.75</t>
  </si>
  <si>
    <t>17.37</t>
  </si>
  <si>
    <t>6.66</t>
  </si>
  <si>
    <t>8.26</t>
  </si>
  <si>
    <t>16.37</t>
  </si>
  <si>
    <t>18.22</t>
  </si>
  <si>
    <t>18.79</t>
  </si>
  <si>
    <t>7.01</t>
  </si>
  <si>
    <t>8.64</t>
  </si>
  <si>
    <t>12.57</t>
  </si>
  <si>
    <t>17.67</t>
  </si>
  <si>
    <t>19.53</t>
  </si>
  <si>
    <t>20.36</t>
  </si>
  <si>
    <t>7.41</t>
  </si>
  <si>
    <t>9.11</t>
  </si>
  <si>
    <t>13.28</t>
  </si>
  <si>
    <t>19.04</t>
  </si>
  <si>
    <t>20.92</t>
  </si>
  <si>
    <t>21.34</t>
  </si>
  <si>
    <t>6.58</t>
  </si>
  <si>
    <t>7.80</t>
  </si>
  <si>
    <t>9.46</t>
  </si>
  <si>
    <t>20.28</t>
  </si>
  <si>
    <t>21.96</t>
  </si>
  <si>
    <t>23.03</t>
  </si>
  <si>
    <t>6.91</t>
  </si>
  <si>
    <t>8.21</t>
  </si>
  <si>
    <t>10.08</t>
  </si>
  <si>
    <t>14.88</t>
  </si>
  <si>
    <t>21.52</t>
  </si>
  <si>
    <t>23.11</t>
  </si>
  <si>
    <t>7.17</t>
  </si>
  <si>
    <t>8.41</t>
  </si>
  <si>
    <t>10.58</t>
  </si>
  <si>
    <t>15.46</t>
  </si>
  <si>
    <t>22.66</t>
  </si>
  <si>
    <t>24.13</t>
  </si>
  <si>
    <t>25.16</t>
  </si>
  <si>
    <t>7.35</t>
  </si>
  <si>
    <t>8.69</t>
  </si>
  <si>
    <t>11.04</t>
  </si>
  <si>
    <t>15.96</t>
  </si>
  <si>
    <t>23.65</t>
  </si>
  <si>
    <t>25.37</t>
  </si>
  <si>
    <t>26.22</t>
  </si>
  <si>
    <t>7.56</t>
  </si>
  <si>
    <t>8.95</t>
  </si>
  <si>
    <t>11.51</t>
  </si>
  <si>
    <t>16.72</t>
  </si>
  <si>
    <t>24.72</t>
  </si>
  <si>
    <t>26.72</t>
  </si>
  <si>
    <t>27.44</t>
  </si>
  <si>
    <t>7.82</t>
  </si>
  <si>
    <t>9.24</t>
  </si>
  <si>
    <t>17.31</t>
  </si>
  <si>
    <t>25.74</t>
  </si>
  <si>
    <t>28.48</t>
  </si>
  <si>
    <t>9.49</t>
  </si>
  <si>
    <t>12.29</t>
  </si>
  <si>
    <t>18.01</t>
  </si>
  <si>
    <t>26.68</t>
  </si>
  <si>
    <t>30.02</t>
  </si>
  <si>
    <t>9.91</t>
  </si>
  <si>
    <t>18.85</t>
  </si>
  <si>
    <t>27.63</t>
  </si>
  <si>
    <t>30.19</t>
  </si>
  <si>
    <t>31.13</t>
  </si>
  <si>
    <t>8.80</t>
  </si>
  <si>
    <t>13.23</t>
  </si>
  <si>
    <t>19.48</t>
  </si>
  <si>
    <t>27.73</t>
  </si>
  <si>
    <t>31.23</t>
  </si>
  <si>
    <t>31.88</t>
  </si>
  <si>
    <t>9.07</t>
  </si>
  <si>
    <t>10.78</t>
  </si>
  <si>
    <t>13.61</t>
  </si>
  <si>
    <t>20.03</t>
  </si>
  <si>
    <t>29.55</t>
  </si>
  <si>
    <t>32.42</t>
  </si>
  <si>
    <t>33.12</t>
  </si>
  <si>
    <t>9.29</t>
  </si>
  <si>
    <t>11.03</t>
  </si>
  <si>
    <t>30.61</t>
  </si>
  <si>
    <t>33.49</t>
  </si>
  <si>
    <t>34.26</t>
  </si>
  <si>
    <t>9.50</t>
  </si>
  <si>
    <t>11.47</t>
  </si>
  <si>
    <t>14.54</t>
  </si>
  <si>
    <t>31.74</t>
  </si>
  <si>
    <t>33.94</t>
  </si>
  <si>
    <t>11.79</t>
  </si>
  <si>
    <t>14.81</t>
  </si>
  <si>
    <t>22.14</t>
  </si>
  <si>
    <t>32.77</t>
  </si>
  <si>
    <t>36.02</t>
  </si>
  <si>
    <t>37.52</t>
  </si>
  <si>
    <t>10.11</t>
  </si>
  <si>
    <t>12.11</t>
  </si>
  <si>
    <t>15.37</t>
  </si>
  <si>
    <t>22.87</t>
  </si>
  <si>
    <t>33.88</t>
  </si>
  <si>
    <t>38.56</t>
  </si>
  <si>
    <t>10.43</t>
  </si>
  <si>
    <t>12.47</t>
  </si>
  <si>
    <t>15.75</t>
  </si>
  <si>
    <t>23.68</t>
  </si>
  <si>
    <t>38.51</t>
  </si>
  <si>
    <t>39.77</t>
  </si>
  <si>
    <t>10.77</t>
  </si>
  <si>
    <t>12.88</t>
  </si>
  <si>
    <t>16.12</t>
  </si>
  <si>
    <t>35.92</t>
  </si>
  <si>
    <t>39.50</t>
  </si>
  <si>
    <t>40.73</t>
  </si>
  <si>
    <t>13.12</t>
  </si>
  <si>
    <t>16.60</t>
  </si>
  <si>
    <t>24.81</t>
  </si>
  <si>
    <t>36.89</t>
  </si>
  <si>
    <t>40.49</t>
  </si>
  <si>
    <t>41.94</t>
  </si>
  <si>
    <t>11.09</t>
  </si>
  <si>
    <t>13.47</t>
  </si>
  <si>
    <t>17.17</t>
  </si>
  <si>
    <t>37.90</t>
  </si>
  <si>
    <t>41.58</t>
  </si>
  <si>
    <t>43.01</t>
  </si>
  <si>
    <t>11.13</t>
  </si>
  <si>
    <t>13.93</t>
  </si>
  <si>
    <t>17.64</t>
  </si>
  <si>
    <t>26.20</t>
  </si>
  <si>
    <t>38.76</t>
  </si>
  <si>
    <t>42.49</t>
  </si>
  <si>
    <t>44.15</t>
  </si>
  <si>
    <t>11.18</t>
  </si>
  <si>
    <t>14.23</t>
  </si>
  <si>
    <t>18.14</t>
  </si>
  <si>
    <t>26.83</t>
  </si>
  <si>
    <t>39.90</t>
  </si>
  <si>
    <t>43.67</t>
  </si>
  <si>
    <t>45.22</t>
  </si>
  <si>
    <t>12.10</t>
  </si>
  <si>
    <t>14.61</t>
  </si>
  <si>
    <t>18.64</t>
  </si>
  <si>
    <t>27.40</t>
  </si>
  <si>
    <t>44.68</t>
  </si>
  <si>
    <t>46.37</t>
  </si>
  <si>
    <t>28.37</t>
  </si>
  <si>
    <t>42.20</t>
  </si>
  <si>
    <t>45.78</t>
  </si>
  <si>
    <t>47.52</t>
  </si>
  <si>
    <t>19.44</t>
  </si>
  <si>
    <t>28.93</t>
  </si>
  <si>
    <t>46.79</t>
  </si>
  <si>
    <t>47.72</t>
  </si>
  <si>
    <t>12.94</t>
  </si>
  <si>
    <t>15.66</t>
  </si>
  <si>
    <t>19.85</t>
  </si>
  <si>
    <t>29.52</t>
  </si>
  <si>
    <t>44.65</t>
  </si>
  <si>
    <t>48.00</t>
  </si>
  <si>
    <t>48.95</t>
  </si>
  <si>
    <t>13.17</t>
  </si>
  <si>
    <t>15.89</t>
  </si>
  <si>
    <t>20.33</t>
  </si>
  <si>
    <t>30.29</t>
  </si>
  <si>
    <t>45.86</t>
  </si>
  <si>
    <t>49.70</t>
  </si>
  <si>
    <t>51.25</t>
  </si>
  <si>
    <t>13.39</t>
  </si>
  <si>
    <t>16.13</t>
  </si>
  <si>
    <t>20.84</t>
  </si>
  <si>
    <t>30.89</t>
  </si>
  <si>
    <t>52.65</t>
  </si>
  <si>
    <t>13.83</t>
  </si>
  <si>
    <t>16.56</t>
  </si>
  <si>
    <t>21.20</t>
  </si>
  <si>
    <t>31.51</t>
  </si>
  <si>
    <t>48.16</t>
  </si>
  <si>
    <t>52.35</t>
  </si>
  <si>
    <t>54.02</t>
  </si>
  <si>
    <t>17.00</t>
  </si>
  <si>
    <t>21.70</t>
  </si>
  <si>
    <t>32.22</t>
  </si>
  <si>
    <t>49.25</t>
  </si>
  <si>
    <t>53.63</t>
  </si>
  <si>
    <t>55.21</t>
  </si>
  <si>
    <t>17.41</t>
  </si>
  <si>
    <t>21.95</t>
  </si>
  <si>
    <t>32.81</t>
  </si>
  <si>
    <t>50.37</t>
  </si>
  <si>
    <t>55.03</t>
  </si>
  <si>
    <t>56.71</t>
  </si>
  <si>
    <t>14.77</t>
  </si>
  <si>
    <t>17.83</t>
  </si>
  <si>
    <t>22.40</t>
  </si>
  <si>
    <t>33.51</t>
  </si>
  <si>
    <t>51.45</t>
  </si>
  <si>
    <t>56.38</t>
  </si>
  <si>
    <t>58.12</t>
  </si>
  <si>
    <t>15.09</t>
  </si>
  <si>
    <t>18.20</t>
  </si>
  <si>
    <t>22.74</t>
  </si>
  <si>
    <t>34.07</t>
  </si>
  <si>
    <t>52.66</t>
  </si>
  <si>
    <t>57.43</t>
  </si>
  <si>
    <t>59.34</t>
  </si>
  <si>
    <t>15.34</t>
  </si>
  <si>
    <t>18.43</t>
  </si>
  <si>
    <t>34.67</t>
  </si>
  <si>
    <t>53.68</t>
  </si>
  <si>
    <t>58.41</t>
  </si>
  <si>
    <t>60.51</t>
  </si>
  <si>
    <t>15.41</t>
  </si>
  <si>
    <t>18.88</t>
  </si>
  <si>
    <t>23.59</t>
  </si>
  <si>
    <t>35.15</t>
  </si>
  <si>
    <t>54.66</t>
  </si>
  <si>
    <t>59.50</t>
  </si>
  <si>
    <t>61.41</t>
  </si>
  <si>
    <t>19.09</t>
  </si>
  <si>
    <t>35.51</t>
  </si>
  <si>
    <t>55.59</t>
  </si>
  <si>
    <t>60.47</t>
  </si>
  <si>
    <t>62.73</t>
  </si>
  <si>
    <t>15.94</t>
  </si>
  <si>
    <t>19.13</t>
  </si>
  <si>
    <t>24.47</t>
  </si>
  <si>
    <t>35.56</t>
  </si>
  <si>
    <t>55.69</t>
  </si>
  <si>
    <t>60.56</t>
  </si>
  <si>
    <t>62.87</t>
  </si>
  <si>
    <t>16.27</t>
  </si>
  <si>
    <t>19.90</t>
  </si>
  <si>
    <t>24.90</t>
  </si>
  <si>
    <t>35.60</t>
  </si>
  <si>
    <t>62.04</t>
  </si>
  <si>
    <t>63.37</t>
  </si>
  <si>
    <t>16.31</t>
  </si>
  <si>
    <t>19.98</t>
  </si>
  <si>
    <t>24.95</t>
  </si>
  <si>
    <t>35.65</t>
  </si>
  <si>
    <t>58.66</t>
  </si>
  <si>
    <t>62.19</t>
  </si>
  <si>
    <t>63.43</t>
  </si>
  <si>
    <t>16.36</t>
  </si>
  <si>
    <t>35.71</t>
  </si>
  <si>
    <t>59.66</t>
  </si>
  <si>
    <t>62.27</t>
  </si>
  <si>
    <t>63.52</t>
  </si>
  <si>
    <t>16.51</t>
  </si>
  <si>
    <t>20.11</t>
  </si>
  <si>
    <t>26.30</t>
  </si>
  <si>
    <t>36.92</t>
  </si>
  <si>
    <t>62.54</t>
  </si>
  <si>
    <t>64.03</t>
  </si>
  <si>
    <t>65.31</t>
  </si>
  <si>
    <t>17.68</t>
  </si>
  <si>
    <t>21.19</t>
  </si>
  <si>
    <t>27.15</t>
  </si>
  <si>
    <t>38.95</t>
  </si>
  <si>
    <t>63.49</t>
  </si>
  <si>
    <t>68.59</t>
  </si>
  <si>
    <t>70.19</t>
  </si>
  <si>
    <t>18.02</t>
  </si>
  <si>
    <t>27.54</t>
  </si>
  <si>
    <t>39.24</t>
  </si>
  <si>
    <t>63.59</t>
  </si>
  <si>
    <t>69.29</t>
  </si>
  <si>
    <t>70.68</t>
  </si>
  <si>
    <t>21.88</t>
  </si>
  <si>
    <t>27.96</t>
  </si>
  <si>
    <t>63.72</t>
  </si>
  <si>
    <t>69.38</t>
  </si>
  <si>
    <t>70.77</t>
  </si>
  <si>
    <t>18.62</t>
  </si>
  <si>
    <t>28.21</t>
  </si>
  <si>
    <t>39.43</t>
  </si>
  <si>
    <t>66.46</t>
  </si>
  <si>
    <t>69.47</t>
  </si>
  <si>
    <t>70.85</t>
  </si>
  <si>
    <t>18.77</t>
  </si>
  <si>
    <t>22.06</t>
  </si>
  <si>
    <t>28.30</t>
  </si>
  <si>
    <t>39.53</t>
  </si>
  <si>
    <t>66.72</t>
  </si>
  <si>
    <t>69.55</t>
  </si>
  <si>
    <t>70.95</t>
  </si>
  <si>
    <t>18.86</t>
  </si>
  <si>
    <t>23.00</t>
  </si>
  <si>
    <t>29.16</t>
  </si>
  <si>
    <t>41.76</t>
  </si>
  <si>
    <t>68.90</t>
  </si>
  <si>
    <t>72.37</t>
  </si>
  <si>
    <t>18.94</t>
  </si>
  <si>
    <t>23.10</t>
  </si>
  <si>
    <t>41.99</t>
  </si>
  <si>
    <t>69.70</t>
  </si>
  <si>
    <t>71.10</t>
  </si>
  <si>
    <t>72.52</t>
  </si>
  <si>
    <t>23.24</t>
  </si>
  <si>
    <t>42.08</t>
  </si>
  <si>
    <t>70.56</t>
  </si>
  <si>
    <t>71.98</t>
  </si>
  <si>
    <t>73.42</t>
  </si>
  <si>
    <t>19.12</t>
  </si>
  <si>
    <t>23.33</t>
  </si>
  <si>
    <t>30.44</t>
  </si>
  <si>
    <t>43.26</t>
  </si>
  <si>
    <t>71.66</t>
  </si>
  <si>
    <t>73.57</t>
  </si>
  <si>
    <t>19.21</t>
  </si>
  <si>
    <t>30.51</t>
  </si>
  <si>
    <t>43.38</t>
  </si>
  <si>
    <t>72.67</t>
  </si>
  <si>
    <t>74.18</t>
  </si>
  <si>
    <t>75.66</t>
  </si>
  <si>
    <t>23.50</t>
  </si>
  <si>
    <t>43.46</t>
  </si>
  <si>
    <t>72.83</t>
  </si>
  <si>
    <t>74.32</t>
  </si>
  <si>
    <t>75.81</t>
  </si>
  <si>
    <t>19.38</t>
  </si>
  <si>
    <t>30.70</t>
  </si>
  <si>
    <t>44.37</t>
  </si>
  <si>
    <t>75.45</t>
  </si>
  <si>
    <t>76.97</t>
  </si>
  <si>
    <t>78.51</t>
  </si>
  <si>
    <t>20.59</t>
  </si>
  <si>
    <t>24.05</t>
  </si>
  <si>
    <t>30.78</t>
  </si>
  <si>
    <t>44.46</t>
  </si>
  <si>
    <t>75.72</t>
  </si>
  <si>
    <t>77.23</t>
  </si>
  <si>
    <t>78.78</t>
  </si>
  <si>
    <t>21.37</t>
  </si>
  <si>
    <t>24.69</t>
  </si>
  <si>
    <t>30.87</t>
  </si>
  <si>
    <t>45.63</t>
  </si>
  <si>
    <t>75.80</t>
  </si>
  <si>
    <t>77.32</t>
  </si>
  <si>
    <t>78.86</t>
  </si>
  <si>
    <t>24.78</t>
  </si>
  <si>
    <t>45.76</t>
  </si>
  <si>
    <t>75.93</t>
  </si>
  <si>
    <t>77.46</t>
  </si>
  <si>
    <t>79.00</t>
  </si>
  <si>
    <t>21.54</t>
  </si>
  <si>
    <t>31.29</t>
  </si>
  <si>
    <t>45.85</t>
  </si>
  <si>
    <t>76.01</t>
  </si>
  <si>
    <t>77.54</t>
  </si>
  <si>
    <t>79.09</t>
  </si>
  <si>
    <t>21.63</t>
  </si>
  <si>
    <t>25.47</t>
  </si>
  <si>
    <t>32.17</t>
  </si>
  <si>
    <t>45.94</t>
  </si>
  <si>
    <t>76.10</t>
  </si>
  <si>
    <t>77.62</t>
  </si>
  <si>
    <t>79.18</t>
  </si>
  <si>
    <t>26.04</t>
  </si>
  <si>
    <t>32.25</t>
  </si>
  <si>
    <t>46.14</t>
  </si>
  <si>
    <t>76.35</t>
  </si>
  <si>
    <t>77.89</t>
  </si>
  <si>
    <t>79.44</t>
  </si>
  <si>
    <t>28.38</t>
  </si>
  <si>
    <t>33.38</t>
  </si>
  <si>
    <t>80.37</t>
  </si>
  <si>
    <t>82.93</t>
  </si>
  <si>
    <t>84.59</t>
  </si>
  <si>
    <t>23.12</t>
  </si>
  <si>
    <t>28.77</t>
  </si>
  <si>
    <t>33.50</t>
  </si>
  <si>
    <t>50.45</t>
  </si>
  <si>
    <t>80.77</t>
  </si>
  <si>
    <t>83.76</t>
  </si>
  <si>
    <t>85.44</t>
  </si>
  <si>
    <t>23.27</t>
  </si>
  <si>
    <t>28.85</t>
  </si>
  <si>
    <t>33.59</t>
  </si>
  <si>
    <t>50.53</t>
  </si>
  <si>
    <t>82.15</t>
  </si>
  <si>
    <t>83.84</t>
  </si>
  <si>
    <t>85.52</t>
  </si>
  <si>
    <t>28.94</t>
  </si>
  <si>
    <t>33.75</t>
  </si>
  <si>
    <t>51.36</t>
  </si>
  <si>
    <t>82.29</t>
  </si>
  <si>
    <t>83.93</t>
  </si>
  <si>
    <t>85.61</t>
  </si>
  <si>
    <t>29.03</t>
  </si>
  <si>
    <t>33.84</t>
  </si>
  <si>
    <t>82.40</t>
  </si>
  <si>
    <t>84.04</t>
  </si>
  <si>
    <t>85.73</t>
  </si>
  <si>
    <t>29.20</t>
  </si>
  <si>
    <t>34.01</t>
  </si>
  <si>
    <t>52.49</t>
  </si>
  <si>
    <t>84.68</t>
  </si>
  <si>
    <t>86.37</t>
  </si>
  <si>
    <t>88.10</t>
  </si>
  <si>
    <t>24.03</t>
  </si>
  <si>
    <t>29.38</t>
  </si>
  <si>
    <t>34.19</t>
  </si>
  <si>
    <t>52.87</t>
  </si>
  <si>
    <t>86.01</t>
  </si>
  <si>
    <t>87.73</t>
  </si>
  <si>
    <t>89.48</t>
  </si>
  <si>
    <t>24.21</t>
  </si>
  <si>
    <t>53.05</t>
  </si>
  <si>
    <t>88.63</t>
  </si>
  <si>
    <t>90.43</t>
  </si>
  <si>
    <t>92.24</t>
  </si>
  <si>
    <t>24.38</t>
  </si>
  <si>
    <t>29.73</t>
  </si>
  <si>
    <t>88.89</t>
  </si>
  <si>
    <t>92.04</t>
  </si>
  <si>
    <t>98.80</t>
  </si>
  <si>
    <t>29.90</t>
  </si>
  <si>
    <t>35.73</t>
  </si>
  <si>
    <t>55.85</t>
  </si>
  <si>
    <t>89.38</t>
  </si>
  <si>
    <t>97.50</t>
  </si>
  <si>
    <t>99.46</t>
  </si>
  <si>
    <t>24.74</t>
  </si>
  <si>
    <t>30.08</t>
  </si>
  <si>
    <t>35.91</t>
  </si>
  <si>
    <t>56.03</t>
  </si>
  <si>
    <t>94.24</t>
  </si>
  <si>
    <t>98.18</t>
  </si>
  <si>
    <t>100.15</t>
  </si>
  <si>
    <t>30.24</t>
  </si>
  <si>
    <t>36.08</t>
  </si>
  <si>
    <t>56.21</t>
  </si>
  <si>
    <t>94.72</t>
  </si>
  <si>
    <t>98.35</t>
  </si>
  <si>
    <t>100.32</t>
  </si>
  <si>
    <t>25.84</t>
  </si>
  <si>
    <t>30.40</t>
  </si>
  <si>
    <t>36.26</t>
  </si>
  <si>
    <t>56.39</t>
  </si>
  <si>
    <t>94.90</t>
  </si>
  <si>
    <t>98.52</t>
  </si>
  <si>
    <t>100.50</t>
  </si>
  <si>
    <t>26.19</t>
  </si>
  <si>
    <t>36.43</t>
  </si>
  <si>
    <t>56.58</t>
  </si>
  <si>
    <t>96.40</t>
  </si>
  <si>
    <t>98.69</t>
  </si>
  <si>
    <t>100.66</t>
  </si>
  <si>
    <t>26.36</t>
  </si>
  <si>
    <t>31.05</t>
  </si>
  <si>
    <t>36.98</t>
  </si>
  <si>
    <t>56.76</t>
  </si>
  <si>
    <t>97.43</t>
  </si>
  <si>
    <t>100.35</t>
  </si>
  <si>
    <t>102.37</t>
  </si>
  <si>
    <t>27.58</t>
  </si>
  <si>
    <t>31.76</t>
  </si>
  <si>
    <t>38.86</t>
  </si>
  <si>
    <t>59.07</t>
  </si>
  <si>
    <t>97.61</t>
  </si>
  <si>
    <t>100.53</t>
  </si>
  <si>
    <t>102.54</t>
  </si>
  <si>
    <t>27.76</t>
  </si>
  <si>
    <t>32.74</t>
  </si>
  <si>
    <t>39.06</t>
  </si>
  <si>
    <t>59.31</t>
  </si>
  <si>
    <t>97.79</t>
  </si>
  <si>
    <t>100.68</t>
  </si>
  <si>
    <t>102.69</t>
  </si>
  <si>
    <t>27.93</t>
  </si>
  <si>
    <t>32.91</t>
  </si>
  <si>
    <t>59.49</t>
  </si>
  <si>
    <t>97.96</t>
  </si>
  <si>
    <t>101.36</t>
  </si>
  <si>
    <t>103.39</t>
  </si>
  <si>
    <t>28.10</t>
  </si>
  <si>
    <t>33.09</t>
  </si>
  <si>
    <t>39.40</t>
  </si>
  <si>
    <t>59.68</t>
  </si>
  <si>
    <t>98.15</t>
  </si>
  <si>
    <t>102.15</t>
  </si>
  <si>
    <t>104.20</t>
  </si>
  <si>
    <t>28.28</t>
  </si>
  <si>
    <t>33.27</t>
  </si>
  <si>
    <t>39.58</t>
  </si>
  <si>
    <t>59.85</t>
  </si>
  <si>
    <t>99.36</t>
  </si>
  <si>
    <t>102.31</t>
  </si>
  <si>
    <t>104.37</t>
  </si>
  <si>
    <t>28.46</t>
  </si>
  <si>
    <t>33.43</t>
  </si>
  <si>
    <t>39.76</t>
  </si>
  <si>
    <t>60.03</t>
  </si>
  <si>
    <t>100.39</t>
  </si>
  <si>
    <t>102.49</t>
  </si>
  <si>
    <t>104.54</t>
  </si>
  <si>
    <t>28.64</t>
  </si>
  <si>
    <t>33.62</t>
  </si>
  <si>
    <t>39.93</t>
  </si>
  <si>
    <t>60.21</t>
  </si>
  <si>
    <t>100.56</t>
  </si>
  <si>
    <t>102.66</t>
  </si>
  <si>
    <t>104.71</t>
  </si>
  <si>
    <t>28.81</t>
  </si>
  <si>
    <t>33.78</t>
  </si>
  <si>
    <t>40.10</t>
  </si>
  <si>
    <t>60.39</t>
  </si>
  <si>
    <t>100.74</t>
  </si>
  <si>
    <t>102.82</t>
  </si>
  <si>
    <t>104.89</t>
  </si>
  <si>
    <t>28.99</t>
  </si>
  <si>
    <t>33.96</t>
  </si>
  <si>
    <t>40.29</t>
  </si>
  <si>
    <t>60.58</t>
  </si>
  <si>
    <t>100.93</t>
  </si>
  <si>
    <t>103.00</t>
  </si>
  <si>
    <t>105.06</t>
  </si>
  <si>
    <t>34.14</t>
  </si>
  <si>
    <t>40.46</t>
  </si>
  <si>
    <t>60.76</t>
  </si>
  <si>
    <t>101.11</t>
  </si>
  <si>
    <t>103.16</t>
  </si>
  <si>
    <t>105.23</t>
  </si>
  <si>
    <t>29.34</t>
  </si>
  <si>
    <t>34.32</t>
  </si>
  <si>
    <t>40.64</t>
  </si>
  <si>
    <t>60.94</t>
  </si>
  <si>
    <t>101.42</t>
  </si>
  <si>
    <t>104.09</t>
  </si>
  <si>
    <t>106.17</t>
  </si>
  <si>
    <t>34.47</t>
  </si>
  <si>
    <t>41.80</t>
  </si>
  <si>
    <t>62.02</t>
  </si>
  <si>
    <t>102.21</t>
  </si>
  <si>
    <t>104.26</t>
  </si>
  <si>
    <t>106.34</t>
  </si>
  <si>
    <t>29.91</t>
  </si>
  <si>
    <t>42.81</t>
  </si>
  <si>
    <t>104.36</t>
  </si>
  <si>
    <t>106.44</t>
  </si>
  <si>
    <t>108.57</t>
  </si>
  <si>
    <t>29.48</t>
  </si>
  <si>
    <t>34.84</t>
  </si>
  <si>
    <t>42.98</t>
  </si>
  <si>
    <t>62.38</t>
  </si>
  <si>
    <t>106.80</t>
  </si>
  <si>
    <t>108.94</t>
  </si>
  <si>
    <t>111.12</t>
  </si>
  <si>
    <t>66.01</t>
  </si>
  <si>
    <t>108.63</t>
  </si>
  <si>
    <t>113.84</t>
  </si>
  <si>
    <t>117.41</t>
  </si>
  <si>
    <t>6.07</t>
  </si>
  <si>
    <t>6.09</t>
  </si>
  <si>
    <t>7.05</t>
  </si>
  <si>
    <t>6.45</t>
  </si>
  <si>
    <t>6.82</t>
  </si>
  <si>
    <t>6.79</t>
  </si>
  <si>
    <t>7.79</t>
  </si>
  <si>
    <t>7.70</t>
  </si>
  <si>
    <t>10.21</t>
  </si>
  <si>
    <t>7.08</t>
  </si>
  <si>
    <t>9.56</t>
  </si>
  <si>
    <t>11.62</t>
  </si>
  <si>
    <t>6.19</t>
  </si>
  <si>
    <t>7.22</t>
  </si>
  <si>
    <t>9.54</t>
  </si>
  <si>
    <t>10.81</t>
  </si>
  <si>
    <t>6.40</t>
  </si>
  <si>
    <t>7.76</t>
  </si>
  <si>
    <t>11.83</t>
  </si>
  <si>
    <t>13.22</t>
  </si>
  <si>
    <t>6.83</t>
  </si>
  <si>
    <t>8.08</t>
  </si>
  <si>
    <t>10.82</t>
  </si>
  <si>
    <t>12.98</t>
  </si>
  <si>
    <t>15.01</t>
  </si>
  <si>
    <t>8.68</t>
  </si>
  <si>
    <t>11.49</t>
  </si>
  <si>
    <t>13.97</t>
  </si>
  <si>
    <t>16.18</t>
  </si>
  <si>
    <t>6.20</t>
  </si>
  <si>
    <t>7.73</t>
  </si>
  <si>
    <t>9.17</t>
  </si>
  <si>
    <t>17.34</t>
  </si>
  <si>
    <t>7.28</t>
  </si>
  <si>
    <t>8.43</t>
  </si>
  <si>
    <t>10.62</t>
  </si>
  <si>
    <t>13.53</t>
  </si>
  <si>
    <t>18.32</t>
  </si>
  <si>
    <t>6.39</t>
  </si>
  <si>
    <t>7.65</t>
  </si>
  <si>
    <t>8.61</t>
  </si>
  <si>
    <t>10.83</t>
  </si>
  <si>
    <t>16.03</t>
  </si>
  <si>
    <t>19.43</t>
  </si>
  <si>
    <t>6.46</t>
  </si>
  <si>
    <t>9.35</t>
  </si>
  <si>
    <t>16.85</t>
  </si>
  <si>
    <t>20.45</t>
  </si>
  <si>
    <t>6.50</t>
  </si>
  <si>
    <t>8.24</t>
  </si>
  <si>
    <t>9.76</t>
  </si>
  <si>
    <t>11.97</t>
  </si>
  <si>
    <t>15.32</t>
  </si>
  <si>
    <t>18.41</t>
  </si>
  <si>
    <t>21.60</t>
  </si>
  <si>
    <t>6.89</t>
  </si>
  <si>
    <t>8.50</t>
  </si>
  <si>
    <t>10.10</t>
  </si>
  <si>
    <t>12.83</t>
  </si>
  <si>
    <t>6.94</t>
  </si>
  <si>
    <t>8.77</t>
  </si>
  <si>
    <t>10.52</t>
  </si>
  <si>
    <t>12.96</t>
  </si>
  <si>
    <t>19.47</t>
  </si>
  <si>
    <t>23.57</t>
  </si>
  <si>
    <t>7.57</t>
  </si>
  <si>
    <t>10.92</t>
  </si>
  <si>
    <t>13.44</t>
  </si>
  <si>
    <t>17.20</t>
  </si>
  <si>
    <t>21.26</t>
  </si>
  <si>
    <t>24.37</t>
  </si>
  <si>
    <t>9.31</t>
  </si>
  <si>
    <t>11.30</t>
  </si>
  <si>
    <t>17.78</t>
  </si>
  <si>
    <t>21.85</t>
  </si>
  <si>
    <t>25.25</t>
  </si>
  <si>
    <t>7.81</t>
  </si>
  <si>
    <t>9.43</t>
  </si>
  <si>
    <t>11.52</t>
  </si>
  <si>
    <t>14.51</t>
  </si>
  <si>
    <t>18.45</t>
  </si>
  <si>
    <t>21.92</t>
  </si>
  <si>
    <t>26.33</t>
  </si>
  <si>
    <t>8.03</t>
  </si>
  <si>
    <t>9.74</t>
  </si>
  <si>
    <t>11.90</t>
  </si>
  <si>
    <t>14.57</t>
  </si>
  <si>
    <t>19.32</t>
  </si>
  <si>
    <t>23.36</t>
  </si>
  <si>
    <t>27.19</t>
  </si>
  <si>
    <t>10.34</t>
  </si>
  <si>
    <t>12.42</t>
  </si>
  <si>
    <t>15.49</t>
  </si>
  <si>
    <t>19.99</t>
  </si>
  <si>
    <t>8.94</t>
  </si>
  <si>
    <t>10.57</t>
  </si>
  <si>
    <t>13.25</t>
  </si>
  <si>
    <t>15.93</t>
  </si>
  <si>
    <t>8.98</t>
  </si>
  <si>
    <t>21.51</t>
  </si>
  <si>
    <t>25.65</t>
  </si>
  <si>
    <t>9.03</t>
  </si>
  <si>
    <t>11.31</t>
  </si>
  <si>
    <t>17.11</t>
  </si>
  <si>
    <t>22.11</t>
  </si>
  <si>
    <t>31.14</t>
  </si>
  <si>
    <t>9.86</t>
  </si>
  <si>
    <t>11.87</t>
  </si>
  <si>
    <t>14.49</t>
  </si>
  <si>
    <t>22.79</t>
  </si>
  <si>
    <t>28.16</t>
  </si>
  <si>
    <t>32.08</t>
  </si>
  <si>
    <t>10.18</t>
  </si>
  <si>
    <t>12.22</t>
  </si>
  <si>
    <t>18.61</t>
  </si>
  <si>
    <t>23.39</t>
  </si>
  <si>
    <t>29.15</t>
  </si>
  <si>
    <t>33.07</t>
  </si>
  <si>
    <t>10.49</t>
  </si>
  <si>
    <t>12.28</t>
  </si>
  <si>
    <t>18.71</t>
  </si>
  <si>
    <t>25.50</t>
  </si>
  <si>
    <t>30.04</t>
  </si>
  <si>
    <t>10.53</t>
  </si>
  <si>
    <t>15.86</t>
  </si>
  <si>
    <t>19.20</t>
  </si>
  <si>
    <t>26.26</t>
  </si>
  <si>
    <t>30.93</t>
  </si>
  <si>
    <t>35.21</t>
  </si>
  <si>
    <t>12.92</t>
  </si>
  <si>
    <t>15.90</t>
  </si>
  <si>
    <t>19.80</t>
  </si>
  <si>
    <t>27.10</t>
  </si>
  <si>
    <t>31.02</t>
  </si>
  <si>
    <t>36.21</t>
  </si>
  <si>
    <t>13.66</t>
  </si>
  <si>
    <t>31.83</t>
  </si>
  <si>
    <t>37.20</t>
  </si>
  <si>
    <t>10.96</t>
  </si>
  <si>
    <t>13.74</t>
  </si>
  <si>
    <t>28.62</t>
  </si>
  <si>
    <t>37.33</t>
  </si>
  <si>
    <t>11.58</t>
  </si>
  <si>
    <t>17.52</t>
  </si>
  <si>
    <t>21.36</t>
  </si>
  <si>
    <t>29.45</t>
  </si>
  <si>
    <t>32.90</t>
  </si>
  <si>
    <t>37.47</t>
  </si>
  <si>
    <t>11.81</t>
  </si>
  <si>
    <t>14.07</t>
  </si>
  <si>
    <t>17.59</t>
  </si>
  <si>
    <t>21.87</t>
  </si>
  <si>
    <t>29.93</t>
  </si>
  <si>
    <t>33.66</t>
  </si>
  <si>
    <t>40.31</t>
  </si>
  <si>
    <t>12.04</t>
  </si>
  <si>
    <t>14.69</t>
  </si>
  <si>
    <t>18.10</t>
  </si>
  <si>
    <t>22.42</t>
  </si>
  <si>
    <t>29.98</t>
  </si>
  <si>
    <t>34.52</t>
  </si>
  <si>
    <t>40.60</t>
  </si>
  <si>
    <t>12.38</t>
  </si>
  <si>
    <t>15.02</t>
  </si>
  <si>
    <t>18.78</t>
  </si>
  <si>
    <t>22.50</t>
  </si>
  <si>
    <t>30.10</t>
  </si>
  <si>
    <t>35.22</t>
  </si>
  <si>
    <t>42.37</t>
  </si>
  <si>
    <t>12.44</t>
  </si>
  <si>
    <t>15.13</t>
  </si>
  <si>
    <t>18.84</t>
  </si>
  <si>
    <t>23.46</t>
  </si>
  <si>
    <t>32.36</t>
  </si>
  <si>
    <t>35.93</t>
  </si>
  <si>
    <t>42.55</t>
  </si>
  <si>
    <t>15.20</t>
  </si>
  <si>
    <t>19.39</t>
  </si>
  <si>
    <t>24.01</t>
  </si>
  <si>
    <t>33.04</t>
  </si>
  <si>
    <t>36.65</t>
  </si>
  <si>
    <t>42.63</t>
  </si>
  <si>
    <t>12.58</t>
  </si>
  <si>
    <t>19.74</t>
  </si>
  <si>
    <t>24.54</t>
  </si>
  <si>
    <t>33.82</t>
  </si>
  <si>
    <t>38.58</t>
  </si>
  <si>
    <t>44.24</t>
  </si>
  <si>
    <t>12.66</t>
  </si>
  <si>
    <t>24.76</t>
  </si>
  <si>
    <t>33.91</t>
  </si>
  <si>
    <t>38.77</t>
  </si>
  <si>
    <t>45.84</t>
  </si>
  <si>
    <t>14.12</t>
  </si>
  <si>
    <t>16.69</t>
  </si>
  <si>
    <t>20.50</t>
  </si>
  <si>
    <t>25.64</t>
  </si>
  <si>
    <t>35.18</t>
  </si>
  <si>
    <t>38.81</t>
  </si>
  <si>
    <t>46.81</t>
  </si>
  <si>
    <t>17.10</t>
  </si>
  <si>
    <t>20.96</t>
  </si>
  <si>
    <t>26.31</t>
  </si>
  <si>
    <t>39.63</t>
  </si>
  <si>
    <t>47.83</t>
  </si>
  <si>
    <t>14.66</t>
  </si>
  <si>
    <t>17.60</t>
  </si>
  <si>
    <t>21.35</t>
  </si>
  <si>
    <t>26.79</t>
  </si>
  <si>
    <t>40.51</t>
  </si>
  <si>
    <t>48.94</t>
  </si>
  <si>
    <t>17.65</t>
  </si>
  <si>
    <t>21.83</t>
  </si>
  <si>
    <t>27.35</t>
  </si>
  <si>
    <t>37.32</t>
  </si>
  <si>
    <t>49.06</t>
  </si>
  <si>
    <t>17.69</t>
  </si>
  <si>
    <t>21.90</t>
  </si>
  <si>
    <t>27.95</t>
  </si>
  <si>
    <t>37.38</t>
  </si>
  <si>
    <t>42.24</t>
  </si>
  <si>
    <t>49.21</t>
  </si>
  <si>
    <t>14.85</t>
  </si>
  <si>
    <t>17.73</t>
  </si>
  <si>
    <t>23.21</t>
  </si>
  <si>
    <t>28.95</t>
  </si>
  <si>
    <t>38.39</t>
  </si>
  <si>
    <t>43.79</t>
  </si>
  <si>
    <t>52.22</t>
  </si>
  <si>
    <t>17.77</t>
  </si>
  <si>
    <t>29.05</t>
  </si>
  <si>
    <t>38.49</t>
  </si>
  <si>
    <t>43.96</t>
  </si>
  <si>
    <t>52.53</t>
  </si>
  <si>
    <t>14.94</t>
  </si>
  <si>
    <t>17.81</t>
  </si>
  <si>
    <t>23.37</t>
  </si>
  <si>
    <t>30.01</t>
  </si>
  <si>
    <t>38.55</t>
  </si>
  <si>
    <t>47.00</t>
  </si>
  <si>
    <t>54.01</t>
  </si>
  <si>
    <t>14.98</t>
  </si>
  <si>
    <t>17.85</t>
  </si>
  <si>
    <t>38.59</t>
  </si>
  <si>
    <t>47.46</t>
  </si>
  <si>
    <t>54.16</t>
  </si>
  <si>
    <t>15.05</t>
  </si>
  <si>
    <t>17.93</t>
  </si>
  <si>
    <t>30.16</t>
  </si>
  <si>
    <t>38.65</t>
  </si>
  <si>
    <t>47.56</t>
  </si>
  <si>
    <t>54.39</t>
  </si>
  <si>
    <t>19.52</t>
  </si>
  <si>
    <t>24.98</t>
  </si>
  <si>
    <t>39.99</t>
  </si>
  <si>
    <t>47.94</t>
  </si>
  <si>
    <t>58.99</t>
  </si>
  <si>
    <t>16.55</t>
  </si>
  <si>
    <t>25.14</t>
  </si>
  <si>
    <t>31.28</t>
  </si>
  <si>
    <t>44.74</t>
  </si>
  <si>
    <t>59.46</t>
  </si>
  <si>
    <t>17.19</t>
  </si>
  <si>
    <t>21.07</t>
  </si>
  <si>
    <t>25.51</t>
  </si>
  <si>
    <t>33.02</t>
  </si>
  <si>
    <t>45.23</t>
  </si>
  <si>
    <t>48.12</t>
  </si>
  <si>
    <t>60.97</t>
  </si>
  <si>
    <t>17.29</t>
  </si>
  <si>
    <t>33.64</t>
  </si>
  <si>
    <t>45.33</t>
  </si>
  <si>
    <t>50.11</t>
  </si>
  <si>
    <t>61.12</t>
  </si>
  <si>
    <t>21.28</t>
  </si>
  <si>
    <t>26.41</t>
  </si>
  <si>
    <t>34.13</t>
  </si>
  <si>
    <t>45.44</t>
  </si>
  <si>
    <t>50.31</t>
  </si>
  <si>
    <t>61.20</t>
  </si>
  <si>
    <t>17.45</t>
  </si>
  <si>
    <t>26.50</t>
  </si>
  <si>
    <t>34.75</t>
  </si>
  <si>
    <t>47.71</t>
  </si>
  <si>
    <t>50.55</t>
  </si>
  <si>
    <t>61.30</t>
  </si>
  <si>
    <t>17.53</t>
  </si>
  <si>
    <t>35.28</t>
  </si>
  <si>
    <t>55.25</t>
  </si>
  <si>
    <t>62.52</t>
  </si>
  <si>
    <t>17.63</t>
  </si>
  <si>
    <t>21.53</t>
  </si>
  <si>
    <t>27.25</t>
  </si>
  <si>
    <t>35.83</t>
  </si>
  <si>
    <t>55.73</t>
  </si>
  <si>
    <t>63.54</t>
  </si>
  <si>
    <t>17.71</t>
  </si>
  <si>
    <t>64.71</t>
  </si>
  <si>
    <t>22.33</t>
  </si>
  <si>
    <t>27.43</t>
  </si>
  <si>
    <t>36.38</t>
  </si>
  <si>
    <t>49.74</t>
  </si>
  <si>
    <t>56.70</t>
  </si>
  <si>
    <t>65.88</t>
  </si>
  <si>
    <t>18.48</t>
  </si>
  <si>
    <t>22.96</t>
  </si>
  <si>
    <t>28.89</t>
  </si>
  <si>
    <t>37.62</t>
  </si>
  <si>
    <t>49.86</t>
  </si>
  <si>
    <t>58.54</t>
  </si>
  <si>
    <t>66.94</t>
  </si>
  <si>
    <t>23.04</t>
  </si>
  <si>
    <t>29.35</t>
  </si>
  <si>
    <t>38.13</t>
  </si>
  <si>
    <t>52.34</t>
  </si>
  <si>
    <t>59.54</t>
  </si>
  <si>
    <t>67.04</t>
  </si>
  <si>
    <t>19.00</t>
  </si>
  <si>
    <t>23.13</t>
  </si>
  <si>
    <t>29.44</t>
  </si>
  <si>
    <t>38.73</t>
  </si>
  <si>
    <t>53.98</t>
  </si>
  <si>
    <t>60.50</t>
  </si>
  <si>
    <t>69.15</t>
  </si>
  <si>
    <t>19.46</t>
  </si>
  <si>
    <t>23.58</t>
  </si>
  <si>
    <t>29.53</t>
  </si>
  <si>
    <t>39.25</t>
  </si>
  <si>
    <t>54.83</t>
  </si>
  <si>
    <t>61.45</t>
  </si>
  <si>
    <t>70.25</t>
  </si>
  <si>
    <t>19.54</t>
  </si>
  <si>
    <t>24.20</t>
  </si>
  <si>
    <t>30.27</t>
  </si>
  <si>
    <t>39.66</t>
  </si>
  <si>
    <t>54.92</t>
  </si>
  <si>
    <t>62.41</t>
  </si>
  <si>
    <t>71.93</t>
  </si>
  <si>
    <t>19.62</t>
  </si>
  <si>
    <t>24.29</t>
  </si>
  <si>
    <t>30.60</t>
  </si>
  <si>
    <t>55.30</t>
  </si>
  <si>
    <t>63.25</t>
  </si>
  <si>
    <t>73.45</t>
  </si>
  <si>
    <t>24.77</t>
  </si>
  <si>
    <t>30.68</t>
  </si>
  <si>
    <t>39.85</t>
  </si>
  <si>
    <t>55.40</t>
  </si>
  <si>
    <t>63.36</t>
  </si>
  <si>
    <t>73.60</t>
  </si>
  <si>
    <t>24.97</t>
  </si>
  <si>
    <t>31.54</t>
  </si>
  <si>
    <t>41.37</t>
  </si>
  <si>
    <t>63.45</t>
  </si>
  <si>
    <t>31.62</t>
  </si>
  <si>
    <t>41.53</t>
  </si>
  <si>
    <t>20.37</t>
  </si>
  <si>
    <t>32.37</t>
  </si>
  <si>
    <t>42.57</t>
  </si>
  <si>
    <t>66.30</t>
  </si>
  <si>
    <t>77.07</t>
  </si>
  <si>
    <t>20.46</t>
  </si>
  <si>
    <t>26.29</t>
  </si>
  <si>
    <t>32.46</t>
  </si>
  <si>
    <t>42.94</t>
  </si>
  <si>
    <t>79.07</t>
  </si>
  <si>
    <t>20.94</t>
  </si>
  <si>
    <t>26.38</t>
  </si>
  <si>
    <t>32.73</t>
  </si>
  <si>
    <t>43.54</t>
  </si>
  <si>
    <t>55.88</t>
  </si>
  <si>
    <t>68.68</t>
  </si>
  <si>
    <t>79.28</t>
  </si>
  <si>
    <t>21.02</t>
  </si>
  <si>
    <t>26.48</t>
  </si>
  <si>
    <t>32.82</t>
  </si>
  <si>
    <t>43.72</t>
  </si>
  <si>
    <t>55.97</t>
  </si>
  <si>
    <t>68.78</t>
  </si>
  <si>
    <t>79.36</t>
  </si>
  <si>
    <t>21.10</t>
  </si>
  <si>
    <t>26.57</t>
  </si>
  <si>
    <t>43.82</t>
  </si>
  <si>
    <t>56.06</t>
  </si>
  <si>
    <t>68.87</t>
  </si>
  <si>
    <t>79.45</t>
  </si>
  <si>
    <t>21.29</t>
  </si>
  <si>
    <t>26.75</t>
  </si>
  <si>
    <t>44.01</t>
  </si>
  <si>
    <t>56.26</t>
  </si>
  <si>
    <t>69.07</t>
  </si>
  <si>
    <t>79.66</t>
  </si>
  <si>
    <t>21.55</t>
  </si>
  <si>
    <t>26.93</t>
  </si>
  <si>
    <t>33.28</t>
  </si>
  <si>
    <t>56.44</t>
  </si>
  <si>
    <t>70.83</t>
  </si>
  <si>
    <t>33.46</t>
  </si>
  <si>
    <t>44.39</t>
  </si>
  <si>
    <t>56.64</t>
  </si>
  <si>
    <t>71.02</t>
  </si>
  <si>
    <t>84.36</t>
  </si>
  <si>
    <t>21.89</t>
  </si>
  <si>
    <t>27.33</t>
  </si>
  <si>
    <t>44.58</t>
  </si>
  <si>
    <t>56.83</t>
  </si>
  <si>
    <t>71.21</t>
  </si>
  <si>
    <t>84.75</t>
  </si>
  <si>
    <t>27.50</t>
  </si>
  <si>
    <t>44.77</t>
  </si>
  <si>
    <t>57.02</t>
  </si>
  <si>
    <t>71.40</t>
  </si>
  <si>
    <t>85.54</t>
  </si>
  <si>
    <t>22.22</t>
  </si>
  <si>
    <t>27.66</t>
  </si>
  <si>
    <t>34.03</t>
  </si>
  <si>
    <t>44.97</t>
  </si>
  <si>
    <t>57.21</t>
  </si>
  <si>
    <t>22.39</t>
  </si>
  <si>
    <t>28.12</t>
  </si>
  <si>
    <t>34.20</t>
  </si>
  <si>
    <t>45.18</t>
  </si>
  <si>
    <t>57.90</t>
  </si>
  <si>
    <t>71.91</t>
  </si>
  <si>
    <t>85.93</t>
  </si>
  <si>
    <t>23.18</t>
  </si>
  <si>
    <t>29.31</t>
  </si>
  <si>
    <t>35.54</t>
  </si>
  <si>
    <t>48.56</t>
  </si>
  <si>
    <t>62.10</t>
  </si>
  <si>
    <t>78.02</t>
  </si>
  <si>
    <t>86.34</t>
  </si>
  <si>
    <t>23.35</t>
  </si>
  <si>
    <t>29.49</t>
  </si>
  <si>
    <t>49.08</t>
  </si>
  <si>
    <t>65.72</t>
  </si>
  <si>
    <t>78.63</t>
  </si>
  <si>
    <t>88.56</t>
  </si>
  <si>
    <t>23.52</t>
  </si>
  <si>
    <t>49.28</t>
  </si>
  <si>
    <t>66.07</t>
  </si>
  <si>
    <t>78.83</t>
  </si>
  <si>
    <t>88.78</t>
  </si>
  <si>
    <t>38.11</t>
  </si>
  <si>
    <t>51.06</t>
  </si>
  <si>
    <t>66.26</t>
  </si>
  <si>
    <t>79.02</t>
  </si>
  <si>
    <t>92.09</t>
  </si>
  <si>
    <t>23.85</t>
  </si>
  <si>
    <t>31.41</t>
  </si>
  <si>
    <t>51.26</t>
  </si>
  <si>
    <t>79.21</t>
  </si>
  <si>
    <t>92.42</t>
  </si>
  <si>
    <t>24.02</t>
  </si>
  <si>
    <t>32.26</t>
  </si>
  <si>
    <t>38.47</t>
  </si>
  <si>
    <t>66.65</t>
  </si>
  <si>
    <t>79.86</t>
  </si>
  <si>
    <t>92.67</t>
  </si>
  <si>
    <t>24.19</t>
  </si>
  <si>
    <t>32.44</t>
  </si>
  <si>
    <t>38.64</t>
  </si>
  <si>
    <t>51.63</t>
  </si>
  <si>
    <t>66.84</t>
  </si>
  <si>
    <t>80.04</t>
  </si>
  <si>
    <t>92.85</t>
  </si>
  <si>
    <t>24.36</t>
  </si>
  <si>
    <t>32.61</t>
  </si>
  <si>
    <t>51.82</t>
  </si>
  <si>
    <t>67.05</t>
  </si>
  <si>
    <t>80.23</t>
  </si>
  <si>
    <t>93.03</t>
  </si>
  <si>
    <t>24.53</t>
  </si>
  <si>
    <t>32.78</t>
  </si>
  <si>
    <t>38.97</t>
  </si>
  <si>
    <t>67.22</t>
  </si>
  <si>
    <t>80.44</t>
  </si>
  <si>
    <t>93.20</t>
  </si>
  <si>
    <t>25.45</t>
  </si>
  <si>
    <t>32.95</t>
  </si>
  <si>
    <t>39.15</t>
  </si>
  <si>
    <t>52.20</t>
  </si>
  <si>
    <t>67.41</t>
  </si>
  <si>
    <t>80.62</t>
  </si>
  <si>
    <t>93.39</t>
  </si>
  <si>
    <t>25.61</t>
  </si>
  <si>
    <t>39.31</t>
  </si>
  <si>
    <t>52.40</t>
  </si>
  <si>
    <t>80.81</t>
  </si>
  <si>
    <t>93.59</t>
  </si>
  <si>
    <t>39.49</t>
  </si>
  <si>
    <t>52.59</t>
  </si>
  <si>
    <t>67.79</t>
  </si>
  <si>
    <t>81.00</t>
  </si>
  <si>
    <t>93.78</t>
  </si>
  <si>
    <t>26.01</t>
  </si>
  <si>
    <t>33.47</t>
  </si>
  <si>
    <t>52.78</t>
  </si>
  <si>
    <t>67.99</t>
  </si>
  <si>
    <t>81.20</t>
  </si>
  <si>
    <t>94.01</t>
  </si>
  <si>
    <t>26.23</t>
  </si>
  <si>
    <t>39.84</t>
  </si>
  <si>
    <t>52.98</t>
  </si>
  <si>
    <t>68.27</t>
  </si>
  <si>
    <t>81.39</t>
  </si>
  <si>
    <t>98.74</t>
  </si>
  <si>
    <t>33.79</t>
  </si>
  <si>
    <t>40.98</t>
  </si>
  <si>
    <t>53.17</t>
  </si>
  <si>
    <t>73.73</t>
  </si>
  <si>
    <t>81.58</t>
  </si>
  <si>
    <t>102.41</t>
  </si>
  <si>
    <t>26.99</t>
  </si>
  <si>
    <t>33.98</t>
  </si>
  <si>
    <t>41.96</t>
  </si>
  <si>
    <t>53.36</t>
  </si>
  <si>
    <t>74.28</t>
  </si>
  <si>
    <t>81.78</t>
  </si>
  <si>
    <t>102.78</t>
  </si>
  <si>
    <t>28.09</t>
  </si>
  <si>
    <t>34.16</t>
  </si>
  <si>
    <t>42.14</t>
  </si>
  <si>
    <t>53.55</t>
  </si>
  <si>
    <t>74.47</t>
  </si>
  <si>
    <t>82.05</t>
  </si>
  <si>
    <t>102.98</t>
  </si>
  <si>
    <t>28.54</t>
  </si>
  <si>
    <t>43.13</t>
  </si>
  <si>
    <t>55.70</t>
  </si>
  <si>
    <t>77.80</t>
  </si>
  <si>
    <t>87.57</t>
  </si>
  <si>
    <t>106.02</t>
  </si>
  <si>
    <t>6.26</t>
  </si>
  <si>
    <t>6.70</t>
  </si>
  <si>
    <t>6.51</t>
  </si>
  <si>
    <t>6.99</t>
  </si>
  <si>
    <t>6.78</t>
  </si>
  <si>
    <t>7.37</t>
  </si>
  <si>
    <t>6.33</t>
  </si>
  <si>
    <t>7.85</t>
  </si>
  <si>
    <t>7.66</t>
  </si>
  <si>
    <t>8.33</t>
  </si>
  <si>
    <t>6.74</t>
  </si>
  <si>
    <t>7.97</t>
  </si>
  <si>
    <t>8.71</t>
  </si>
  <si>
    <t>6.34</t>
  </si>
  <si>
    <t>6.95</t>
  </si>
  <si>
    <t>9.06</t>
  </si>
  <si>
    <t>6.73</t>
  </si>
  <si>
    <t>9.34</t>
  </si>
  <si>
    <t>10.31</t>
  </si>
  <si>
    <t>6.85</t>
  </si>
  <si>
    <t>8.01</t>
  </si>
  <si>
    <t>9.84</t>
  </si>
  <si>
    <t>7.04</t>
  </si>
  <si>
    <t>8.35</t>
  </si>
  <si>
    <t>8.79</t>
  </si>
  <si>
    <t>10.65</t>
  </si>
  <si>
    <t>11.67</t>
  </si>
  <si>
    <t>6.49</t>
  </si>
  <si>
    <t>10.97</t>
  </si>
  <si>
    <t>12.23</t>
  </si>
  <si>
    <t>6.53</t>
  </si>
  <si>
    <t>12.68</t>
  </si>
  <si>
    <t>6.64</t>
  </si>
  <si>
    <t>6.87</t>
  </si>
  <si>
    <t>9.65</t>
  </si>
  <si>
    <t>11.70</t>
  </si>
  <si>
    <t>13.07</t>
  </si>
  <si>
    <t>6.71</t>
  </si>
  <si>
    <t>7.06</t>
  </si>
  <si>
    <t>10.04</t>
  </si>
  <si>
    <t>12.13</t>
  </si>
  <si>
    <t>13.64</t>
  </si>
  <si>
    <t>10.42</t>
  </si>
  <si>
    <t>14.18</t>
  </si>
  <si>
    <t>7.11</t>
  </si>
  <si>
    <t>7.59</t>
  </si>
  <si>
    <t>8.96</t>
  </si>
  <si>
    <t>12.84</t>
  </si>
  <si>
    <t>7.14</t>
  </si>
  <si>
    <t>7.62</t>
  </si>
  <si>
    <t>9.13</t>
  </si>
  <si>
    <t>11.23</t>
  </si>
  <si>
    <t>13.55</t>
  </si>
  <si>
    <t>15.45</t>
  </si>
  <si>
    <t>7.38</t>
  </si>
  <si>
    <t>7.94</t>
  </si>
  <si>
    <t>11.64</t>
  </si>
  <si>
    <t>14.10</t>
  </si>
  <si>
    <t>9.66</t>
  </si>
  <si>
    <t>14.36</t>
  </si>
  <si>
    <t>7.74</t>
  </si>
  <si>
    <t>8.48</t>
  </si>
  <si>
    <t>10.23</t>
  </si>
  <si>
    <t>12.70</t>
  </si>
  <si>
    <t>15.00</t>
  </si>
  <si>
    <t>16.99</t>
  </si>
  <si>
    <t>6.75</t>
  </si>
  <si>
    <t>8.55</t>
  </si>
  <si>
    <t>13.06</t>
  </si>
  <si>
    <t>17.44</t>
  </si>
  <si>
    <t>8.88</t>
  </si>
  <si>
    <t>10.63</t>
  </si>
  <si>
    <t>13.27</t>
  </si>
  <si>
    <t>15.42</t>
  </si>
  <si>
    <t>8.25</t>
  </si>
  <si>
    <t>16.00</t>
  </si>
  <si>
    <t>18.74</t>
  </si>
  <si>
    <t>7.12</t>
  </si>
  <si>
    <t>18.95</t>
  </si>
  <si>
    <t>7.16</t>
  </si>
  <si>
    <t>8.38</t>
  </si>
  <si>
    <t>9.47</t>
  </si>
  <si>
    <t>11.28</t>
  </si>
  <si>
    <t>14.52</t>
  </si>
  <si>
    <t>7.20</t>
  </si>
  <si>
    <t>9.77</t>
  </si>
  <si>
    <t>20.40</t>
  </si>
  <si>
    <t>7.34</t>
  </si>
  <si>
    <t>9.02</t>
  </si>
  <si>
    <t>11.96</t>
  </si>
  <si>
    <t>17.46</t>
  </si>
  <si>
    <t>7.44</t>
  </si>
  <si>
    <t>10.17</t>
  </si>
  <si>
    <t>12.25</t>
  </si>
  <si>
    <t>18.05</t>
  </si>
  <si>
    <t>7.55</t>
  </si>
  <si>
    <t>9.14</t>
  </si>
  <si>
    <t>10.28</t>
  </si>
  <si>
    <t>12.52</t>
  </si>
  <si>
    <t>21.56</t>
  </si>
  <si>
    <t>10.61</t>
  </si>
  <si>
    <t>12.82</t>
  </si>
  <si>
    <t>15.81</t>
  </si>
  <si>
    <t>7.93</t>
  </si>
  <si>
    <t>11.06</t>
  </si>
  <si>
    <t>19.45</t>
  </si>
  <si>
    <t>9.68</t>
  </si>
  <si>
    <t>8.11</t>
  </si>
  <si>
    <t>13.69</t>
  </si>
  <si>
    <t>17.24</t>
  </si>
  <si>
    <t>20.05</t>
  </si>
  <si>
    <t>10.14</t>
  </si>
  <si>
    <t>17.32</t>
  </si>
  <si>
    <t>20.39</t>
  </si>
  <si>
    <t>8.27</t>
  </si>
  <si>
    <t>18.26</t>
  </si>
  <si>
    <t>21.13</t>
  </si>
  <si>
    <t>10.44</t>
  </si>
  <si>
    <t>12.15</t>
  </si>
  <si>
    <t>21.79</t>
  </si>
  <si>
    <t>24.27</t>
  </si>
  <si>
    <t>8.40</t>
  </si>
  <si>
    <t>14.70</t>
  </si>
  <si>
    <t>18.37</t>
  </si>
  <si>
    <t>24.44</t>
  </si>
  <si>
    <t>8.66</t>
  </si>
  <si>
    <t>10.55</t>
  </si>
  <si>
    <t>12.54</t>
  </si>
  <si>
    <t>14.97</t>
  </si>
  <si>
    <t>22.45</t>
  </si>
  <si>
    <t>25.09</t>
  </si>
  <si>
    <t>19.11</t>
  </si>
  <si>
    <t>22.89</t>
  </si>
  <si>
    <t>25.49</t>
  </si>
  <si>
    <t>10.88</t>
  </si>
  <si>
    <t>15.63</t>
  </si>
  <si>
    <t>23.09</t>
  </si>
  <si>
    <t>25.89</t>
  </si>
  <si>
    <t>10.89</t>
  </si>
  <si>
    <t>12.89</t>
  </si>
  <si>
    <t>23.56</t>
  </si>
  <si>
    <t>26.05</t>
  </si>
  <si>
    <t>15.64</t>
  </si>
  <si>
    <t>12.90</t>
  </si>
  <si>
    <t>15.65</t>
  </si>
  <si>
    <t>19.69</t>
  </si>
  <si>
    <t>23.75</t>
  </si>
  <si>
    <t>10.90</t>
  </si>
  <si>
    <t>12.91</t>
  </si>
  <si>
    <t>8.72</t>
  </si>
  <si>
    <t>23.76</t>
  </si>
  <si>
    <t>12.93</t>
  </si>
  <si>
    <t>15.84</t>
  </si>
  <si>
    <t>19.71</t>
  </si>
  <si>
    <t>26.94</t>
  </si>
  <si>
    <t>8.73</t>
  </si>
  <si>
    <t>19.72</t>
  </si>
  <si>
    <t>23.77</t>
  </si>
  <si>
    <t>8.89</t>
  </si>
  <si>
    <t>16.32</t>
  </si>
  <si>
    <t>27.55</t>
  </si>
  <si>
    <t>19.73</t>
  </si>
  <si>
    <t>27.79</t>
  </si>
  <si>
    <t>10.98</t>
  </si>
  <si>
    <t>13.04</t>
  </si>
  <si>
    <t>16.33</t>
  </si>
  <si>
    <t>19.86</t>
  </si>
  <si>
    <t>23.78</t>
  </si>
  <si>
    <t>13.26</t>
  </si>
  <si>
    <t>16.91</t>
  </si>
  <si>
    <t>20.23</t>
  </si>
  <si>
    <t>23.87</t>
  </si>
  <si>
    <t>28.43</t>
  </si>
  <si>
    <t>11.44</t>
  </si>
  <si>
    <t>16.95</t>
  </si>
  <si>
    <t>9.52</t>
  </si>
  <si>
    <t>17.43</t>
  </si>
  <si>
    <t>24.23</t>
  </si>
  <si>
    <t>28.78</t>
  </si>
  <si>
    <t>9.78</t>
  </si>
  <si>
    <t>12.26</t>
  </si>
  <si>
    <t>13.96</t>
  </si>
  <si>
    <t>20.83</t>
  </si>
  <si>
    <t>29.13</t>
  </si>
  <si>
    <t>9.88</t>
  </si>
  <si>
    <t>12.59</t>
  </si>
  <si>
    <t>9.93</t>
  </si>
  <si>
    <t>12.71</t>
  </si>
  <si>
    <t>24.57</t>
  </si>
  <si>
    <t>29.30</t>
  </si>
  <si>
    <t>12.72</t>
  </si>
  <si>
    <t>29.58</t>
  </si>
  <si>
    <t>10.05</t>
  </si>
  <si>
    <t>12.95</t>
  </si>
  <si>
    <t>17.88</t>
  </si>
  <si>
    <t>25.06</t>
  </si>
  <si>
    <t>10.26</t>
  </si>
  <si>
    <t>13.08</t>
  </si>
  <si>
    <t>14.96</t>
  </si>
  <si>
    <t>18.00</t>
  </si>
  <si>
    <t>25.07</t>
  </si>
  <si>
    <t>29.74</t>
  </si>
  <si>
    <t>15.29</t>
  </si>
  <si>
    <t>18.87</t>
  </si>
  <si>
    <t>22.05</t>
  </si>
  <si>
    <t>29.99</t>
  </si>
  <si>
    <t>15.52</t>
  </si>
  <si>
    <t>22.20</t>
  </si>
  <si>
    <t>30.00</t>
  </si>
  <si>
    <t>26.56</t>
  </si>
  <si>
    <t>30.05</t>
  </si>
  <si>
    <t>19.16</t>
  </si>
  <si>
    <t>22.81</t>
  </si>
  <si>
    <t>26.61</t>
  </si>
  <si>
    <t>13.40</t>
  </si>
  <si>
    <t>23.16</t>
  </si>
  <si>
    <t>30.06</t>
  </si>
  <si>
    <t>11.36</t>
  </si>
  <si>
    <t>26.88</t>
  </si>
  <si>
    <t>12.24</t>
  </si>
  <si>
    <t>14.15</t>
  </si>
  <si>
    <t>19.61</t>
  </si>
  <si>
    <t>23.67</t>
  </si>
  <si>
    <t>27.32</t>
  </si>
  <si>
    <t>30.34</t>
  </si>
  <si>
    <t>16.14</t>
  </si>
  <si>
    <t>23.81</t>
  </si>
  <si>
    <t>30.35</t>
  </si>
  <si>
    <t>12.73</t>
  </si>
  <si>
    <t>16.62</t>
  </si>
  <si>
    <t>19.91</t>
  </si>
  <si>
    <t>23.96</t>
  </si>
  <si>
    <t>28.31</t>
  </si>
  <si>
    <t>13.30</t>
  </si>
  <si>
    <t>17.03</t>
  </si>
  <si>
    <t>20.22</t>
  </si>
  <si>
    <t>24.46</t>
  </si>
  <si>
    <t>28.75</t>
  </si>
  <si>
    <t>30.84</t>
  </si>
  <si>
    <t>13.67</t>
  </si>
  <si>
    <t>24.87</t>
  </si>
  <si>
    <t>29.14</t>
  </si>
  <si>
    <t>31.08</t>
  </si>
  <si>
    <t>14.00</t>
  </si>
  <si>
    <t>25.19</t>
  </si>
  <si>
    <t>29.32</t>
  </si>
  <si>
    <t>31.19</t>
  </si>
  <si>
    <t>14.45</t>
  </si>
  <si>
    <t>14.46</t>
  </si>
  <si>
    <t>21.38</t>
  </si>
  <si>
    <t>25.33</t>
  </si>
  <si>
    <t>15.03</t>
  </si>
  <si>
    <t>25.95</t>
  </si>
  <si>
    <t>31.43</t>
  </si>
  <si>
    <t>15.44</t>
  </si>
  <si>
    <t>26.11</t>
  </si>
  <si>
    <t>30.77</t>
  </si>
  <si>
    <t>31.77</t>
  </si>
  <si>
    <t>17.92</t>
  </si>
  <si>
    <t>19.60</t>
  </si>
  <si>
    <t>22.34</t>
  </si>
  <si>
    <t>31.63</t>
  </si>
  <si>
    <t>22.35</t>
  </si>
  <si>
    <t>27.02</t>
  </si>
  <si>
    <t>32.80</t>
  </si>
  <si>
    <t>17.01</t>
  </si>
  <si>
    <t>23.07</t>
  </si>
  <si>
    <t>31.69</t>
  </si>
  <si>
    <t>33.16</t>
  </si>
  <si>
    <t>20.62</t>
  </si>
  <si>
    <t>23.14</t>
  </si>
  <si>
    <t>27.71</t>
  </si>
  <si>
    <t>32.02</t>
  </si>
  <si>
    <t>33.85</t>
  </si>
  <si>
    <t>19.66</t>
  </si>
  <si>
    <t>23.82</t>
  </si>
  <si>
    <t>32.76</t>
  </si>
  <si>
    <t>23.83</t>
  </si>
  <si>
    <t>28.11</t>
  </si>
  <si>
    <t>19.28</t>
  </si>
  <si>
    <t>28.45</t>
  </si>
  <si>
    <t>34.63</t>
  </si>
  <si>
    <t>20.04</t>
  </si>
  <si>
    <t>24.06</t>
  </si>
  <si>
    <t>20.57</t>
  </si>
  <si>
    <t>22.15</t>
  </si>
  <si>
    <t>35.32</t>
  </si>
  <si>
    <t>19.89</t>
  </si>
  <si>
    <t>20.75</t>
  </si>
  <si>
    <t>32.89</t>
  </si>
  <si>
    <t>35.69</t>
  </si>
  <si>
    <t>20.53</t>
  </si>
  <si>
    <t>20.89</t>
  </si>
  <si>
    <t>36.05</t>
  </si>
  <si>
    <t>21.21</t>
  </si>
  <si>
    <t>23.45</t>
  </si>
  <si>
    <t>33.37</t>
  </si>
  <si>
    <t>36.76</t>
  </si>
  <si>
    <t>21.49</t>
  </si>
  <si>
    <t>25.67</t>
  </si>
  <si>
    <t>21.98</t>
  </si>
  <si>
    <t>24.11</t>
  </si>
  <si>
    <t>25.99</t>
  </si>
  <si>
    <t>30.17</t>
  </si>
  <si>
    <t>33.70</t>
  </si>
  <si>
    <t>37.14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</si>
</sst>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mbria"/>
      <family val="1"/>
      <scheme val="major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8" fontId="0" fillId="0" borderId="0" xfId="0" applyNumberFormat="1"/>
    <xf numFmtId="0" fontId="18" fillId="0" borderId="0" xfId="0" applyFont="1"/>
    <xf numFmtId="8" fontId="18" fillId="0" borderId="0" xfId="0" applyNumberFormat="1" applyFont="1"/>
    <xf numFmtId="44" fontId="18" fillId="0" borderId="0" xfId="1" applyFont="1"/>
    <xf numFmtId="0" fontId="18" fillId="33" borderId="0" xfId="0" applyFont="1" applyFill="1"/>
    <xf numFmtId="44" fontId="18" fillId="0" borderId="0" xfId="0" applyNumberFormat="1" applyFont="1"/>
    <xf numFmtId="10" fontId="18" fillId="0" borderId="0" xfId="43" applyNumberFormat="1" applyFont="1"/>
    <xf numFmtId="4" fontId="19" fillId="0" borderId="10" xfId="0" applyNumberFormat="1" applyFont="1" applyBorder="1"/>
    <xf numFmtId="164" fontId="0" fillId="0" borderId="0" xfId="0" applyNumberFormat="1"/>
    <xf numFmtId="49" fontId="0" fillId="0" borderId="0" xfId="0" applyNumberFormat="1"/>
    <xf numFmtId="10" fontId="0" fillId="0" borderId="0" xfId="43" applyNumberFormat="1" applyFont="1"/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43" builtinId="5"/>
    <cellStyle name="Title" xfId="2" builtinId="15" customBuiltin="1"/>
    <cellStyle name="Total" xfId="18" builtinId="25" customBuiltin="1"/>
    <cellStyle name="Warning Text" xfId="15" builtinId="11" customBuiltin="1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100"/>
  <sheetViews>
    <sheetView workbookViewId="0">
      <selection activeCell="Q1" sqref="Q1"/>
    </sheetView>
  </sheetViews>
  <sheetFormatPr defaultColWidth="10.85546875" defaultRowHeight="15" x14ac:dyDescent="0.25"/>
  <cols>
    <col min="1" max="1" width="4.5703125" bestFit="1" customWidth="1"/>
    <col min="2" max="15" width="7.28515625" bestFit="1" customWidth="1"/>
    <col min="16" max="22" width="9.5703125" bestFit="1" customWidth="1"/>
    <col min="23" max="29" width="14.5703125" bestFit="1" customWidth="1"/>
  </cols>
  <sheetData>
    <row r="1" spans="1:29" x14ac:dyDescent="0.25">
      <c r="A1" t="s">
        <v>28</v>
      </c>
      <c r="B1" t="s">
        <v>3</v>
      </c>
      <c r="C1" t="s">
        <v>6</v>
      </c>
      <c r="D1" t="s">
        <v>5</v>
      </c>
      <c r="E1" t="s">
        <v>1</v>
      </c>
      <c r="F1" t="s">
        <v>4</v>
      </c>
      <c r="G1" t="s">
        <v>2</v>
      </c>
      <c r="H1" t="s">
        <v>0</v>
      </c>
      <c r="I1" t="s">
        <v>17</v>
      </c>
      <c r="J1" t="s">
        <v>20</v>
      </c>
      <c r="K1" t="s">
        <v>16</v>
      </c>
      <c r="L1" t="s">
        <v>18</v>
      </c>
      <c r="M1" t="s">
        <v>19</v>
      </c>
      <c r="N1" t="s">
        <v>14</v>
      </c>
      <c r="O1" t="s">
        <v>15</v>
      </c>
      <c r="P1" t="s">
        <v>23</v>
      </c>
      <c r="Q1" t="s">
        <v>22</v>
      </c>
      <c r="R1" t="s">
        <v>27</v>
      </c>
      <c r="S1" t="s">
        <v>25</v>
      </c>
      <c r="T1" t="s">
        <v>26</v>
      </c>
      <c r="U1" t="s">
        <v>24</v>
      </c>
      <c r="V1" t="s">
        <v>21</v>
      </c>
      <c r="W1" t="s">
        <v>10</v>
      </c>
      <c r="X1" t="s">
        <v>9</v>
      </c>
      <c r="Y1" t="s">
        <v>13</v>
      </c>
      <c r="Z1" t="s">
        <v>11</v>
      </c>
      <c r="AA1" t="s">
        <v>12</v>
      </c>
      <c r="AB1" t="s">
        <v>8</v>
      </c>
      <c r="AC1" t="s">
        <v>7</v>
      </c>
    </row>
    <row r="2" spans="1:29" x14ac:dyDescent="0.25">
      <c r="A2">
        <v>1</v>
      </c>
      <c r="B2">
        <v>57</v>
      </c>
      <c r="C2">
        <v>18</v>
      </c>
      <c r="D2">
        <v>39</v>
      </c>
      <c r="E2">
        <v>39</v>
      </c>
      <c r="F2">
        <v>29</v>
      </c>
      <c r="G2">
        <v>9</v>
      </c>
      <c r="H2">
        <v>34</v>
      </c>
      <c r="I2">
        <v>9</v>
      </c>
      <c r="J2">
        <v>1</v>
      </c>
      <c r="K2">
        <v>5</v>
      </c>
      <c r="L2">
        <v>7</v>
      </c>
      <c r="M2">
        <v>6</v>
      </c>
      <c r="N2">
        <v>2</v>
      </c>
      <c r="O2">
        <v>19</v>
      </c>
      <c r="P2">
        <v>3335</v>
      </c>
      <c r="Q2">
        <v>1206</v>
      </c>
      <c r="R2">
        <v>2783</v>
      </c>
      <c r="S2">
        <v>3583</v>
      </c>
      <c r="T2">
        <v>997</v>
      </c>
      <c r="U2">
        <v>418</v>
      </c>
      <c r="V2">
        <v>1005</v>
      </c>
      <c r="W2">
        <v>448</v>
      </c>
      <c r="X2">
        <v>74</v>
      </c>
      <c r="Y2">
        <v>99</v>
      </c>
      <c r="Z2">
        <v>161</v>
      </c>
      <c r="AA2">
        <v>126</v>
      </c>
      <c r="AB2">
        <v>75</v>
      </c>
      <c r="AC2">
        <v>249</v>
      </c>
    </row>
    <row r="3" spans="1:29" x14ac:dyDescent="0.25">
      <c r="A3">
        <v>2</v>
      </c>
      <c r="B3">
        <v>43</v>
      </c>
      <c r="C3">
        <v>20</v>
      </c>
      <c r="D3">
        <v>25</v>
      </c>
      <c r="E3">
        <v>30</v>
      </c>
      <c r="F3">
        <v>24</v>
      </c>
      <c r="G3">
        <v>17</v>
      </c>
      <c r="H3">
        <v>48</v>
      </c>
      <c r="I3">
        <v>2</v>
      </c>
      <c r="J3">
        <v>1</v>
      </c>
      <c r="K3">
        <v>3</v>
      </c>
      <c r="L3">
        <v>5</v>
      </c>
      <c r="M3">
        <v>7</v>
      </c>
      <c r="N3">
        <v>2</v>
      </c>
      <c r="O3">
        <v>7</v>
      </c>
      <c r="P3">
        <v>4042</v>
      </c>
      <c r="Q3">
        <v>1182</v>
      </c>
      <c r="R3">
        <v>1674</v>
      </c>
      <c r="S3">
        <v>1938</v>
      </c>
      <c r="T3">
        <v>900</v>
      </c>
      <c r="U3">
        <v>422</v>
      </c>
      <c r="V3">
        <v>1101</v>
      </c>
      <c r="W3">
        <v>454</v>
      </c>
      <c r="X3">
        <v>79</v>
      </c>
      <c r="Y3">
        <v>83</v>
      </c>
      <c r="Z3">
        <v>168</v>
      </c>
      <c r="AA3">
        <v>138</v>
      </c>
      <c r="AB3">
        <v>79</v>
      </c>
      <c r="AC3">
        <v>269</v>
      </c>
    </row>
    <row r="4" spans="1:29" x14ac:dyDescent="0.25">
      <c r="A4">
        <v>3</v>
      </c>
      <c r="B4">
        <v>58</v>
      </c>
      <c r="C4">
        <v>17</v>
      </c>
      <c r="D4">
        <v>13</v>
      </c>
      <c r="E4">
        <v>18</v>
      </c>
      <c r="F4">
        <v>15</v>
      </c>
      <c r="G4">
        <v>23</v>
      </c>
      <c r="H4">
        <v>49</v>
      </c>
      <c r="I4">
        <v>2</v>
      </c>
      <c r="J4">
        <v>2</v>
      </c>
      <c r="K4">
        <v>1</v>
      </c>
      <c r="L4">
        <v>5</v>
      </c>
      <c r="M4">
        <v>4</v>
      </c>
      <c r="N4">
        <v>7</v>
      </c>
      <c r="O4">
        <v>12</v>
      </c>
      <c r="P4">
        <v>1445</v>
      </c>
      <c r="Q4">
        <v>461</v>
      </c>
      <c r="R4">
        <v>491</v>
      </c>
      <c r="S4">
        <v>588</v>
      </c>
      <c r="T4">
        <v>370</v>
      </c>
      <c r="U4">
        <v>195</v>
      </c>
      <c r="V4">
        <v>496</v>
      </c>
      <c r="W4">
        <v>552</v>
      </c>
      <c r="X4">
        <v>75</v>
      </c>
      <c r="Y4">
        <v>116</v>
      </c>
      <c r="Z4">
        <v>241</v>
      </c>
      <c r="AA4">
        <v>195</v>
      </c>
      <c r="AB4">
        <v>92</v>
      </c>
      <c r="AC4">
        <v>286</v>
      </c>
    </row>
    <row r="5" spans="1:29" x14ac:dyDescent="0.25">
      <c r="A5">
        <v>4</v>
      </c>
      <c r="B5">
        <v>19</v>
      </c>
      <c r="C5">
        <v>13</v>
      </c>
      <c r="D5">
        <v>12</v>
      </c>
      <c r="E5">
        <v>39</v>
      </c>
      <c r="F5">
        <v>42</v>
      </c>
      <c r="G5">
        <v>40</v>
      </c>
      <c r="H5">
        <v>166</v>
      </c>
      <c r="I5">
        <v>0</v>
      </c>
      <c r="J5">
        <v>1</v>
      </c>
      <c r="K5">
        <v>1</v>
      </c>
      <c r="L5">
        <v>7</v>
      </c>
      <c r="M5">
        <v>9</v>
      </c>
      <c r="N5">
        <v>12</v>
      </c>
      <c r="O5">
        <v>82</v>
      </c>
      <c r="P5">
        <v>1135</v>
      </c>
      <c r="Q5">
        <v>563</v>
      </c>
      <c r="R5">
        <v>859</v>
      </c>
      <c r="S5">
        <v>1616</v>
      </c>
      <c r="T5">
        <v>2282</v>
      </c>
      <c r="U5">
        <v>1490</v>
      </c>
      <c r="V5">
        <v>3095</v>
      </c>
      <c r="W5">
        <v>455</v>
      </c>
      <c r="X5">
        <v>84</v>
      </c>
      <c r="Y5">
        <v>175</v>
      </c>
      <c r="Z5">
        <v>350</v>
      </c>
      <c r="AA5">
        <v>314</v>
      </c>
      <c r="AB5">
        <v>156</v>
      </c>
      <c r="AC5">
        <v>590</v>
      </c>
    </row>
    <row r="6" spans="1:29" x14ac:dyDescent="0.25">
      <c r="A6">
        <v>5</v>
      </c>
      <c r="B6">
        <v>6</v>
      </c>
      <c r="C6">
        <v>3</v>
      </c>
      <c r="D6">
        <v>3</v>
      </c>
      <c r="E6">
        <v>25</v>
      </c>
      <c r="F6">
        <v>15</v>
      </c>
      <c r="G6">
        <v>13</v>
      </c>
      <c r="H6">
        <v>52</v>
      </c>
      <c r="I6">
        <v>2</v>
      </c>
      <c r="J6">
        <v>0</v>
      </c>
      <c r="K6">
        <v>3</v>
      </c>
      <c r="L6">
        <v>3</v>
      </c>
      <c r="M6">
        <v>5</v>
      </c>
      <c r="N6">
        <v>11</v>
      </c>
      <c r="O6">
        <v>33</v>
      </c>
      <c r="P6">
        <v>872</v>
      </c>
      <c r="Q6">
        <v>365</v>
      </c>
      <c r="R6">
        <v>546</v>
      </c>
      <c r="S6">
        <v>1077</v>
      </c>
      <c r="T6">
        <v>974</v>
      </c>
      <c r="U6">
        <v>450</v>
      </c>
      <c r="V6">
        <v>1264</v>
      </c>
      <c r="W6">
        <v>734</v>
      </c>
      <c r="X6">
        <v>117</v>
      </c>
      <c r="Y6">
        <v>158</v>
      </c>
      <c r="Z6">
        <v>383</v>
      </c>
      <c r="AA6">
        <v>294</v>
      </c>
      <c r="AB6">
        <v>154</v>
      </c>
      <c r="AC6">
        <v>555</v>
      </c>
    </row>
    <row r="7" spans="1:29" x14ac:dyDescent="0.25">
      <c r="A7">
        <v>6</v>
      </c>
      <c r="B7">
        <v>7</v>
      </c>
      <c r="C7">
        <v>4</v>
      </c>
      <c r="D7">
        <v>6</v>
      </c>
      <c r="E7">
        <v>11</v>
      </c>
      <c r="F7">
        <v>5</v>
      </c>
      <c r="G7">
        <v>4</v>
      </c>
      <c r="H7">
        <v>25</v>
      </c>
      <c r="I7">
        <v>2</v>
      </c>
      <c r="J7">
        <v>2</v>
      </c>
      <c r="K7">
        <v>0</v>
      </c>
      <c r="L7">
        <v>4</v>
      </c>
      <c r="M7">
        <v>5</v>
      </c>
      <c r="N7">
        <v>1</v>
      </c>
      <c r="O7">
        <v>9</v>
      </c>
      <c r="P7">
        <v>1061</v>
      </c>
      <c r="Q7">
        <v>453</v>
      </c>
      <c r="R7">
        <v>284</v>
      </c>
      <c r="S7">
        <v>402</v>
      </c>
      <c r="T7">
        <v>295</v>
      </c>
      <c r="U7">
        <v>117</v>
      </c>
      <c r="V7">
        <v>588</v>
      </c>
      <c r="W7">
        <v>472</v>
      </c>
      <c r="X7">
        <v>78</v>
      </c>
      <c r="Y7">
        <v>55</v>
      </c>
      <c r="Z7">
        <v>167</v>
      </c>
      <c r="AA7">
        <v>99</v>
      </c>
      <c r="AB7">
        <v>68</v>
      </c>
      <c r="AC7">
        <v>241</v>
      </c>
    </row>
    <row r="8" spans="1:29" x14ac:dyDescent="0.25">
      <c r="A8">
        <v>7</v>
      </c>
      <c r="B8">
        <v>2</v>
      </c>
      <c r="D8">
        <v>2</v>
      </c>
      <c r="E8">
        <v>22</v>
      </c>
      <c r="F8">
        <v>10</v>
      </c>
      <c r="G8">
        <v>13</v>
      </c>
      <c r="H8">
        <v>37</v>
      </c>
      <c r="I8">
        <v>1</v>
      </c>
      <c r="J8">
        <v>0</v>
      </c>
      <c r="K8">
        <v>1</v>
      </c>
      <c r="L8">
        <v>4</v>
      </c>
      <c r="M8">
        <v>2</v>
      </c>
      <c r="N8">
        <v>4</v>
      </c>
      <c r="O8">
        <v>14</v>
      </c>
      <c r="P8">
        <v>505</v>
      </c>
      <c r="Q8">
        <v>146</v>
      </c>
      <c r="R8">
        <v>358</v>
      </c>
      <c r="S8">
        <v>1037</v>
      </c>
      <c r="T8">
        <v>744</v>
      </c>
      <c r="U8">
        <v>381</v>
      </c>
      <c r="V8">
        <v>850</v>
      </c>
      <c r="W8">
        <v>160</v>
      </c>
      <c r="X8">
        <v>30</v>
      </c>
      <c r="Y8">
        <v>69</v>
      </c>
      <c r="Z8">
        <v>196</v>
      </c>
      <c r="AA8">
        <v>176</v>
      </c>
      <c r="AB8">
        <v>97</v>
      </c>
      <c r="AC8">
        <v>246</v>
      </c>
    </row>
    <row r="9" spans="1:29" x14ac:dyDescent="0.25">
      <c r="A9">
        <v>8</v>
      </c>
      <c r="B9">
        <v>3</v>
      </c>
      <c r="C9">
        <v>1</v>
      </c>
      <c r="D9">
        <v>10</v>
      </c>
      <c r="E9">
        <v>23</v>
      </c>
      <c r="F9">
        <v>17</v>
      </c>
      <c r="G9">
        <v>13</v>
      </c>
      <c r="H9">
        <v>62</v>
      </c>
      <c r="I9">
        <v>5</v>
      </c>
      <c r="J9">
        <v>0</v>
      </c>
      <c r="K9">
        <v>2</v>
      </c>
      <c r="L9">
        <v>4</v>
      </c>
      <c r="M9">
        <v>7</v>
      </c>
      <c r="N9">
        <v>7</v>
      </c>
      <c r="O9">
        <v>16</v>
      </c>
      <c r="P9">
        <v>258</v>
      </c>
      <c r="Q9">
        <v>177</v>
      </c>
      <c r="R9">
        <v>398</v>
      </c>
      <c r="S9">
        <v>1720</v>
      </c>
      <c r="T9">
        <v>1113</v>
      </c>
      <c r="U9">
        <v>622</v>
      </c>
      <c r="V9">
        <v>1281</v>
      </c>
      <c r="W9">
        <v>108</v>
      </c>
      <c r="X9">
        <v>28</v>
      </c>
      <c r="Y9">
        <v>74</v>
      </c>
      <c r="Z9">
        <v>144</v>
      </c>
      <c r="AA9">
        <v>104</v>
      </c>
      <c r="AB9">
        <v>68</v>
      </c>
      <c r="AC9">
        <v>207</v>
      </c>
    </row>
    <row r="10" spans="1:29" x14ac:dyDescent="0.25">
      <c r="A10">
        <v>9</v>
      </c>
      <c r="C10">
        <v>3</v>
      </c>
      <c r="D10">
        <v>19</v>
      </c>
      <c r="E10">
        <v>45</v>
      </c>
      <c r="F10">
        <v>32</v>
      </c>
      <c r="G10">
        <v>20</v>
      </c>
      <c r="H10">
        <v>99</v>
      </c>
      <c r="I10">
        <v>0</v>
      </c>
      <c r="J10">
        <v>0</v>
      </c>
      <c r="K10">
        <v>4</v>
      </c>
      <c r="L10">
        <v>5</v>
      </c>
      <c r="M10">
        <v>7</v>
      </c>
      <c r="N10">
        <v>9</v>
      </c>
      <c r="O10">
        <v>45</v>
      </c>
      <c r="P10">
        <v>291</v>
      </c>
      <c r="Q10">
        <v>338</v>
      </c>
      <c r="R10">
        <v>986</v>
      </c>
      <c r="S10">
        <v>2245</v>
      </c>
      <c r="T10">
        <v>1507</v>
      </c>
      <c r="U10">
        <v>906</v>
      </c>
      <c r="V10">
        <v>1666</v>
      </c>
      <c r="W10">
        <v>100</v>
      </c>
      <c r="X10">
        <v>55</v>
      </c>
      <c r="Y10">
        <v>125</v>
      </c>
      <c r="Z10">
        <v>227</v>
      </c>
      <c r="AA10">
        <v>124</v>
      </c>
      <c r="AB10">
        <v>97</v>
      </c>
      <c r="AC10">
        <v>330</v>
      </c>
    </row>
    <row r="11" spans="1:29" x14ac:dyDescent="0.25">
      <c r="A11">
        <v>10</v>
      </c>
      <c r="B11">
        <v>2</v>
      </c>
      <c r="D11">
        <v>2</v>
      </c>
      <c r="E11">
        <v>9</v>
      </c>
      <c r="F11">
        <v>10</v>
      </c>
      <c r="G11">
        <v>9</v>
      </c>
      <c r="H11">
        <v>20</v>
      </c>
      <c r="I11">
        <v>2</v>
      </c>
      <c r="J11">
        <v>1</v>
      </c>
      <c r="K11">
        <v>3</v>
      </c>
      <c r="L11">
        <v>0</v>
      </c>
      <c r="M11">
        <v>2</v>
      </c>
      <c r="N11">
        <v>3</v>
      </c>
      <c r="O11">
        <v>22</v>
      </c>
      <c r="P11">
        <v>1424</v>
      </c>
      <c r="Q11">
        <v>261</v>
      </c>
      <c r="R11">
        <v>411</v>
      </c>
      <c r="S11">
        <v>1638</v>
      </c>
      <c r="T11">
        <v>420</v>
      </c>
      <c r="U11">
        <v>602</v>
      </c>
      <c r="V11">
        <v>1058</v>
      </c>
      <c r="W11">
        <v>91</v>
      </c>
      <c r="X11">
        <v>70</v>
      </c>
      <c r="Y11">
        <v>124</v>
      </c>
      <c r="Z11">
        <v>223</v>
      </c>
      <c r="AA11">
        <v>145</v>
      </c>
      <c r="AB11">
        <v>76</v>
      </c>
      <c r="AC11">
        <v>330</v>
      </c>
    </row>
    <row r="12" spans="1:29" x14ac:dyDescent="0.25">
      <c r="A12">
        <v>11</v>
      </c>
      <c r="B12">
        <v>3</v>
      </c>
      <c r="D12">
        <v>5</v>
      </c>
      <c r="E12">
        <v>18</v>
      </c>
      <c r="F12">
        <v>5</v>
      </c>
      <c r="G12">
        <v>18</v>
      </c>
      <c r="H12">
        <v>21</v>
      </c>
      <c r="I12">
        <v>0</v>
      </c>
      <c r="J12">
        <v>0</v>
      </c>
      <c r="K12">
        <v>0</v>
      </c>
      <c r="L12">
        <v>1</v>
      </c>
      <c r="M12">
        <v>1</v>
      </c>
      <c r="N12">
        <v>3</v>
      </c>
      <c r="O12">
        <v>9</v>
      </c>
      <c r="P12">
        <v>1794</v>
      </c>
      <c r="Q12">
        <v>769</v>
      </c>
      <c r="R12">
        <v>540</v>
      </c>
      <c r="S12">
        <v>1603</v>
      </c>
      <c r="T12">
        <v>534</v>
      </c>
      <c r="U12">
        <v>779</v>
      </c>
      <c r="V12">
        <v>1648</v>
      </c>
      <c r="W12">
        <v>73</v>
      </c>
      <c r="X12">
        <v>64</v>
      </c>
      <c r="Y12">
        <v>76</v>
      </c>
      <c r="Z12">
        <v>203</v>
      </c>
      <c r="AA12">
        <v>136</v>
      </c>
      <c r="AB12">
        <v>102</v>
      </c>
      <c r="AC12">
        <v>340</v>
      </c>
    </row>
    <row r="13" spans="1:29" x14ac:dyDescent="0.25">
      <c r="A13">
        <v>12</v>
      </c>
      <c r="B13">
        <v>3</v>
      </c>
      <c r="C13">
        <v>5</v>
      </c>
      <c r="D13">
        <v>8</v>
      </c>
      <c r="E13">
        <v>12</v>
      </c>
      <c r="F13">
        <v>16</v>
      </c>
      <c r="G13">
        <v>11</v>
      </c>
      <c r="H13">
        <v>27</v>
      </c>
      <c r="I13">
        <v>1</v>
      </c>
      <c r="J13">
        <v>0</v>
      </c>
      <c r="K13">
        <v>0</v>
      </c>
      <c r="L13">
        <v>0</v>
      </c>
      <c r="M13">
        <v>6</v>
      </c>
      <c r="N13">
        <v>6</v>
      </c>
      <c r="O13">
        <v>9</v>
      </c>
      <c r="P13">
        <v>642</v>
      </c>
      <c r="Q13">
        <v>114</v>
      </c>
      <c r="R13">
        <v>315</v>
      </c>
      <c r="S13">
        <v>796</v>
      </c>
      <c r="T13">
        <v>270</v>
      </c>
      <c r="U13">
        <v>245</v>
      </c>
      <c r="V13">
        <v>701</v>
      </c>
      <c r="W13">
        <v>97</v>
      </c>
      <c r="X13">
        <v>37</v>
      </c>
      <c r="Y13">
        <v>69</v>
      </c>
      <c r="Z13">
        <v>149</v>
      </c>
      <c r="AA13">
        <v>168</v>
      </c>
      <c r="AB13">
        <v>80</v>
      </c>
      <c r="AC13">
        <v>261</v>
      </c>
    </row>
    <row r="14" spans="1:29" x14ac:dyDescent="0.25">
      <c r="A14">
        <v>13</v>
      </c>
      <c r="B14">
        <v>1</v>
      </c>
      <c r="C14">
        <v>1</v>
      </c>
      <c r="D14">
        <v>6</v>
      </c>
      <c r="E14">
        <v>18</v>
      </c>
      <c r="F14">
        <v>8</v>
      </c>
      <c r="G14">
        <v>4</v>
      </c>
      <c r="H14">
        <v>16</v>
      </c>
      <c r="I14">
        <v>0</v>
      </c>
      <c r="J14">
        <v>0</v>
      </c>
      <c r="K14">
        <v>0</v>
      </c>
      <c r="L14">
        <v>0</v>
      </c>
      <c r="M14">
        <v>0</v>
      </c>
      <c r="N14">
        <v>2</v>
      </c>
      <c r="O14">
        <v>5</v>
      </c>
      <c r="P14">
        <v>516</v>
      </c>
      <c r="Q14">
        <v>107</v>
      </c>
      <c r="R14">
        <v>244</v>
      </c>
      <c r="S14">
        <v>551</v>
      </c>
      <c r="T14">
        <v>446</v>
      </c>
      <c r="U14">
        <v>99</v>
      </c>
      <c r="V14">
        <v>646</v>
      </c>
      <c r="W14">
        <v>73</v>
      </c>
      <c r="X14">
        <v>20</v>
      </c>
      <c r="Y14">
        <v>51</v>
      </c>
      <c r="Z14">
        <v>83</v>
      </c>
      <c r="AA14">
        <v>46</v>
      </c>
      <c r="AB14">
        <v>45</v>
      </c>
      <c r="AC14">
        <v>137</v>
      </c>
    </row>
    <row r="15" spans="1:29" x14ac:dyDescent="0.25">
      <c r="A15">
        <v>14</v>
      </c>
      <c r="B15">
        <v>2</v>
      </c>
      <c r="C15">
        <v>1</v>
      </c>
      <c r="D15">
        <v>12</v>
      </c>
      <c r="E15">
        <v>15</v>
      </c>
      <c r="F15">
        <v>5</v>
      </c>
      <c r="G15">
        <v>7</v>
      </c>
      <c r="H15">
        <v>12</v>
      </c>
      <c r="I15">
        <v>2</v>
      </c>
      <c r="J15">
        <v>1</v>
      </c>
      <c r="K15">
        <v>0</v>
      </c>
      <c r="L15">
        <v>5</v>
      </c>
      <c r="M15">
        <v>1</v>
      </c>
      <c r="N15">
        <v>4</v>
      </c>
      <c r="O15">
        <v>4</v>
      </c>
      <c r="P15">
        <v>2188</v>
      </c>
      <c r="Q15">
        <v>631</v>
      </c>
      <c r="R15">
        <v>1279</v>
      </c>
      <c r="S15">
        <v>1636</v>
      </c>
      <c r="T15">
        <v>1405</v>
      </c>
      <c r="U15">
        <v>492</v>
      </c>
      <c r="V15">
        <v>2777</v>
      </c>
      <c r="W15">
        <v>118</v>
      </c>
      <c r="X15">
        <v>18</v>
      </c>
      <c r="Y15">
        <v>52</v>
      </c>
      <c r="Z15">
        <v>108</v>
      </c>
      <c r="AA15">
        <v>54</v>
      </c>
      <c r="AB15">
        <v>50</v>
      </c>
      <c r="AC15">
        <v>100</v>
      </c>
    </row>
    <row r="16" spans="1:29" x14ac:dyDescent="0.25">
      <c r="A16">
        <v>15</v>
      </c>
      <c r="C16">
        <v>1</v>
      </c>
      <c r="E16">
        <v>7</v>
      </c>
      <c r="F16">
        <v>10</v>
      </c>
      <c r="G16">
        <v>3</v>
      </c>
      <c r="H16">
        <v>11</v>
      </c>
      <c r="I16">
        <v>0</v>
      </c>
      <c r="J16">
        <v>0</v>
      </c>
      <c r="K16">
        <v>0</v>
      </c>
      <c r="L16">
        <v>0</v>
      </c>
      <c r="M16">
        <v>2</v>
      </c>
      <c r="N16">
        <v>5</v>
      </c>
      <c r="O16">
        <v>6</v>
      </c>
      <c r="P16">
        <v>243</v>
      </c>
      <c r="Q16">
        <v>47</v>
      </c>
      <c r="R16">
        <v>205</v>
      </c>
      <c r="S16">
        <v>457</v>
      </c>
      <c r="T16">
        <v>274</v>
      </c>
      <c r="U16">
        <v>105</v>
      </c>
      <c r="V16">
        <v>562</v>
      </c>
      <c r="W16">
        <v>54</v>
      </c>
      <c r="X16">
        <v>37</v>
      </c>
      <c r="Y16">
        <v>56</v>
      </c>
      <c r="Z16">
        <v>133</v>
      </c>
      <c r="AA16">
        <v>77</v>
      </c>
      <c r="AB16">
        <v>57</v>
      </c>
      <c r="AC16">
        <v>213</v>
      </c>
    </row>
    <row r="17" spans="1:29" x14ac:dyDescent="0.25">
      <c r="A17">
        <v>16</v>
      </c>
      <c r="B17">
        <v>4</v>
      </c>
      <c r="C17">
        <v>1</v>
      </c>
      <c r="D17">
        <v>4</v>
      </c>
      <c r="E17">
        <v>10</v>
      </c>
      <c r="F17">
        <v>14</v>
      </c>
      <c r="G17">
        <v>2</v>
      </c>
      <c r="H17">
        <v>9</v>
      </c>
      <c r="I17">
        <v>0</v>
      </c>
      <c r="J17">
        <v>0</v>
      </c>
      <c r="K17">
        <v>0</v>
      </c>
      <c r="L17">
        <v>2</v>
      </c>
      <c r="M17">
        <v>0</v>
      </c>
      <c r="N17">
        <v>8</v>
      </c>
      <c r="O17">
        <v>4</v>
      </c>
      <c r="P17">
        <v>159</v>
      </c>
      <c r="Q17">
        <v>79</v>
      </c>
      <c r="R17">
        <v>133</v>
      </c>
      <c r="S17">
        <v>283</v>
      </c>
      <c r="T17">
        <v>228</v>
      </c>
      <c r="U17">
        <v>104</v>
      </c>
      <c r="V17">
        <v>546</v>
      </c>
      <c r="W17">
        <v>136</v>
      </c>
      <c r="X17">
        <v>113</v>
      </c>
      <c r="Y17">
        <v>124</v>
      </c>
      <c r="Z17">
        <v>298</v>
      </c>
      <c r="AA17">
        <v>203</v>
      </c>
      <c r="AB17">
        <v>117</v>
      </c>
      <c r="AC17">
        <v>537</v>
      </c>
    </row>
    <row r="18" spans="1:29" x14ac:dyDescent="0.25">
      <c r="A18">
        <v>17</v>
      </c>
      <c r="B18">
        <v>5</v>
      </c>
      <c r="C18">
        <v>1</v>
      </c>
      <c r="D18">
        <v>5</v>
      </c>
      <c r="E18">
        <v>5</v>
      </c>
      <c r="F18">
        <v>2</v>
      </c>
      <c r="G18">
        <v>2</v>
      </c>
      <c r="H18">
        <v>8</v>
      </c>
      <c r="I18">
        <v>0</v>
      </c>
      <c r="J18">
        <v>1</v>
      </c>
      <c r="K18">
        <v>0</v>
      </c>
      <c r="L18">
        <v>1</v>
      </c>
      <c r="M18">
        <v>0</v>
      </c>
      <c r="N18">
        <v>0</v>
      </c>
      <c r="O18">
        <v>13</v>
      </c>
      <c r="P18">
        <v>110</v>
      </c>
      <c r="Q18">
        <v>59</v>
      </c>
      <c r="R18">
        <v>103</v>
      </c>
      <c r="S18">
        <v>305</v>
      </c>
      <c r="T18">
        <v>195</v>
      </c>
      <c r="U18">
        <v>111</v>
      </c>
      <c r="V18">
        <v>250</v>
      </c>
      <c r="W18">
        <v>209</v>
      </c>
      <c r="X18">
        <v>84</v>
      </c>
      <c r="Y18">
        <v>128</v>
      </c>
      <c r="Z18">
        <v>299</v>
      </c>
      <c r="AA18">
        <v>187</v>
      </c>
      <c r="AB18">
        <v>122</v>
      </c>
      <c r="AC18">
        <v>480</v>
      </c>
    </row>
    <row r="19" spans="1:29" x14ac:dyDescent="0.25">
      <c r="A19">
        <v>18</v>
      </c>
      <c r="B19">
        <v>6</v>
      </c>
      <c r="C19">
        <v>6</v>
      </c>
      <c r="D19">
        <v>1</v>
      </c>
      <c r="E19">
        <v>9</v>
      </c>
      <c r="F19">
        <v>3</v>
      </c>
      <c r="G19">
        <v>8</v>
      </c>
      <c r="H19">
        <v>27</v>
      </c>
      <c r="I19">
        <v>1</v>
      </c>
      <c r="J19">
        <v>0</v>
      </c>
      <c r="K19">
        <v>0</v>
      </c>
      <c r="L19">
        <v>0</v>
      </c>
      <c r="M19">
        <v>4</v>
      </c>
      <c r="N19">
        <v>3</v>
      </c>
      <c r="O19">
        <v>25</v>
      </c>
      <c r="P19">
        <v>133</v>
      </c>
      <c r="Q19">
        <v>92</v>
      </c>
      <c r="R19">
        <v>195</v>
      </c>
      <c r="S19">
        <v>387</v>
      </c>
      <c r="T19">
        <v>256</v>
      </c>
      <c r="U19">
        <v>152</v>
      </c>
      <c r="V19">
        <v>377</v>
      </c>
      <c r="W19">
        <v>134</v>
      </c>
      <c r="X19">
        <v>70</v>
      </c>
      <c r="Y19">
        <v>59</v>
      </c>
      <c r="Z19">
        <v>177</v>
      </c>
      <c r="AA19">
        <v>126</v>
      </c>
      <c r="AB19">
        <v>52</v>
      </c>
      <c r="AC19">
        <v>260</v>
      </c>
    </row>
    <row r="20" spans="1:29" x14ac:dyDescent="0.25">
      <c r="A20">
        <v>19</v>
      </c>
      <c r="B20">
        <v>2</v>
      </c>
      <c r="C20">
        <v>3</v>
      </c>
      <c r="D20">
        <v>2</v>
      </c>
      <c r="E20">
        <v>16</v>
      </c>
      <c r="F20">
        <v>4</v>
      </c>
      <c r="G20">
        <v>5</v>
      </c>
      <c r="H20">
        <v>5</v>
      </c>
      <c r="I20">
        <v>0</v>
      </c>
      <c r="J20">
        <v>0</v>
      </c>
      <c r="K20">
        <v>0</v>
      </c>
      <c r="L20">
        <v>0</v>
      </c>
      <c r="M20">
        <v>1</v>
      </c>
      <c r="N20">
        <v>2</v>
      </c>
      <c r="O20">
        <v>12</v>
      </c>
      <c r="P20">
        <v>105</v>
      </c>
      <c r="Q20">
        <v>44</v>
      </c>
      <c r="R20">
        <v>107</v>
      </c>
      <c r="S20">
        <v>251</v>
      </c>
      <c r="T20">
        <v>146</v>
      </c>
      <c r="U20">
        <v>72</v>
      </c>
      <c r="V20">
        <v>172</v>
      </c>
      <c r="W20">
        <v>64</v>
      </c>
      <c r="X20">
        <v>35</v>
      </c>
      <c r="Y20">
        <v>38</v>
      </c>
      <c r="Z20">
        <v>91</v>
      </c>
      <c r="AA20">
        <v>60</v>
      </c>
      <c r="AB20">
        <v>33</v>
      </c>
      <c r="AC20">
        <v>117</v>
      </c>
    </row>
    <row r="21" spans="1:29" x14ac:dyDescent="0.25">
      <c r="A21">
        <v>20</v>
      </c>
      <c r="B21">
        <v>4</v>
      </c>
      <c r="C21">
        <v>2</v>
      </c>
      <c r="D21">
        <v>2</v>
      </c>
      <c r="E21">
        <v>8</v>
      </c>
      <c r="F21">
        <v>5</v>
      </c>
      <c r="G21">
        <v>4</v>
      </c>
      <c r="H21">
        <v>7</v>
      </c>
      <c r="I21">
        <v>0</v>
      </c>
      <c r="J21">
        <v>0</v>
      </c>
      <c r="K21">
        <v>0</v>
      </c>
      <c r="L21">
        <v>0</v>
      </c>
      <c r="M21">
        <v>1</v>
      </c>
      <c r="N21">
        <v>3</v>
      </c>
      <c r="O21">
        <v>10</v>
      </c>
      <c r="P21">
        <v>170</v>
      </c>
      <c r="Q21">
        <v>66</v>
      </c>
      <c r="R21">
        <v>105</v>
      </c>
      <c r="S21">
        <v>313</v>
      </c>
      <c r="T21">
        <v>222</v>
      </c>
      <c r="U21">
        <v>120</v>
      </c>
      <c r="V21">
        <v>251</v>
      </c>
      <c r="W21">
        <v>48</v>
      </c>
      <c r="X21">
        <v>15</v>
      </c>
      <c r="Y21">
        <v>26</v>
      </c>
      <c r="Z21">
        <v>60</v>
      </c>
      <c r="AA21">
        <v>39</v>
      </c>
      <c r="AB21">
        <v>28</v>
      </c>
      <c r="AC21">
        <v>81</v>
      </c>
    </row>
    <row r="22" spans="1:29" x14ac:dyDescent="0.25">
      <c r="A22">
        <v>21</v>
      </c>
      <c r="B22">
        <v>5</v>
      </c>
      <c r="C22">
        <v>1</v>
      </c>
      <c r="D22">
        <v>7</v>
      </c>
      <c r="E22">
        <v>12</v>
      </c>
      <c r="F22">
        <v>11</v>
      </c>
      <c r="G22">
        <v>6</v>
      </c>
      <c r="H22">
        <v>19</v>
      </c>
      <c r="I22">
        <v>0</v>
      </c>
      <c r="J22">
        <v>1</v>
      </c>
      <c r="K22">
        <v>2</v>
      </c>
      <c r="L22">
        <v>3</v>
      </c>
      <c r="M22">
        <v>5</v>
      </c>
      <c r="N22">
        <v>4</v>
      </c>
      <c r="O22">
        <v>12</v>
      </c>
      <c r="P22">
        <v>216</v>
      </c>
      <c r="Q22">
        <v>117</v>
      </c>
      <c r="R22">
        <v>223</v>
      </c>
      <c r="S22">
        <v>467</v>
      </c>
      <c r="T22">
        <v>330</v>
      </c>
      <c r="U22">
        <v>179</v>
      </c>
      <c r="V22">
        <v>402</v>
      </c>
      <c r="W22">
        <v>57</v>
      </c>
      <c r="X22">
        <v>29</v>
      </c>
      <c r="Y22">
        <v>32</v>
      </c>
      <c r="Z22">
        <v>81</v>
      </c>
      <c r="AA22">
        <v>95</v>
      </c>
      <c r="AB22">
        <v>49</v>
      </c>
      <c r="AC22">
        <v>98</v>
      </c>
    </row>
    <row r="23" spans="1:29" x14ac:dyDescent="0.25">
      <c r="A23">
        <v>22</v>
      </c>
      <c r="B23">
        <v>3</v>
      </c>
      <c r="C23">
        <v>2</v>
      </c>
      <c r="D23">
        <v>9</v>
      </c>
      <c r="E23">
        <v>13</v>
      </c>
      <c r="F23">
        <v>10</v>
      </c>
      <c r="G23">
        <v>6</v>
      </c>
      <c r="H23">
        <v>26</v>
      </c>
      <c r="I23">
        <v>1</v>
      </c>
      <c r="J23">
        <v>0</v>
      </c>
      <c r="K23">
        <v>0</v>
      </c>
      <c r="L23">
        <v>5</v>
      </c>
      <c r="M23">
        <v>1</v>
      </c>
      <c r="N23">
        <v>4</v>
      </c>
      <c r="O23">
        <v>7</v>
      </c>
      <c r="P23">
        <v>333</v>
      </c>
      <c r="Q23">
        <v>141</v>
      </c>
      <c r="R23">
        <v>296</v>
      </c>
      <c r="S23">
        <v>622</v>
      </c>
      <c r="T23">
        <v>477</v>
      </c>
      <c r="U23">
        <v>215</v>
      </c>
      <c r="V23">
        <v>515</v>
      </c>
      <c r="W23">
        <v>55</v>
      </c>
      <c r="X23">
        <v>15</v>
      </c>
      <c r="Y23">
        <v>52</v>
      </c>
      <c r="Z23">
        <v>98</v>
      </c>
      <c r="AA23">
        <v>72</v>
      </c>
      <c r="AB23">
        <v>48</v>
      </c>
      <c r="AC23">
        <v>111</v>
      </c>
    </row>
    <row r="24" spans="1:29" x14ac:dyDescent="0.25">
      <c r="A24">
        <v>23</v>
      </c>
      <c r="B24">
        <v>4</v>
      </c>
      <c r="C24">
        <v>3</v>
      </c>
      <c r="D24">
        <v>2</v>
      </c>
      <c r="E24">
        <v>8</v>
      </c>
      <c r="F24">
        <v>6</v>
      </c>
      <c r="G24">
        <v>5</v>
      </c>
      <c r="H24">
        <v>25</v>
      </c>
      <c r="I24">
        <v>0</v>
      </c>
      <c r="J24">
        <v>0</v>
      </c>
      <c r="K24">
        <v>1</v>
      </c>
      <c r="L24">
        <v>0</v>
      </c>
      <c r="M24">
        <v>2</v>
      </c>
      <c r="N24">
        <v>3</v>
      </c>
      <c r="O24">
        <v>12</v>
      </c>
      <c r="P24">
        <v>257</v>
      </c>
      <c r="Q24">
        <v>172</v>
      </c>
      <c r="R24">
        <v>157</v>
      </c>
      <c r="S24">
        <v>432</v>
      </c>
      <c r="T24">
        <v>308</v>
      </c>
      <c r="U24">
        <v>132</v>
      </c>
      <c r="V24">
        <v>390</v>
      </c>
      <c r="W24">
        <v>60</v>
      </c>
      <c r="X24">
        <v>13</v>
      </c>
      <c r="Y24">
        <v>19</v>
      </c>
      <c r="Z24">
        <v>52</v>
      </c>
      <c r="AA24">
        <v>36</v>
      </c>
      <c r="AB24">
        <v>25</v>
      </c>
      <c r="AC24">
        <v>107</v>
      </c>
    </row>
    <row r="25" spans="1:29" x14ac:dyDescent="0.25">
      <c r="A25">
        <v>24</v>
      </c>
      <c r="B25">
        <v>1</v>
      </c>
      <c r="C25">
        <v>2</v>
      </c>
      <c r="D25">
        <v>1</v>
      </c>
      <c r="E25">
        <v>9</v>
      </c>
      <c r="F25">
        <v>4</v>
      </c>
      <c r="G25">
        <v>2</v>
      </c>
      <c r="H25">
        <v>16</v>
      </c>
      <c r="I25">
        <v>0</v>
      </c>
      <c r="J25">
        <v>0</v>
      </c>
      <c r="K25">
        <v>0</v>
      </c>
      <c r="L25">
        <v>0</v>
      </c>
      <c r="M25">
        <v>3</v>
      </c>
      <c r="N25">
        <v>0</v>
      </c>
      <c r="O25">
        <v>5</v>
      </c>
      <c r="P25">
        <v>134</v>
      </c>
      <c r="Q25">
        <v>54</v>
      </c>
      <c r="R25">
        <v>109</v>
      </c>
      <c r="S25">
        <v>293</v>
      </c>
      <c r="T25">
        <v>202</v>
      </c>
      <c r="U25">
        <v>92</v>
      </c>
      <c r="V25">
        <v>284</v>
      </c>
      <c r="W25">
        <v>65</v>
      </c>
      <c r="X25">
        <v>26</v>
      </c>
      <c r="Y25">
        <v>18</v>
      </c>
      <c r="Z25">
        <v>81</v>
      </c>
      <c r="AA25">
        <v>58</v>
      </c>
      <c r="AB25">
        <v>43</v>
      </c>
      <c r="AC25">
        <v>109</v>
      </c>
    </row>
    <row r="26" spans="1:29" x14ac:dyDescent="0.25">
      <c r="A26">
        <v>25</v>
      </c>
      <c r="B26">
        <v>1</v>
      </c>
      <c r="C26">
        <v>1</v>
      </c>
      <c r="D26">
        <v>2</v>
      </c>
      <c r="E26">
        <v>15</v>
      </c>
      <c r="F26">
        <v>2</v>
      </c>
      <c r="G26">
        <v>4</v>
      </c>
      <c r="H26">
        <v>7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O26">
        <v>5</v>
      </c>
      <c r="P26">
        <v>141</v>
      </c>
      <c r="Q26">
        <v>45</v>
      </c>
      <c r="R26">
        <v>71</v>
      </c>
      <c r="S26">
        <v>171</v>
      </c>
      <c r="T26">
        <v>115</v>
      </c>
      <c r="U26">
        <v>100</v>
      </c>
      <c r="V26">
        <v>199</v>
      </c>
      <c r="W26">
        <v>46</v>
      </c>
      <c r="X26">
        <v>16</v>
      </c>
      <c r="Y26">
        <v>17</v>
      </c>
      <c r="Z26">
        <v>30</v>
      </c>
      <c r="AA26">
        <v>29</v>
      </c>
      <c r="AB26">
        <v>21</v>
      </c>
      <c r="AC26">
        <v>31</v>
      </c>
    </row>
    <row r="27" spans="1:29" x14ac:dyDescent="0.25">
      <c r="A27">
        <v>26</v>
      </c>
      <c r="B27">
        <v>3</v>
      </c>
      <c r="C27">
        <v>1</v>
      </c>
      <c r="D27">
        <v>1</v>
      </c>
      <c r="E27">
        <v>20</v>
      </c>
      <c r="F27">
        <v>9</v>
      </c>
      <c r="G27">
        <v>3</v>
      </c>
      <c r="H27">
        <v>5</v>
      </c>
      <c r="I27">
        <v>0</v>
      </c>
      <c r="J27">
        <v>0</v>
      </c>
      <c r="K27">
        <v>0</v>
      </c>
      <c r="L27">
        <v>1</v>
      </c>
      <c r="M27">
        <v>1</v>
      </c>
      <c r="N27">
        <v>2</v>
      </c>
      <c r="O27">
        <v>3</v>
      </c>
      <c r="P27">
        <v>81</v>
      </c>
      <c r="Q27">
        <v>100</v>
      </c>
      <c r="R27">
        <v>146</v>
      </c>
      <c r="S27">
        <v>345</v>
      </c>
      <c r="T27">
        <v>106</v>
      </c>
      <c r="U27">
        <v>299</v>
      </c>
      <c r="V27">
        <v>935</v>
      </c>
      <c r="W27">
        <v>26</v>
      </c>
      <c r="X27">
        <v>21</v>
      </c>
      <c r="Y27">
        <v>11</v>
      </c>
      <c r="Z27">
        <v>27</v>
      </c>
      <c r="AA27">
        <v>20</v>
      </c>
      <c r="AB27">
        <v>15</v>
      </c>
      <c r="AC27">
        <v>40</v>
      </c>
    </row>
    <row r="28" spans="1:29" x14ac:dyDescent="0.25">
      <c r="A28">
        <v>27</v>
      </c>
      <c r="B28">
        <v>1</v>
      </c>
      <c r="C28">
        <v>4</v>
      </c>
      <c r="E28">
        <v>8</v>
      </c>
      <c r="F28">
        <v>2</v>
      </c>
      <c r="G28">
        <v>1</v>
      </c>
      <c r="H28">
        <v>2</v>
      </c>
      <c r="I28">
        <v>1</v>
      </c>
      <c r="J28">
        <v>0</v>
      </c>
      <c r="K28">
        <v>0</v>
      </c>
      <c r="L28">
        <v>5</v>
      </c>
      <c r="M28">
        <v>0</v>
      </c>
      <c r="N28">
        <v>2</v>
      </c>
      <c r="O28">
        <v>5</v>
      </c>
      <c r="P28">
        <v>92</v>
      </c>
      <c r="Q28">
        <v>121</v>
      </c>
      <c r="R28">
        <v>222</v>
      </c>
      <c r="S28">
        <v>439</v>
      </c>
      <c r="T28">
        <v>116</v>
      </c>
      <c r="U28">
        <v>179</v>
      </c>
      <c r="V28">
        <v>670</v>
      </c>
      <c r="W28">
        <v>41</v>
      </c>
      <c r="X28">
        <v>10</v>
      </c>
      <c r="Y28">
        <v>8</v>
      </c>
      <c r="Z28">
        <v>18</v>
      </c>
      <c r="AA28">
        <v>28</v>
      </c>
      <c r="AB28">
        <v>6</v>
      </c>
      <c r="AC28">
        <v>37</v>
      </c>
    </row>
    <row r="29" spans="1:29" x14ac:dyDescent="0.25">
      <c r="A29">
        <v>28</v>
      </c>
      <c r="B29">
        <v>1</v>
      </c>
      <c r="C29">
        <v>2</v>
      </c>
      <c r="E29">
        <v>4</v>
      </c>
      <c r="F29">
        <v>1</v>
      </c>
      <c r="H29">
        <v>4</v>
      </c>
      <c r="I29">
        <v>0</v>
      </c>
      <c r="J29">
        <v>0</v>
      </c>
      <c r="K29">
        <v>0</v>
      </c>
      <c r="L29">
        <v>1</v>
      </c>
      <c r="M29">
        <v>0</v>
      </c>
      <c r="N29">
        <v>0</v>
      </c>
      <c r="O29">
        <v>3</v>
      </c>
      <c r="P29">
        <v>67</v>
      </c>
      <c r="Q29">
        <v>47</v>
      </c>
      <c r="R29">
        <v>108</v>
      </c>
      <c r="S29">
        <v>126</v>
      </c>
      <c r="T29">
        <v>62</v>
      </c>
      <c r="U29">
        <v>42</v>
      </c>
      <c r="V29">
        <v>203</v>
      </c>
      <c r="W29">
        <v>33</v>
      </c>
      <c r="X29">
        <v>7</v>
      </c>
      <c r="Y29">
        <v>5</v>
      </c>
      <c r="Z29">
        <v>21</v>
      </c>
      <c r="AA29">
        <v>14</v>
      </c>
      <c r="AB29">
        <v>8</v>
      </c>
      <c r="AC29">
        <v>35</v>
      </c>
    </row>
    <row r="30" spans="1:29" x14ac:dyDescent="0.25">
      <c r="A30">
        <v>29</v>
      </c>
      <c r="B30">
        <v>1</v>
      </c>
      <c r="C30">
        <v>3</v>
      </c>
      <c r="F30">
        <v>1</v>
      </c>
      <c r="G30">
        <v>1</v>
      </c>
      <c r="H30">
        <v>3</v>
      </c>
      <c r="I30">
        <v>0</v>
      </c>
      <c r="J30">
        <v>0</v>
      </c>
      <c r="K30">
        <v>0</v>
      </c>
      <c r="L30">
        <v>0</v>
      </c>
      <c r="M30">
        <v>2</v>
      </c>
      <c r="N30">
        <v>1</v>
      </c>
      <c r="O30">
        <v>1</v>
      </c>
      <c r="P30">
        <v>39</v>
      </c>
      <c r="Q30">
        <v>14</v>
      </c>
      <c r="R30">
        <v>35</v>
      </c>
      <c r="S30">
        <v>63</v>
      </c>
      <c r="T30">
        <v>47</v>
      </c>
      <c r="U30">
        <v>18</v>
      </c>
      <c r="V30">
        <v>75</v>
      </c>
      <c r="W30">
        <v>35</v>
      </c>
      <c r="X30">
        <v>4</v>
      </c>
      <c r="Y30">
        <v>14</v>
      </c>
      <c r="Z30">
        <v>25</v>
      </c>
      <c r="AA30">
        <v>20</v>
      </c>
      <c r="AB30">
        <v>15</v>
      </c>
      <c r="AC30">
        <v>39</v>
      </c>
    </row>
    <row r="31" spans="1:29" x14ac:dyDescent="0.25">
      <c r="A31">
        <v>30</v>
      </c>
      <c r="B31">
        <v>1</v>
      </c>
      <c r="E31">
        <v>3</v>
      </c>
      <c r="F31">
        <v>3</v>
      </c>
      <c r="G31">
        <v>2</v>
      </c>
      <c r="H31">
        <v>6</v>
      </c>
      <c r="I31">
        <v>0</v>
      </c>
      <c r="J31">
        <v>0</v>
      </c>
      <c r="K31">
        <v>0</v>
      </c>
      <c r="L31">
        <v>1</v>
      </c>
      <c r="M31">
        <v>1</v>
      </c>
      <c r="N31">
        <v>0</v>
      </c>
      <c r="O31">
        <v>5</v>
      </c>
      <c r="P31">
        <v>53</v>
      </c>
      <c r="Q31">
        <v>30</v>
      </c>
      <c r="R31">
        <v>30</v>
      </c>
      <c r="S31">
        <v>114</v>
      </c>
      <c r="T31">
        <v>80</v>
      </c>
      <c r="U31">
        <v>45</v>
      </c>
      <c r="V31">
        <v>75</v>
      </c>
      <c r="W31">
        <v>65</v>
      </c>
      <c r="X31">
        <v>22</v>
      </c>
      <c r="Y31">
        <v>16</v>
      </c>
      <c r="Z31">
        <v>47</v>
      </c>
      <c r="AA31">
        <v>28</v>
      </c>
      <c r="AB31">
        <v>19</v>
      </c>
      <c r="AC31">
        <v>83</v>
      </c>
    </row>
    <row r="32" spans="1:29" x14ac:dyDescent="0.25">
      <c r="A32">
        <v>31</v>
      </c>
      <c r="B32">
        <v>1</v>
      </c>
      <c r="D32">
        <v>2</v>
      </c>
      <c r="E32">
        <v>6</v>
      </c>
      <c r="F32">
        <v>6</v>
      </c>
      <c r="G32">
        <v>2</v>
      </c>
      <c r="H32">
        <v>13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17</v>
      </c>
      <c r="P32">
        <v>89</v>
      </c>
      <c r="Q32">
        <v>32</v>
      </c>
      <c r="R32">
        <v>56</v>
      </c>
      <c r="S32">
        <v>130</v>
      </c>
      <c r="T32">
        <v>111</v>
      </c>
      <c r="U32">
        <v>50</v>
      </c>
      <c r="V32">
        <v>136</v>
      </c>
      <c r="W32">
        <v>60</v>
      </c>
      <c r="X32">
        <v>11</v>
      </c>
      <c r="Y32">
        <v>27</v>
      </c>
      <c r="Z32">
        <v>56</v>
      </c>
      <c r="AA32">
        <v>33</v>
      </c>
      <c r="AB32">
        <v>16</v>
      </c>
      <c r="AC32">
        <v>132</v>
      </c>
    </row>
    <row r="33" spans="1:29" x14ac:dyDescent="0.25">
      <c r="A33">
        <v>32</v>
      </c>
      <c r="D33">
        <v>1</v>
      </c>
      <c r="E33">
        <v>6</v>
      </c>
      <c r="F33">
        <v>4</v>
      </c>
      <c r="G33">
        <v>1</v>
      </c>
      <c r="H33">
        <v>14</v>
      </c>
      <c r="I33">
        <v>0</v>
      </c>
      <c r="J33">
        <v>0</v>
      </c>
      <c r="K33">
        <v>0</v>
      </c>
      <c r="L33">
        <v>2</v>
      </c>
      <c r="M33">
        <v>1</v>
      </c>
      <c r="N33">
        <v>2</v>
      </c>
      <c r="O33">
        <v>17</v>
      </c>
      <c r="P33">
        <v>228</v>
      </c>
      <c r="Q33">
        <v>77</v>
      </c>
      <c r="R33">
        <v>123</v>
      </c>
      <c r="S33">
        <v>227</v>
      </c>
      <c r="T33">
        <v>186</v>
      </c>
      <c r="U33">
        <v>90</v>
      </c>
      <c r="V33">
        <v>170</v>
      </c>
      <c r="W33">
        <v>53</v>
      </c>
      <c r="X33">
        <v>26</v>
      </c>
      <c r="Y33">
        <v>29</v>
      </c>
      <c r="Z33">
        <v>82</v>
      </c>
      <c r="AA33">
        <v>52</v>
      </c>
      <c r="AB33">
        <v>42</v>
      </c>
      <c r="AC33">
        <v>141</v>
      </c>
    </row>
    <row r="34" spans="1:29" x14ac:dyDescent="0.25">
      <c r="A34">
        <v>33</v>
      </c>
      <c r="B34">
        <v>2</v>
      </c>
      <c r="D34">
        <v>4</v>
      </c>
      <c r="E34">
        <v>3</v>
      </c>
      <c r="F34">
        <v>2</v>
      </c>
      <c r="G34">
        <v>2</v>
      </c>
      <c r="H34">
        <v>11</v>
      </c>
      <c r="I34">
        <v>1</v>
      </c>
      <c r="J34">
        <v>0</v>
      </c>
      <c r="K34">
        <v>0</v>
      </c>
      <c r="L34">
        <v>0</v>
      </c>
      <c r="M34">
        <v>0</v>
      </c>
      <c r="N34">
        <v>1</v>
      </c>
      <c r="O34">
        <v>6</v>
      </c>
      <c r="P34">
        <v>183</v>
      </c>
      <c r="Q34">
        <v>56</v>
      </c>
      <c r="R34">
        <v>73</v>
      </c>
      <c r="S34">
        <v>181</v>
      </c>
      <c r="T34">
        <v>165</v>
      </c>
      <c r="U34">
        <v>64</v>
      </c>
      <c r="V34">
        <v>164</v>
      </c>
      <c r="W34">
        <v>67</v>
      </c>
      <c r="X34">
        <v>13</v>
      </c>
      <c r="Y34">
        <v>35</v>
      </c>
      <c r="Z34">
        <v>85</v>
      </c>
      <c r="AA34">
        <v>58</v>
      </c>
      <c r="AB34">
        <v>16</v>
      </c>
      <c r="AC34">
        <v>145</v>
      </c>
    </row>
    <row r="35" spans="1:29" x14ac:dyDescent="0.25">
      <c r="A35">
        <v>34</v>
      </c>
      <c r="B35">
        <v>3</v>
      </c>
      <c r="E35">
        <v>4</v>
      </c>
      <c r="G35">
        <v>4</v>
      </c>
      <c r="H35">
        <v>7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8</v>
      </c>
      <c r="P35">
        <v>173</v>
      </c>
      <c r="Q35">
        <v>43</v>
      </c>
      <c r="R35">
        <v>109</v>
      </c>
      <c r="S35">
        <v>123</v>
      </c>
      <c r="T35">
        <v>154</v>
      </c>
      <c r="U35">
        <v>67</v>
      </c>
      <c r="V35">
        <v>267</v>
      </c>
      <c r="W35">
        <v>63</v>
      </c>
      <c r="X35">
        <v>12</v>
      </c>
      <c r="Y35">
        <v>26</v>
      </c>
      <c r="Z35">
        <v>77</v>
      </c>
      <c r="AA35">
        <v>71</v>
      </c>
      <c r="AB35">
        <v>38</v>
      </c>
      <c r="AC35">
        <v>134</v>
      </c>
    </row>
    <row r="36" spans="1:29" x14ac:dyDescent="0.25">
      <c r="A36">
        <v>35</v>
      </c>
      <c r="B36">
        <v>1</v>
      </c>
      <c r="D36">
        <v>4</v>
      </c>
      <c r="E36">
        <v>4</v>
      </c>
      <c r="F36">
        <v>5</v>
      </c>
      <c r="G36">
        <v>1</v>
      </c>
      <c r="H36">
        <v>7</v>
      </c>
      <c r="I36">
        <v>0</v>
      </c>
      <c r="J36">
        <v>0</v>
      </c>
      <c r="K36">
        <v>2</v>
      </c>
      <c r="L36">
        <v>0</v>
      </c>
      <c r="M36">
        <v>1</v>
      </c>
      <c r="N36">
        <v>0</v>
      </c>
      <c r="O36">
        <v>4</v>
      </c>
      <c r="P36">
        <v>152</v>
      </c>
      <c r="Q36">
        <v>55</v>
      </c>
      <c r="R36">
        <v>127</v>
      </c>
      <c r="S36">
        <v>207</v>
      </c>
      <c r="T36">
        <v>138</v>
      </c>
      <c r="U36">
        <v>58</v>
      </c>
      <c r="V36">
        <v>235</v>
      </c>
      <c r="W36">
        <v>39</v>
      </c>
      <c r="X36">
        <v>11</v>
      </c>
      <c r="Y36">
        <v>36</v>
      </c>
      <c r="Z36">
        <v>74</v>
      </c>
      <c r="AA36">
        <v>38</v>
      </c>
      <c r="AB36">
        <v>29</v>
      </c>
      <c r="AC36">
        <v>132</v>
      </c>
    </row>
    <row r="37" spans="1:29" x14ac:dyDescent="0.25">
      <c r="A37">
        <v>36</v>
      </c>
      <c r="B37">
        <v>1</v>
      </c>
      <c r="D37">
        <v>3</v>
      </c>
      <c r="E37">
        <v>1</v>
      </c>
      <c r="F37">
        <v>1</v>
      </c>
      <c r="G37">
        <v>3</v>
      </c>
      <c r="H37">
        <v>8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5</v>
      </c>
      <c r="P37">
        <v>134</v>
      </c>
      <c r="Q37">
        <v>34</v>
      </c>
      <c r="R37">
        <v>136</v>
      </c>
      <c r="S37">
        <v>157</v>
      </c>
      <c r="T37">
        <v>180</v>
      </c>
      <c r="U37">
        <v>65</v>
      </c>
      <c r="V37">
        <v>145</v>
      </c>
      <c r="W37">
        <v>62</v>
      </c>
      <c r="X37">
        <v>6</v>
      </c>
      <c r="Y37">
        <v>20</v>
      </c>
      <c r="Z37">
        <v>65</v>
      </c>
      <c r="AA37">
        <v>34</v>
      </c>
      <c r="AB37">
        <v>23</v>
      </c>
      <c r="AC37">
        <v>94</v>
      </c>
    </row>
    <row r="38" spans="1:29" x14ac:dyDescent="0.25">
      <c r="A38">
        <v>37</v>
      </c>
      <c r="B38">
        <v>2</v>
      </c>
      <c r="D38">
        <v>1</v>
      </c>
      <c r="E38">
        <v>3</v>
      </c>
      <c r="G38">
        <v>2</v>
      </c>
      <c r="H38">
        <v>8</v>
      </c>
      <c r="I38">
        <v>1</v>
      </c>
      <c r="J38">
        <v>0</v>
      </c>
      <c r="K38">
        <v>1</v>
      </c>
      <c r="L38">
        <v>0</v>
      </c>
      <c r="M38">
        <v>1</v>
      </c>
      <c r="N38">
        <v>0</v>
      </c>
      <c r="O38">
        <v>1</v>
      </c>
      <c r="P38">
        <v>172</v>
      </c>
      <c r="Q38">
        <v>59</v>
      </c>
      <c r="R38">
        <v>125</v>
      </c>
      <c r="S38">
        <v>227</v>
      </c>
      <c r="T38">
        <v>205</v>
      </c>
      <c r="U38">
        <v>112</v>
      </c>
      <c r="V38">
        <v>253</v>
      </c>
      <c r="W38">
        <v>67</v>
      </c>
      <c r="X38">
        <v>36</v>
      </c>
      <c r="Y38">
        <v>63</v>
      </c>
      <c r="Z38">
        <v>119</v>
      </c>
      <c r="AA38">
        <v>70</v>
      </c>
      <c r="AB38">
        <v>66</v>
      </c>
      <c r="AC38">
        <v>173</v>
      </c>
    </row>
    <row r="39" spans="1:29" x14ac:dyDescent="0.25">
      <c r="A39">
        <v>38</v>
      </c>
      <c r="B39">
        <v>2</v>
      </c>
      <c r="C39">
        <v>1</v>
      </c>
      <c r="D39">
        <v>1</v>
      </c>
      <c r="E39">
        <v>4</v>
      </c>
      <c r="F39">
        <v>3</v>
      </c>
      <c r="G39">
        <v>3</v>
      </c>
      <c r="H39">
        <v>7</v>
      </c>
      <c r="I39">
        <v>0</v>
      </c>
      <c r="J39">
        <v>0</v>
      </c>
      <c r="K39">
        <v>0</v>
      </c>
      <c r="L39">
        <v>2</v>
      </c>
      <c r="M39">
        <v>0</v>
      </c>
      <c r="N39">
        <v>2</v>
      </c>
      <c r="O39">
        <v>5</v>
      </c>
      <c r="P39">
        <v>135</v>
      </c>
      <c r="Q39">
        <v>48</v>
      </c>
      <c r="R39">
        <v>102</v>
      </c>
      <c r="S39">
        <v>204</v>
      </c>
      <c r="T39">
        <v>190</v>
      </c>
      <c r="U39">
        <v>94</v>
      </c>
      <c r="V39">
        <v>190</v>
      </c>
      <c r="W39">
        <v>29</v>
      </c>
      <c r="X39">
        <v>13</v>
      </c>
      <c r="Y39">
        <v>17</v>
      </c>
      <c r="Z39">
        <v>42</v>
      </c>
      <c r="AA39">
        <v>22</v>
      </c>
      <c r="AB39">
        <v>15</v>
      </c>
      <c r="AC39">
        <v>72</v>
      </c>
    </row>
    <row r="40" spans="1:29" x14ac:dyDescent="0.25">
      <c r="A40">
        <v>39</v>
      </c>
      <c r="B40">
        <v>2</v>
      </c>
      <c r="D40">
        <v>4</v>
      </c>
      <c r="E40">
        <v>3</v>
      </c>
      <c r="F40">
        <v>3</v>
      </c>
      <c r="G40">
        <v>3</v>
      </c>
      <c r="H40">
        <v>8</v>
      </c>
      <c r="I40">
        <v>0</v>
      </c>
      <c r="J40">
        <v>2</v>
      </c>
      <c r="K40">
        <v>0</v>
      </c>
      <c r="L40">
        <v>1</v>
      </c>
      <c r="M40">
        <v>0</v>
      </c>
      <c r="N40">
        <v>1</v>
      </c>
      <c r="O40">
        <v>6</v>
      </c>
      <c r="P40">
        <v>355</v>
      </c>
      <c r="Q40">
        <v>110</v>
      </c>
      <c r="R40">
        <v>266</v>
      </c>
      <c r="S40">
        <v>531</v>
      </c>
      <c r="T40">
        <v>479</v>
      </c>
      <c r="U40">
        <v>256</v>
      </c>
      <c r="V40">
        <v>867</v>
      </c>
      <c r="W40">
        <v>32</v>
      </c>
      <c r="X40">
        <v>10</v>
      </c>
      <c r="Y40">
        <v>33</v>
      </c>
      <c r="Z40">
        <v>45</v>
      </c>
      <c r="AA40">
        <v>27</v>
      </c>
      <c r="AB40">
        <v>19</v>
      </c>
      <c r="AC40">
        <v>51</v>
      </c>
    </row>
    <row r="41" spans="1:29" x14ac:dyDescent="0.25">
      <c r="A41">
        <v>40</v>
      </c>
      <c r="B41">
        <v>1</v>
      </c>
      <c r="D41">
        <v>4</v>
      </c>
      <c r="E41">
        <v>3</v>
      </c>
      <c r="F41">
        <v>3</v>
      </c>
      <c r="G41">
        <v>3</v>
      </c>
      <c r="H41">
        <v>10</v>
      </c>
      <c r="I41">
        <v>0</v>
      </c>
      <c r="J41">
        <v>0</v>
      </c>
      <c r="K41">
        <v>1</v>
      </c>
      <c r="L41">
        <v>1</v>
      </c>
      <c r="M41">
        <v>0</v>
      </c>
      <c r="N41">
        <v>0</v>
      </c>
      <c r="O41">
        <v>4</v>
      </c>
      <c r="P41">
        <v>193</v>
      </c>
      <c r="Q41">
        <v>54</v>
      </c>
      <c r="R41">
        <v>133</v>
      </c>
      <c r="S41">
        <v>318</v>
      </c>
      <c r="T41">
        <v>225</v>
      </c>
      <c r="U41">
        <v>123</v>
      </c>
      <c r="V41">
        <v>379</v>
      </c>
      <c r="W41">
        <v>25</v>
      </c>
      <c r="X41">
        <v>5</v>
      </c>
      <c r="Y41">
        <v>7</v>
      </c>
      <c r="Z41">
        <v>26</v>
      </c>
      <c r="AA41">
        <v>12</v>
      </c>
      <c r="AB41">
        <v>16</v>
      </c>
      <c r="AC41">
        <v>34</v>
      </c>
    </row>
    <row r="42" spans="1:29" x14ac:dyDescent="0.25">
      <c r="A42">
        <v>41</v>
      </c>
      <c r="B42">
        <v>1</v>
      </c>
      <c r="D42">
        <v>2</v>
      </c>
      <c r="E42">
        <v>2</v>
      </c>
      <c r="F42">
        <v>2</v>
      </c>
      <c r="H42">
        <v>1</v>
      </c>
      <c r="I42">
        <v>0</v>
      </c>
      <c r="J42">
        <v>0</v>
      </c>
      <c r="K42">
        <v>0</v>
      </c>
      <c r="L42">
        <v>2</v>
      </c>
      <c r="M42">
        <v>1</v>
      </c>
      <c r="N42">
        <v>0</v>
      </c>
      <c r="O42">
        <v>1</v>
      </c>
      <c r="P42">
        <v>205</v>
      </c>
      <c r="Q42">
        <v>94</v>
      </c>
      <c r="R42">
        <v>310</v>
      </c>
      <c r="S42">
        <v>474</v>
      </c>
      <c r="T42">
        <v>365</v>
      </c>
      <c r="U42">
        <v>156</v>
      </c>
      <c r="V42">
        <v>490</v>
      </c>
      <c r="W42">
        <v>24</v>
      </c>
      <c r="X42">
        <v>3</v>
      </c>
      <c r="Y42">
        <v>12</v>
      </c>
      <c r="Z42">
        <v>24</v>
      </c>
      <c r="AA42">
        <v>43</v>
      </c>
      <c r="AB42">
        <v>16</v>
      </c>
      <c r="AC42">
        <v>44</v>
      </c>
    </row>
    <row r="43" spans="1:29" x14ac:dyDescent="0.25">
      <c r="A43">
        <v>42</v>
      </c>
      <c r="B43">
        <v>3</v>
      </c>
      <c r="C43">
        <v>2</v>
      </c>
      <c r="D43">
        <v>3</v>
      </c>
      <c r="E43">
        <v>7</v>
      </c>
      <c r="F43">
        <v>3</v>
      </c>
      <c r="H43">
        <v>12</v>
      </c>
      <c r="I43">
        <v>0</v>
      </c>
      <c r="J43">
        <v>0</v>
      </c>
      <c r="K43">
        <v>0</v>
      </c>
      <c r="L43">
        <v>1</v>
      </c>
      <c r="M43">
        <v>0</v>
      </c>
      <c r="N43">
        <v>2</v>
      </c>
      <c r="O43">
        <v>3</v>
      </c>
      <c r="P43">
        <v>827</v>
      </c>
      <c r="Q43">
        <v>460</v>
      </c>
      <c r="R43">
        <v>1092</v>
      </c>
      <c r="S43">
        <v>1195</v>
      </c>
      <c r="T43">
        <v>1245</v>
      </c>
      <c r="U43">
        <v>583</v>
      </c>
      <c r="V43">
        <v>1735</v>
      </c>
      <c r="W43">
        <v>27</v>
      </c>
      <c r="X43">
        <v>14</v>
      </c>
      <c r="Y43">
        <v>23</v>
      </c>
      <c r="Z43">
        <v>31</v>
      </c>
      <c r="AA43">
        <v>31</v>
      </c>
      <c r="AB43">
        <v>17</v>
      </c>
      <c r="AC43">
        <v>36</v>
      </c>
    </row>
    <row r="44" spans="1:29" x14ac:dyDescent="0.25">
      <c r="A44">
        <v>43</v>
      </c>
      <c r="D44">
        <v>1</v>
      </c>
      <c r="E44">
        <v>3</v>
      </c>
      <c r="G44">
        <v>2</v>
      </c>
      <c r="H44">
        <v>5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3</v>
      </c>
      <c r="P44">
        <v>151</v>
      </c>
      <c r="Q44">
        <v>46</v>
      </c>
      <c r="R44">
        <v>71</v>
      </c>
      <c r="S44">
        <v>120</v>
      </c>
      <c r="T44">
        <v>96</v>
      </c>
      <c r="U44">
        <v>84</v>
      </c>
      <c r="V44">
        <v>106</v>
      </c>
      <c r="W44">
        <v>30</v>
      </c>
      <c r="X44">
        <v>9</v>
      </c>
      <c r="Y44">
        <v>8</v>
      </c>
      <c r="Z44">
        <v>16</v>
      </c>
      <c r="AA44">
        <v>25</v>
      </c>
      <c r="AB44">
        <v>9</v>
      </c>
      <c r="AC44">
        <v>18</v>
      </c>
    </row>
    <row r="45" spans="1:29" x14ac:dyDescent="0.25">
      <c r="A45">
        <v>44</v>
      </c>
      <c r="E45">
        <v>3</v>
      </c>
      <c r="G45">
        <v>2</v>
      </c>
      <c r="H45">
        <v>3</v>
      </c>
      <c r="I45">
        <v>1</v>
      </c>
      <c r="J45">
        <v>0</v>
      </c>
      <c r="K45">
        <v>1</v>
      </c>
      <c r="L45">
        <v>2</v>
      </c>
      <c r="M45">
        <v>0</v>
      </c>
      <c r="N45">
        <v>0</v>
      </c>
      <c r="O45">
        <v>4</v>
      </c>
      <c r="P45">
        <v>101</v>
      </c>
      <c r="Q45">
        <v>27</v>
      </c>
      <c r="R45">
        <v>75</v>
      </c>
      <c r="S45">
        <v>112</v>
      </c>
      <c r="T45">
        <v>67</v>
      </c>
      <c r="U45">
        <v>39</v>
      </c>
      <c r="V45">
        <v>137</v>
      </c>
      <c r="W45">
        <v>21</v>
      </c>
      <c r="X45">
        <v>9</v>
      </c>
      <c r="Y45">
        <v>17</v>
      </c>
      <c r="Z45">
        <v>18</v>
      </c>
      <c r="AA45">
        <v>24</v>
      </c>
      <c r="AB45">
        <v>5</v>
      </c>
      <c r="AC45">
        <v>35</v>
      </c>
    </row>
    <row r="46" spans="1:29" x14ac:dyDescent="0.25">
      <c r="A46">
        <v>45</v>
      </c>
      <c r="C46">
        <v>1</v>
      </c>
      <c r="D46">
        <v>1</v>
      </c>
      <c r="E46">
        <v>2</v>
      </c>
      <c r="F46">
        <v>1</v>
      </c>
      <c r="G46">
        <v>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4</v>
      </c>
      <c r="P46">
        <v>85</v>
      </c>
      <c r="Q46">
        <v>14</v>
      </c>
      <c r="R46">
        <v>24</v>
      </c>
      <c r="S46">
        <v>51</v>
      </c>
      <c r="T46">
        <v>44</v>
      </c>
      <c r="U46">
        <v>42</v>
      </c>
      <c r="V46">
        <v>68</v>
      </c>
      <c r="W46">
        <v>17</v>
      </c>
      <c r="X46">
        <v>2</v>
      </c>
      <c r="Y46">
        <v>2</v>
      </c>
      <c r="Z46">
        <v>20</v>
      </c>
      <c r="AA46">
        <v>27</v>
      </c>
      <c r="AB46">
        <v>1</v>
      </c>
      <c r="AC46">
        <v>31</v>
      </c>
    </row>
    <row r="47" spans="1:29" x14ac:dyDescent="0.25">
      <c r="A47">
        <v>46</v>
      </c>
      <c r="B47">
        <v>1</v>
      </c>
      <c r="E47">
        <v>1</v>
      </c>
      <c r="H47">
        <v>1</v>
      </c>
      <c r="I47">
        <v>0</v>
      </c>
      <c r="J47">
        <v>0</v>
      </c>
      <c r="K47">
        <v>0</v>
      </c>
      <c r="L47">
        <v>1</v>
      </c>
      <c r="M47">
        <v>0</v>
      </c>
      <c r="N47">
        <v>1</v>
      </c>
      <c r="O47">
        <v>0</v>
      </c>
      <c r="P47">
        <v>25</v>
      </c>
      <c r="Q47">
        <v>18</v>
      </c>
      <c r="R47">
        <v>26</v>
      </c>
      <c r="S47">
        <v>32</v>
      </c>
      <c r="T47">
        <v>21</v>
      </c>
      <c r="U47">
        <v>17</v>
      </c>
      <c r="V47">
        <v>52</v>
      </c>
      <c r="W47">
        <v>26</v>
      </c>
      <c r="X47">
        <v>6</v>
      </c>
      <c r="Y47">
        <v>6</v>
      </c>
      <c r="Z47">
        <v>14</v>
      </c>
      <c r="AA47">
        <v>21</v>
      </c>
      <c r="AB47">
        <v>8</v>
      </c>
      <c r="AC47">
        <v>28</v>
      </c>
    </row>
    <row r="48" spans="1:29" x14ac:dyDescent="0.25">
      <c r="A48">
        <v>47</v>
      </c>
      <c r="D48">
        <v>1</v>
      </c>
      <c r="G48">
        <v>1</v>
      </c>
      <c r="H48">
        <v>4</v>
      </c>
      <c r="I48">
        <v>0</v>
      </c>
      <c r="J48">
        <v>0</v>
      </c>
      <c r="K48">
        <v>0</v>
      </c>
      <c r="L48">
        <v>2</v>
      </c>
      <c r="M48">
        <v>0</v>
      </c>
      <c r="N48">
        <v>0</v>
      </c>
      <c r="O48">
        <v>1</v>
      </c>
      <c r="P48">
        <v>29</v>
      </c>
      <c r="Q48">
        <v>9</v>
      </c>
      <c r="R48">
        <v>13</v>
      </c>
      <c r="S48">
        <v>20</v>
      </c>
      <c r="T48">
        <v>27</v>
      </c>
      <c r="U48">
        <v>15</v>
      </c>
      <c r="V48">
        <v>52</v>
      </c>
      <c r="W48">
        <v>34</v>
      </c>
      <c r="X48">
        <v>11</v>
      </c>
      <c r="Y48">
        <v>40</v>
      </c>
      <c r="Z48">
        <v>57</v>
      </c>
      <c r="AA48">
        <v>56</v>
      </c>
      <c r="AB48">
        <v>33</v>
      </c>
      <c r="AC48">
        <v>87</v>
      </c>
    </row>
    <row r="49" spans="1:29" x14ac:dyDescent="0.25">
      <c r="A49">
        <v>48</v>
      </c>
      <c r="B49">
        <v>2</v>
      </c>
      <c r="E49">
        <v>5</v>
      </c>
      <c r="I49">
        <v>0</v>
      </c>
      <c r="J49">
        <v>0</v>
      </c>
      <c r="K49">
        <v>0</v>
      </c>
      <c r="L49">
        <v>1</v>
      </c>
      <c r="M49">
        <v>0</v>
      </c>
      <c r="N49">
        <v>1</v>
      </c>
      <c r="O49">
        <v>0</v>
      </c>
      <c r="P49">
        <v>36</v>
      </c>
      <c r="Q49">
        <v>5</v>
      </c>
      <c r="R49">
        <v>14</v>
      </c>
      <c r="S49">
        <v>35</v>
      </c>
      <c r="T49">
        <v>19</v>
      </c>
      <c r="U49">
        <v>13</v>
      </c>
      <c r="V49">
        <v>79</v>
      </c>
      <c r="W49">
        <v>23</v>
      </c>
      <c r="X49">
        <v>8</v>
      </c>
      <c r="Y49">
        <v>4</v>
      </c>
      <c r="Z49">
        <v>14</v>
      </c>
      <c r="AA49">
        <v>14</v>
      </c>
      <c r="AB49">
        <v>11</v>
      </c>
      <c r="AC49">
        <v>26</v>
      </c>
    </row>
    <row r="50" spans="1:29" x14ac:dyDescent="0.25">
      <c r="A50">
        <v>49</v>
      </c>
      <c r="E50">
        <v>2</v>
      </c>
      <c r="H50">
        <v>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25</v>
      </c>
      <c r="Q50">
        <v>10</v>
      </c>
      <c r="R50">
        <v>8</v>
      </c>
      <c r="S50">
        <v>21</v>
      </c>
      <c r="T50">
        <v>10</v>
      </c>
      <c r="U50">
        <v>6</v>
      </c>
      <c r="V50">
        <v>18</v>
      </c>
      <c r="W50">
        <v>38</v>
      </c>
      <c r="X50">
        <v>19</v>
      </c>
      <c r="Y50">
        <v>47</v>
      </c>
      <c r="Z50">
        <v>82</v>
      </c>
      <c r="AA50">
        <v>56</v>
      </c>
      <c r="AB50">
        <v>30</v>
      </c>
      <c r="AC50">
        <v>111</v>
      </c>
    </row>
    <row r="51" spans="1:29" x14ac:dyDescent="0.25">
      <c r="A51">
        <v>50</v>
      </c>
      <c r="C51">
        <v>2</v>
      </c>
      <c r="F51">
        <v>1</v>
      </c>
      <c r="G51">
        <v>1</v>
      </c>
      <c r="H51">
        <v>4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20</v>
      </c>
      <c r="Q51">
        <v>3</v>
      </c>
      <c r="R51">
        <v>12</v>
      </c>
      <c r="S51">
        <v>15</v>
      </c>
      <c r="T51">
        <v>20</v>
      </c>
      <c r="U51">
        <v>6</v>
      </c>
      <c r="V51">
        <v>24</v>
      </c>
      <c r="W51">
        <v>19</v>
      </c>
      <c r="X51">
        <v>8</v>
      </c>
      <c r="Y51">
        <v>7</v>
      </c>
      <c r="Z51">
        <v>6</v>
      </c>
      <c r="AA51">
        <v>13</v>
      </c>
      <c r="AB51">
        <v>2</v>
      </c>
      <c r="AC51">
        <v>14</v>
      </c>
    </row>
    <row r="52" spans="1:29" x14ac:dyDescent="0.25">
      <c r="A52">
        <v>51</v>
      </c>
      <c r="B52">
        <v>1</v>
      </c>
      <c r="E52">
        <v>2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1</v>
      </c>
      <c r="P52">
        <v>21</v>
      </c>
      <c r="Q52">
        <v>3</v>
      </c>
      <c r="R52">
        <v>19</v>
      </c>
      <c r="S52">
        <v>17</v>
      </c>
      <c r="T52">
        <v>26</v>
      </c>
      <c r="U52">
        <v>7</v>
      </c>
      <c r="V52">
        <v>25</v>
      </c>
      <c r="W52">
        <v>14</v>
      </c>
      <c r="X52">
        <v>5</v>
      </c>
      <c r="Y52">
        <v>9</v>
      </c>
      <c r="Z52">
        <v>7</v>
      </c>
      <c r="AA52">
        <v>8</v>
      </c>
      <c r="AB52">
        <v>3</v>
      </c>
      <c r="AC52">
        <v>15</v>
      </c>
    </row>
    <row r="53" spans="1:29" x14ac:dyDescent="0.25">
      <c r="A53">
        <v>52</v>
      </c>
      <c r="F53">
        <v>1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11</v>
      </c>
      <c r="Q53">
        <v>3</v>
      </c>
      <c r="R53">
        <v>11</v>
      </c>
      <c r="S53">
        <v>8</v>
      </c>
      <c r="T53">
        <v>7</v>
      </c>
      <c r="U53">
        <v>5</v>
      </c>
      <c r="V53">
        <v>9</v>
      </c>
      <c r="W53">
        <v>21</v>
      </c>
      <c r="X53">
        <v>4</v>
      </c>
      <c r="Y53">
        <v>1</v>
      </c>
      <c r="Z53">
        <v>8</v>
      </c>
      <c r="AA53">
        <v>5</v>
      </c>
      <c r="AB53">
        <v>2</v>
      </c>
      <c r="AC53">
        <v>16</v>
      </c>
    </row>
    <row r="54" spans="1:29" x14ac:dyDescent="0.25">
      <c r="A54">
        <v>53</v>
      </c>
      <c r="D54">
        <v>1</v>
      </c>
      <c r="G54">
        <v>1</v>
      </c>
      <c r="H54">
        <v>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12</v>
      </c>
      <c r="Q54">
        <v>5</v>
      </c>
      <c r="R54">
        <v>7</v>
      </c>
      <c r="S54">
        <v>12</v>
      </c>
      <c r="T54">
        <v>13</v>
      </c>
      <c r="U54">
        <v>3</v>
      </c>
      <c r="V54">
        <v>12</v>
      </c>
      <c r="W54">
        <v>13</v>
      </c>
      <c r="X54">
        <v>3</v>
      </c>
      <c r="Y54">
        <v>3</v>
      </c>
      <c r="Z54">
        <v>12</v>
      </c>
      <c r="AA54">
        <v>2</v>
      </c>
      <c r="AB54">
        <v>3</v>
      </c>
      <c r="AC54">
        <v>14</v>
      </c>
    </row>
    <row r="55" spans="1:29" x14ac:dyDescent="0.25">
      <c r="A55">
        <v>54</v>
      </c>
      <c r="C55">
        <v>1</v>
      </c>
      <c r="G55">
        <v>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9</v>
      </c>
      <c r="Q55">
        <v>4</v>
      </c>
      <c r="R55">
        <v>8</v>
      </c>
      <c r="S55">
        <v>14</v>
      </c>
      <c r="T55">
        <v>7</v>
      </c>
      <c r="U55">
        <v>8</v>
      </c>
      <c r="V55">
        <v>4</v>
      </c>
      <c r="W55">
        <v>29</v>
      </c>
      <c r="X55">
        <v>5</v>
      </c>
      <c r="Y55">
        <v>5</v>
      </c>
      <c r="Z55">
        <v>21</v>
      </c>
      <c r="AA55">
        <v>11</v>
      </c>
      <c r="AB55">
        <v>1</v>
      </c>
      <c r="AC55">
        <v>15</v>
      </c>
    </row>
    <row r="56" spans="1:29" x14ac:dyDescent="0.25">
      <c r="A56">
        <v>55</v>
      </c>
      <c r="B56">
        <v>1</v>
      </c>
      <c r="C56">
        <v>1</v>
      </c>
      <c r="E56">
        <v>1</v>
      </c>
      <c r="F56">
        <v>1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2</v>
      </c>
      <c r="P56">
        <v>15</v>
      </c>
      <c r="Q56">
        <v>3</v>
      </c>
      <c r="R56">
        <v>24</v>
      </c>
      <c r="S56">
        <v>13</v>
      </c>
      <c r="T56">
        <v>12</v>
      </c>
      <c r="U56">
        <v>4</v>
      </c>
      <c r="V56">
        <v>11</v>
      </c>
      <c r="W56">
        <v>17</v>
      </c>
      <c r="X56">
        <v>10</v>
      </c>
      <c r="Y56">
        <v>6</v>
      </c>
      <c r="Z56">
        <v>19</v>
      </c>
      <c r="AA56">
        <v>9</v>
      </c>
      <c r="AB56">
        <v>5</v>
      </c>
      <c r="AC56">
        <v>19</v>
      </c>
    </row>
    <row r="57" spans="1:29" x14ac:dyDescent="0.25">
      <c r="A57">
        <v>56</v>
      </c>
      <c r="B57">
        <v>1</v>
      </c>
      <c r="H57">
        <v>2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5</v>
      </c>
      <c r="Q57">
        <v>3</v>
      </c>
      <c r="R57">
        <v>9</v>
      </c>
      <c r="S57">
        <v>14</v>
      </c>
      <c r="T57">
        <v>8</v>
      </c>
      <c r="U57">
        <v>13</v>
      </c>
      <c r="V57">
        <v>10</v>
      </c>
      <c r="W57">
        <v>15</v>
      </c>
      <c r="X57">
        <v>7</v>
      </c>
      <c r="Y57">
        <v>5</v>
      </c>
      <c r="Z57">
        <v>20</v>
      </c>
      <c r="AA57">
        <v>18</v>
      </c>
      <c r="AB57">
        <v>8</v>
      </c>
      <c r="AC57">
        <v>22</v>
      </c>
    </row>
    <row r="58" spans="1:29" x14ac:dyDescent="0.25">
      <c r="A58">
        <v>57</v>
      </c>
      <c r="B58">
        <v>1</v>
      </c>
      <c r="G58">
        <v>1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  <c r="O58">
        <v>0</v>
      </c>
      <c r="P58">
        <v>15</v>
      </c>
      <c r="Q58">
        <v>7</v>
      </c>
      <c r="R58">
        <v>7</v>
      </c>
      <c r="S58">
        <v>13</v>
      </c>
      <c r="T58">
        <v>19</v>
      </c>
      <c r="U58">
        <v>10</v>
      </c>
      <c r="V58">
        <v>15</v>
      </c>
      <c r="W58">
        <v>13</v>
      </c>
      <c r="X58">
        <v>4</v>
      </c>
      <c r="Y58">
        <v>6</v>
      </c>
      <c r="Z58">
        <v>9</v>
      </c>
      <c r="AA58">
        <v>11</v>
      </c>
      <c r="AB58">
        <v>10</v>
      </c>
      <c r="AC58">
        <v>16</v>
      </c>
    </row>
    <row r="59" spans="1:29" x14ac:dyDescent="0.25">
      <c r="A59">
        <v>58</v>
      </c>
      <c r="B59">
        <v>1</v>
      </c>
      <c r="D59">
        <v>1</v>
      </c>
      <c r="H59">
        <v>1</v>
      </c>
      <c r="I59">
        <v>0</v>
      </c>
      <c r="J59">
        <v>0</v>
      </c>
      <c r="K59">
        <v>0</v>
      </c>
      <c r="L59">
        <v>1</v>
      </c>
      <c r="M59">
        <v>0</v>
      </c>
      <c r="N59">
        <v>0</v>
      </c>
      <c r="O59">
        <v>2</v>
      </c>
      <c r="P59">
        <v>10</v>
      </c>
      <c r="Q59">
        <v>5</v>
      </c>
      <c r="R59">
        <v>16</v>
      </c>
      <c r="S59">
        <v>17</v>
      </c>
      <c r="T59">
        <v>8</v>
      </c>
      <c r="U59">
        <v>7</v>
      </c>
      <c r="V59">
        <v>11</v>
      </c>
      <c r="W59">
        <v>14</v>
      </c>
      <c r="X59">
        <v>1</v>
      </c>
      <c r="Y59">
        <v>10</v>
      </c>
      <c r="Z59">
        <v>6</v>
      </c>
      <c r="AA59">
        <v>7</v>
      </c>
      <c r="AB59">
        <v>2</v>
      </c>
      <c r="AC59">
        <v>18</v>
      </c>
    </row>
    <row r="60" spans="1:29" x14ac:dyDescent="0.25">
      <c r="A60">
        <v>59</v>
      </c>
      <c r="B60">
        <v>1</v>
      </c>
      <c r="F60">
        <v>1</v>
      </c>
      <c r="H60">
        <v>3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2</v>
      </c>
      <c r="P60">
        <v>8</v>
      </c>
      <c r="Q60">
        <v>4</v>
      </c>
      <c r="R60">
        <v>8</v>
      </c>
      <c r="S60">
        <v>24</v>
      </c>
      <c r="T60">
        <v>13</v>
      </c>
      <c r="U60">
        <v>9</v>
      </c>
      <c r="V60">
        <v>17</v>
      </c>
      <c r="W60">
        <v>17</v>
      </c>
      <c r="X60">
        <v>5</v>
      </c>
      <c r="Y60">
        <v>1</v>
      </c>
      <c r="Z60">
        <v>13</v>
      </c>
      <c r="AA60">
        <v>7</v>
      </c>
      <c r="AB60">
        <v>8</v>
      </c>
      <c r="AC60">
        <v>12</v>
      </c>
    </row>
    <row r="61" spans="1:29" x14ac:dyDescent="0.25">
      <c r="A61">
        <v>60</v>
      </c>
      <c r="G61">
        <v>1</v>
      </c>
      <c r="I61">
        <v>0</v>
      </c>
      <c r="J61">
        <v>0</v>
      </c>
      <c r="K61">
        <v>0</v>
      </c>
      <c r="L61">
        <v>0</v>
      </c>
      <c r="M61">
        <v>1</v>
      </c>
      <c r="N61">
        <v>1</v>
      </c>
      <c r="O61">
        <v>0</v>
      </c>
      <c r="P61">
        <v>18</v>
      </c>
      <c r="Q61">
        <v>4</v>
      </c>
      <c r="R61">
        <v>8</v>
      </c>
      <c r="S61">
        <v>35</v>
      </c>
      <c r="T61">
        <v>16</v>
      </c>
      <c r="U61">
        <v>8</v>
      </c>
      <c r="V61">
        <v>20</v>
      </c>
      <c r="W61">
        <v>8</v>
      </c>
      <c r="X61">
        <v>2</v>
      </c>
      <c r="Y61">
        <v>4</v>
      </c>
      <c r="Z61">
        <v>20</v>
      </c>
      <c r="AA61">
        <v>5</v>
      </c>
      <c r="AB61">
        <v>6</v>
      </c>
      <c r="AC61">
        <v>11</v>
      </c>
    </row>
    <row r="62" spans="1:29" x14ac:dyDescent="0.25">
      <c r="A62">
        <v>61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9</v>
      </c>
      <c r="Q62">
        <v>4</v>
      </c>
      <c r="R62">
        <v>4</v>
      </c>
      <c r="S62">
        <v>26</v>
      </c>
      <c r="T62">
        <v>16</v>
      </c>
      <c r="U62">
        <v>10</v>
      </c>
      <c r="V62">
        <v>14</v>
      </c>
      <c r="W62">
        <v>10</v>
      </c>
      <c r="X62">
        <v>3</v>
      </c>
      <c r="Y62">
        <v>5</v>
      </c>
      <c r="Z62">
        <v>13</v>
      </c>
      <c r="AA62">
        <v>4</v>
      </c>
      <c r="AB62">
        <v>13</v>
      </c>
      <c r="AC62">
        <v>11</v>
      </c>
    </row>
    <row r="63" spans="1:29" x14ac:dyDescent="0.25">
      <c r="A63">
        <v>62</v>
      </c>
      <c r="B63">
        <v>4</v>
      </c>
      <c r="F63">
        <v>1</v>
      </c>
      <c r="H63">
        <v>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4</v>
      </c>
      <c r="Q63">
        <v>3</v>
      </c>
      <c r="R63">
        <v>6</v>
      </c>
      <c r="S63">
        <v>11</v>
      </c>
      <c r="T63">
        <v>22</v>
      </c>
      <c r="U63">
        <v>5</v>
      </c>
      <c r="V63">
        <v>12</v>
      </c>
      <c r="W63">
        <v>9</v>
      </c>
      <c r="X63">
        <v>2</v>
      </c>
      <c r="Y63">
        <v>0</v>
      </c>
      <c r="Z63">
        <v>3</v>
      </c>
      <c r="AA63">
        <v>3</v>
      </c>
      <c r="AB63">
        <v>3</v>
      </c>
      <c r="AC63">
        <v>7</v>
      </c>
    </row>
    <row r="64" spans="1:29" x14ac:dyDescent="0.25">
      <c r="A64">
        <v>63</v>
      </c>
      <c r="I64">
        <v>0</v>
      </c>
      <c r="J64">
        <v>0</v>
      </c>
      <c r="K64">
        <v>0</v>
      </c>
      <c r="L64">
        <v>0</v>
      </c>
      <c r="M64">
        <v>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</row>
    <row r="65" spans="1:29" x14ac:dyDescent="0.25">
      <c r="A65">
        <v>64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</row>
    <row r="66" spans="1:29" x14ac:dyDescent="0.25">
      <c r="A66">
        <v>65</v>
      </c>
      <c r="D66">
        <v>2</v>
      </c>
      <c r="E66">
        <v>1</v>
      </c>
      <c r="G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0</v>
      </c>
      <c r="P66">
        <v>13</v>
      </c>
      <c r="Q66">
        <v>7</v>
      </c>
      <c r="R66">
        <v>8</v>
      </c>
      <c r="S66">
        <v>24</v>
      </c>
      <c r="T66">
        <v>18</v>
      </c>
      <c r="U66">
        <v>6</v>
      </c>
      <c r="V66">
        <v>20</v>
      </c>
      <c r="W66">
        <v>4</v>
      </c>
      <c r="X66">
        <v>0</v>
      </c>
      <c r="Y66">
        <v>3</v>
      </c>
      <c r="Z66">
        <v>6</v>
      </c>
      <c r="AA66">
        <v>10</v>
      </c>
      <c r="AB66">
        <v>0</v>
      </c>
      <c r="AC66">
        <v>8</v>
      </c>
    </row>
    <row r="67" spans="1:29" x14ac:dyDescent="0.25">
      <c r="A67">
        <v>66</v>
      </c>
      <c r="H67">
        <v>2</v>
      </c>
      <c r="I67">
        <v>0</v>
      </c>
      <c r="J67">
        <v>0</v>
      </c>
      <c r="K67">
        <v>0</v>
      </c>
      <c r="L67">
        <v>1</v>
      </c>
      <c r="M67">
        <v>0</v>
      </c>
      <c r="N67">
        <v>0</v>
      </c>
      <c r="O67">
        <v>0</v>
      </c>
      <c r="P67">
        <v>4</v>
      </c>
      <c r="Q67">
        <v>2</v>
      </c>
      <c r="R67">
        <v>8</v>
      </c>
      <c r="S67">
        <v>4</v>
      </c>
      <c r="T67">
        <v>11</v>
      </c>
      <c r="U67">
        <v>7</v>
      </c>
      <c r="V67">
        <v>15</v>
      </c>
      <c r="W67">
        <v>6</v>
      </c>
      <c r="X67">
        <v>3</v>
      </c>
      <c r="Y67">
        <v>2</v>
      </c>
      <c r="Z67">
        <v>4</v>
      </c>
      <c r="AA67">
        <v>4</v>
      </c>
      <c r="AB67">
        <v>2</v>
      </c>
      <c r="AC67">
        <v>5</v>
      </c>
    </row>
    <row r="68" spans="1:29" x14ac:dyDescent="0.25">
      <c r="A68">
        <v>67</v>
      </c>
      <c r="G68">
        <v>2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2</v>
      </c>
      <c r="Q68">
        <v>4</v>
      </c>
      <c r="R68">
        <v>5</v>
      </c>
      <c r="S68">
        <v>9</v>
      </c>
      <c r="T68">
        <v>13</v>
      </c>
      <c r="U68">
        <v>5</v>
      </c>
      <c r="V68">
        <v>12</v>
      </c>
      <c r="W68">
        <v>5</v>
      </c>
      <c r="X68">
        <v>0</v>
      </c>
      <c r="Y68">
        <v>3</v>
      </c>
      <c r="Z68">
        <v>6</v>
      </c>
      <c r="AA68">
        <v>6</v>
      </c>
      <c r="AB68">
        <v>0</v>
      </c>
      <c r="AC68">
        <v>8</v>
      </c>
    </row>
    <row r="69" spans="1:29" x14ac:dyDescent="0.25">
      <c r="A69">
        <v>68</v>
      </c>
      <c r="D69">
        <v>1</v>
      </c>
      <c r="F69">
        <v>1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3</v>
      </c>
      <c r="Q69">
        <v>1</v>
      </c>
      <c r="R69">
        <v>2</v>
      </c>
      <c r="S69">
        <v>18</v>
      </c>
      <c r="T69">
        <v>5</v>
      </c>
      <c r="U69">
        <v>1</v>
      </c>
      <c r="V69">
        <v>13</v>
      </c>
      <c r="W69">
        <v>2</v>
      </c>
      <c r="X69">
        <v>0</v>
      </c>
      <c r="Y69">
        <v>2</v>
      </c>
      <c r="Z69">
        <v>8</v>
      </c>
      <c r="AA69">
        <v>5</v>
      </c>
      <c r="AB69">
        <v>2</v>
      </c>
      <c r="AC69">
        <v>9</v>
      </c>
    </row>
    <row r="70" spans="1:29" x14ac:dyDescent="0.25">
      <c r="A70">
        <v>69</v>
      </c>
      <c r="F70">
        <v>1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1</v>
      </c>
      <c r="Q70">
        <v>1</v>
      </c>
      <c r="R70">
        <v>2</v>
      </c>
      <c r="S70">
        <v>16</v>
      </c>
      <c r="T70">
        <v>12</v>
      </c>
      <c r="U70">
        <v>5</v>
      </c>
      <c r="V70">
        <v>14</v>
      </c>
      <c r="W70">
        <v>5</v>
      </c>
      <c r="X70">
        <v>1</v>
      </c>
      <c r="Y70">
        <v>1</v>
      </c>
      <c r="Z70">
        <v>11</v>
      </c>
      <c r="AA70">
        <v>7</v>
      </c>
      <c r="AB70">
        <v>0</v>
      </c>
      <c r="AC70">
        <v>4</v>
      </c>
    </row>
    <row r="71" spans="1:29" x14ac:dyDescent="0.25">
      <c r="A71">
        <v>70</v>
      </c>
      <c r="D71">
        <v>1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9</v>
      </c>
      <c r="Q71">
        <v>3</v>
      </c>
      <c r="R71">
        <v>6</v>
      </c>
      <c r="S71">
        <v>12</v>
      </c>
      <c r="T71">
        <v>11</v>
      </c>
      <c r="U71">
        <v>1</v>
      </c>
      <c r="V71">
        <v>9</v>
      </c>
      <c r="W71">
        <v>5</v>
      </c>
      <c r="X71">
        <v>4</v>
      </c>
      <c r="Y71">
        <v>1</v>
      </c>
      <c r="Z71">
        <v>5</v>
      </c>
      <c r="AA71">
        <v>2</v>
      </c>
      <c r="AB71">
        <v>5</v>
      </c>
      <c r="AC71">
        <v>6</v>
      </c>
    </row>
    <row r="72" spans="1:29" x14ac:dyDescent="0.25">
      <c r="A72">
        <v>71</v>
      </c>
      <c r="C72">
        <v>1</v>
      </c>
      <c r="E7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</v>
      </c>
      <c r="P72">
        <v>5</v>
      </c>
      <c r="Q72">
        <v>2</v>
      </c>
      <c r="R72">
        <v>3</v>
      </c>
      <c r="S72">
        <v>7</v>
      </c>
      <c r="T72">
        <v>12</v>
      </c>
      <c r="U72">
        <v>4</v>
      </c>
      <c r="V72">
        <v>11</v>
      </c>
      <c r="W72">
        <v>5</v>
      </c>
      <c r="X72">
        <v>4</v>
      </c>
      <c r="Y72">
        <v>4</v>
      </c>
      <c r="Z72">
        <v>6</v>
      </c>
      <c r="AA72">
        <v>1</v>
      </c>
      <c r="AB72">
        <v>0</v>
      </c>
      <c r="AC72">
        <v>4</v>
      </c>
    </row>
    <row r="73" spans="1:29" x14ac:dyDescent="0.25">
      <c r="A73">
        <v>72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</row>
    <row r="74" spans="1:29" x14ac:dyDescent="0.25">
      <c r="A74">
        <v>74</v>
      </c>
      <c r="E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8</v>
      </c>
      <c r="Q74">
        <v>1</v>
      </c>
      <c r="R74">
        <v>8</v>
      </c>
      <c r="S74">
        <v>11</v>
      </c>
      <c r="T74">
        <v>14</v>
      </c>
      <c r="U74">
        <v>8</v>
      </c>
      <c r="V74">
        <v>9</v>
      </c>
      <c r="W74">
        <v>5</v>
      </c>
      <c r="X74">
        <v>1</v>
      </c>
      <c r="Y74">
        <v>5</v>
      </c>
      <c r="Z74">
        <v>4</v>
      </c>
      <c r="AA74">
        <v>1</v>
      </c>
      <c r="AB74">
        <v>0</v>
      </c>
      <c r="AC74">
        <v>7</v>
      </c>
    </row>
    <row r="75" spans="1:29" x14ac:dyDescent="0.25">
      <c r="A75">
        <v>75</v>
      </c>
      <c r="E75">
        <v>1</v>
      </c>
      <c r="F75">
        <v>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9</v>
      </c>
      <c r="Q75">
        <v>3</v>
      </c>
      <c r="R75">
        <v>5</v>
      </c>
      <c r="S75">
        <v>20</v>
      </c>
      <c r="T75">
        <v>18</v>
      </c>
      <c r="U75">
        <v>5</v>
      </c>
      <c r="V75">
        <v>14</v>
      </c>
      <c r="W75">
        <v>6</v>
      </c>
      <c r="X75">
        <v>0</v>
      </c>
      <c r="Y75">
        <v>6</v>
      </c>
      <c r="Z75">
        <v>7</v>
      </c>
      <c r="AA75">
        <v>2</v>
      </c>
      <c r="AB75">
        <v>3</v>
      </c>
      <c r="AC75">
        <v>15</v>
      </c>
    </row>
    <row r="76" spans="1:29" x14ac:dyDescent="0.25">
      <c r="A76">
        <v>76</v>
      </c>
      <c r="B76">
        <v>1</v>
      </c>
      <c r="E76">
        <v>1</v>
      </c>
      <c r="H76">
        <v>2</v>
      </c>
      <c r="I76">
        <v>1</v>
      </c>
      <c r="J76">
        <v>0</v>
      </c>
      <c r="K76">
        <v>0</v>
      </c>
      <c r="L76">
        <v>0</v>
      </c>
      <c r="M76">
        <v>0</v>
      </c>
      <c r="N76">
        <v>0</v>
      </c>
      <c r="O76">
        <v>1</v>
      </c>
      <c r="P76">
        <v>15</v>
      </c>
      <c r="Q76">
        <v>4</v>
      </c>
      <c r="R76">
        <v>7</v>
      </c>
      <c r="S76">
        <v>9</v>
      </c>
      <c r="T76">
        <v>43</v>
      </c>
      <c r="U76">
        <v>26</v>
      </c>
      <c r="V76">
        <v>20</v>
      </c>
      <c r="W76">
        <v>8</v>
      </c>
      <c r="X76">
        <v>0</v>
      </c>
      <c r="Y76">
        <v>1</v>
      </c>
      <c r="Z76">
        <v>6</v>
      </c>
      <c r="AA76">
        <v>15</v>
      </c>
      <c r="AB76">
        <v>5</v>
      </c>
      <c r="AC76">
        <v>11</v>
      </c>
    </row>
    <row r="77" spans="1:29" x14ac:dyDescent="0.25">
      <c r="A77">
        <v>77</v>
      </c>
      <c r="H77">
        <v>1</v>
      </c>
      <c r="I77">
        <v>0</v>
      </c>
      <c r="J77">
        <v>0</v>
      </c>
      <c r="K77">
        <v>0</v>
      </c>
      <c r="L77">
        <v>1</v>
      </c>
      <c r="M77">
        <v>0</v>
      </c>
      <c r="N77">
        <v>0</v>
      </c>
      <c r="O77">
        <v>0</v>
      </c>
      <c r="P77">
        <v>10</v>
      </c>
      <c r="Q77">
        <v>4</v>
      </c>
      <c r="R77">
        <v>4</v>
      </c>
      <c r="S77">
        <v>7</v>
      </c>
      <c r="T77">
        <v>17</v>
      </c>
      <c r="U77">
        <v>7</v>
      </c>
      <c r="V77">
        <v>20</v>
      </c>
      <c r="W77">
        <v>2</v>
      </c>
      <c r="X77">
        <v>1</v>
      </c>
      <c r="Y77">
        <v>5</v>
      </c>
      <c r="Z77">
        <v>4</v>
      </c>
      <c r="AA77">
        <v>0</v>
      </c>
      <c r="AB77">
        <v>2</v>
      </c>
      <c r="AC77">
        <v>12</v>
      </c>
    </row>
    <row r="78" spans="1:29" x14ac:dyDescent="0.25">
      <c r="A78">
        <v>78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</row>
    <row r="79" spans="1:29" x14ac:dyDescent="0.25">
      <c r="A79">
        <v>79</v>
      </c>
      <c r="H79">
        <v>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4</v>
      </c>
      <c r="Q79">
        <v>2</v>
      </c>
      <c r="R79">
        <v>5</v>
      </c>
      <c r="S79">
        <v>9</v>
      </c>
      <c r="T79">
        <v>5</v>
      </c>
      <c r="U79">
        <v>2</v>
      </c>
      <c r="V79">
        <v>11</v>
      </c>
      <c r="W79">
        <v>5</v>
      </c>
      <c r="X79">
        <v>0</v>
      </c>
      <c r="Y79">
        <v>1</v>
      </c>
      <c r="Z79">
        <v>5</v>
      </c>
      <c r="AA79">
        <v>3</v>
      </c>
      <c r="AB79">
        <v>0</v>
      </c>
      <c r="AC79">
        <v>6</v>
      </c>
    </row>
    <row r="80" spans="1:29" x14ac:dyDescent="0.25">
      <c r="A80">
        <v>80</v>
      </c>
      <c r="F80">
        <v>1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5</v>
      </c>
      <c r="Q80">
        <v>0</v>
      </c>
      <c r="R80">
        <v>6</v>
      </c>
      <c r="S80">
        <v>8</v>
      </c>
      <c r="T80">
        <v>13</v>
      </c>
      <c r="U80">
        <v>4</v>
      </c>
      <c r="V80">
        <v>13</v>
      </c>
      <c r="W80">
        <v>9</v>
      </c>
      <c r="X80">
        <v>1</v>
      </c>
      <c r="Y80">
        <v>2</v>
      </c>
      <c r="Z80">
        <v>0</v>
      </c>
      <c r="AA80">
        <v>6</v>
      </c>
      <c r="AB80">
        <v>3</v>
      </c>
      <c r="AC80">
        <v>13</v>
      </c>
    </row>
    <row r="81" spans="1:29" x14ac:dyDescent="0.25">
      <c r="A81">
        <v>81</v>
      </c>
      <c r="D81">
        <v>1</v>
      </c>
      <c r="F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1</v>
      </c>
      <c r="P81">
        <v>40</v>
      </c>
      <c r="Q81">
        <v>6</v>
      </c>
      <c r="R81">
        <v>5</v>
      </c>
      <c r="S81">
        <v>9</v>
      </c>
      <c r="T81">
        <v>18</v>
      </c>
      <c r="U81">
        <v>6</v>
      </c>
      <c r="V81">
        <v>20</v>
      </c>
      <c r="W81">
        <v>0</v>
      </c>
      <c r="X81">
        <v>0</v>
      </c>
      <c r="Y81">
        <v>0</v>
      </c>
      <c r="Z81">
        <v>1</v>
      </c>
      <c r="AA81">
        <v>1</v>
      </c>
      <c r="AB81">
        <v>0</v>
      </c>
      <c r="AC81">
        <v>2</v>
      </c>
    </row>
    <row r="82" spans="1:29" x14ac:dyDescent="0.25">
      <c r="A82">
        <v>82</v>
      </c>
      <c r="B82">
        <v>1</v>
      </c>
      <c r="E82">
        <v>2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5</v>
      </c>
      <c r="Q82">
        <v>2</v>
      </c>
      <c r="R82">
        <v>5</v>
      </c>
      <c r="S82">
        <v>6</v>
      </c>
      <c r="T82">
        <v>25</v>
      </c>
      <c r="U82">
        <v>2</v>
      </c>
      <c r="V82">
        <v>10</v>
      </c>
      <c r="W82">
        <v>1</v>
      </c>
      <c r="X82">
        <v>2</v>
      </c>
      <c r="Y82">
        <v>0</v>
      </c>
      <c r="Z82">
        <v>0</v>
      </c>
      <c r="AA82">
        <v>6</v>
      </c>
      <c r="AB82">
        <v>1</v>
      </c>
      <c r="AC82">
        <v>2</v>
      </c>
    </row>
    <row r="83" spans="1:29" x14ac:dyDescent="0.25">
      <c r="A83">
        <v>83</v>
      </c>
      <c r="E83">
        <v>1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6</v>
      </c>
      <c r="Q83">
        <v>0</v>
      </c>
      <c r="R83">
        <v>3</v>
      </c>
      <c r="S83">
        <v>2</v>
      </c>
      <c r="T83">
        <v>5</v>
      </c>
      <c r="U83">
        <v>1</v>
      </c>
      <c r="V83">
        <v>8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</row>
    <row r="84" spans="1:29" x14ac:dyDescent="0.25">
      <c r="A84">
        <v>84</v>
      </c>
      <c r="F84">
        <v>1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6</v>
      </c>
      <c r="Q84">
        <v>3</v>
      </c>
      <c r="R84">
        <v>5</v>
      </c>
      <c r="S84">
        <v>7</v>
      </c>
      <c r="T84">
        <v>5</v>
      </c>
      <c r="U84">
        <v>0</v>
      </c>
      <c r="V84">
        <v>11</v>
      </c>
      <c r="W84">
        <v>0</v>
      </c>
      <c r="X84">
        <v>0</v>
      </c>
      <c r="Y84">
        <v>0</v>
      </c>
      <c r="Z84">
        <v>1</v>
      </c>
      <c r="AA84">
        <v>1</v>
      </c>
      <c r="AB84">
        <v>2</v>
      </c>
      <c r="AC84">
        <v>3</v>
      </c>
    </row>
    <row r="85" spans="1:29" x14ac:dyDescent="0.25">
      <c r="A85">
        <v>85</v>
      </c>
      <c r="B85">
        <v>1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1</v>
      </c>
      <c r="P85">
        <v>5</v>
      </c>
      <c r="Q85">
        <v>1</v>
      </c>
      <c r="R85">
        <v>2</v>
      </c>
      <c r="S85">
        <v>2</v>
      </c>
      <c r="T85">
        <v>2</v>
      </c>
      <c r="U85">
        <v>2</v>
      </c>
      <c r="V85">
        <v>5</v>
      </c>
      <c r="W85">
        <v>0</v>
      </c>
      <c r="X85">
        <v>1</v>
      </c>
      <c r="Y85">
        <v>0</v>
      </c>
      <c r="Z85">
        <v>0</v>
      </c>
      <c r="AA85">
        <v>0</v>
      </c>
      <c r="AB85">
        <v>0</v>
      </c>
      <c r="AC85">
        <v>4</v>
      </c>
    </row>
    <row r="86" spans="1:29" x14ac:dyDescent="0.25">
      <c r="A86">
        <v>86</v>
      </c>
      <c r="E86">
        <v>1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9</v>
      </c>
      <c r="Q86">
        <v>1</v>
      </c>
      <c r="R86">
        <v>0</v>
      </c>
      <c r="S86">
        <v>2</v>
      </c>
      <c r="T86">
        <v>5</v>
      </c>
      <c r="U86">
        <v>1</v>
      </c>
      <c r="V86">
        <v>5</v>
      </c>
      <c r="W86">
        <v>1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</row>
    <row r="87" spans="1:29" x14ac:dyDescent="0.25">
      <c r="A87">
        <v>87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</row>
    <row r="88" spans="1:29" x14ac:dyDescent="0.25">
      <c r="A88">
        <v>88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</row>
    <row r="89" spans="1:29" x14ac:dyDescent="0.25">
      <c r="A89">
        <v>89</v>
      </c>
      <c r="F89">
        <v>1</v>
      </c>
      <c r="G89">
        <v>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8</v>
      </c>
      <c r="Q89">
        <v>3</v>
      </c>
      <c r="R89">
        <v>3</v>
      </c>
      <c r="S89">
        <v>2</v>
      </c>
      <c r="T89">
        <v>2</v>
      </c>
      <c r="U89">
        <v>3</v>
      </c>
      <c r="V89">
        <v>11</v>
      </c>
      <c r="W89">
        <v>3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</row>
    <row r="90" spans="1:29" x14ac:dyDescent="0.25">
      <c r="A90">
        <v>90</v>
      </c>
      <c r="C90">
        <v>1</v>
      </c>
      <c r="G90">
        <v>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</v>
      </c>
      <c r="Q90">
        <v>1</v>
      </c>
      <c r="R90">
        <v>4</v>
      </c>
      <c r="S90">
        <v>1</v>
      </c>
      <c r="T90">
        <v>3</v>
      </c>
      <c r="U90">
        <v>3</v>
      </c>
      <c r="V90">
        <v>5</v>
      </c>
      <c r="W90">
        <v>0</v>
      </c>
      <c r="X90">
        <v>2</v>
      </c>
      <c r="Y90">
        <v>2</v>
      </c>
      <c r="Z90">
        <v>0</v>
      </c>
      <c r="AA90">
        <v>1</v>
      </c>
      <c r="AB90">
        <v>0</v>
      </c>
      <c r="AC90">
        <v>1</v>
      </c>
    </row>
    <row r="91" spans="1:29" x14ac:dyDescent="0.25">
      <c r="A91">
        <v>91</v>
      </c>
      <c r="C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3</v>
      </c>
      <c r="Q91">
        <v>0</v>
      </c>
      <c r="R91">
        <v>0</v>
      </c>
      <c r="S91">
        <v>4</v>
      </c>
      <c r="T91">
        <v>1</v>
      </c>
      <c r="U91">
        <v>0</v>
      </c>
      <c r="V91">
        <v>7</v>
      </c>
      <c r="W91">
        <v>2</v>
      </c>
      <c r="X91">
        <v>0</v>
      </c>
      <c r="Y91">
        <v>1</v>
      </c>
      <c r="Z91">
        <v>0</v>
      </c>
      <c r="AA91">
        <v>2</v>
      </c>
      <c r="AB91">
        <v>1</v>
      </c>
      <c r="AC91">
        <v>2</v>
      </c>
    </row>
    <row r="92" spans="1:29" x14ac:dyDescent="0.25">
      <c r="A92">
        <v>92</v>
      </c>
      <c r="I92">
        <v>0</v>
      </c>
      <c r="J92">
        <v>0</v>
      </c>
      <c r="K92">
        <v>0</v>
      </c>
      <c r="L92">
        <v>1</v>
      </c>
      <c r="M92">
        <v>0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</row>
    <row r="93" spans="1:29" x14ac:dyDescent="0.25">
      <c r="A93">
        <v>93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1</v>
      </c>
      <c r="P93">
        <v>3</v>
      </c>
      <c r="Q93">
        <v>1</v>
      </c>
      <c r="R93">
        <v>0</v>
      </c>
      <c r="S93">
        <v>1</v>
      </c>
      <c r="T93">
        <v>2</v>
      </c>
      <c r="U93">
        <v>0</v>
      </c>
      <c r="V93">
        <v>4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</row>
    <row r="94" spans="1:29" x14ac:dyDescent="0.25">
      <c r="A94">
        <v>94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3</v>
      </c>
      <c r="AB94">
        <v>0</v>
      </c>
      <c r="AC94">
        <v>0</v>
      </c>
    </row>
    <row r="95" spans="1:29" x14ac:dyDescent="0.25">
      <c r="A95">
        <v>95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</row>
    <row r="96" spans="1:29" x14ac:dyDescent="0.25">
      <c r="A96">
        <v>96</v>
      </c>
      <c r="C96">
        <v>1</v>
      </c>
      <c r="D96">
        <v>1</v>
      </c>
      <c r="H96">
        <v>1</v>
      </c>
      <c r="I96">
        <v>0</v>
      </c>
      <c r="J96">
        <v>0</v>
      </c>
      <c r="K96">
        <v>0</v>
      </c>
      <c r="L96">
        <v>0</v>
      </c>
      <c r="M96">
        <v>0</v>
      </c>
      <c r="N96">
        <v>1</v>
      </c>
      <c r="O96">
        <v>0</v>
      </c>
      <c r="P96">
        <v>4</v>
      </c>
      <c r="Q96">
        <v>0</v>
      </c>
      <c r="R96">
        <v>2</v>
      </c>
      <c r="S96">
        <v>2</v>
      </c>
      <c r="T96">
        <v>0</v>
      </c>
      <c r="U96">
        <v>0</v>
      </c>
      <c r="V96">
        <v>3</v>
      </c>
      <c r="W96">
        <v>0</v>
      </c>
      <c r="X96">
        <v>2</v>
      </c>
      <c r="Y96">
        <v>0</v>
      </c>
      <c r="Z96">
        <v>0</v>
      </c>
      <c r="AA96">
        <v>0</v>
      </c>
      <c r="AB96">
        <v>0</v>
      </c>
      <c r="AC96">
        <v>1</v>
      </c>
    </row>
    <row r="97" spans="1:29" x14ac:dyDescent="0.25">
      <c r="A97">
        <v>97</v>
      </c>
      <c r="B97">
        <v>1</v>
      </c>
      <c r="E97">
        <v>1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</v>
      </c>
      <c r="Q97">
        <v>0</v>
      </c>
      <c r="R97">
        <v>1</v>
      </c>
      <c r="S97">
        <v>2</v>
      </c>
      <c r="T97">
        <v>2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3</v>
      </c>
      <c r="AB97">
        <v>0</v>
      </c>
      <c r="AC97">
        <v>1</v>
      </c>
    </row>
    <row r="98" spans="1:29" x14ac:dyDescent="0.25">
      <c r="A98">
        <v>98</v>
      </c>
      <c r="H98">
        <v>1</v>
      </c>
      <c r="I98">
        <v>0</v>
      </c>
      <c r="J98">
        <v>0</v>
      </c>
      <c r="K98">
        <v>0</v>
      </c>
      <c r="L98">
        <v>0</v>
      </c>
      <c r="M98">
        <v>2</v>
      </c>
      <c r="N98">
        <v>1</v>
      </c>
      <c r="O98">
        <v>0</v>
      </c>
      <c r="P98">
        <v>3</v>
      </c>
      <c r="Q98">
        <v>0</v>
      </c>
      <c r="R98">
        <v>0</v>
      </c>
      <c r="S98">
        <v>4</v>
      </c>
      <c r="T98">
        <v>0</v>
      </c>
      <c r="U98">
        <v>2</v>
      </c>
      <c r="V98">
        <v>3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</row>
    <row r="99" spans="1:29" x14ac:dyDescent="0.25">
      <c r="A99">
        <v>99</v>
      </c>
      <c r="I99">
        <v>0</v>
      </c>
      <c r="J99">
        <v>0</v>
      </c>
      <c r="K99">
        <v>0</v>
      </c>
      <c r="L99">
        <v>0</v>
      </c>
      <c r="M99">
        <v>0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</row>
    <row r="100" spans="1:29" x14ac:dyDescent="0.25">
      <c r="A100">
        <v>100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EE553-15E9-41E7-A46C-45099EAEB0D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C101"/>
  <sheetViews>
    <sheetView workbookViewId="0">
      <selection activeCell="B3" sqref="B3"/>
    </sheetView>
  </sheetViews>
  <sheetFormatPr defaultColWidth="8.85546875" defaultRowHeight="15" x14ac:dyDescent="0.25"/>
  <cols>
    <col min="1" max="1" width="4.5703125" bestFit="1" customWidth="1"/>
    <col min="2" max="15" width="7.28515625" bestFit="1" customWidth="1"/>
    <col min="16" max="22" width="9.5703125" bestFit="1" customWidth="1"/>
    <col min="23" max="29" width="14.5703125" bestFit="1" customWidth="1"/>
  </cols>
  <sheetData>
    <row r="2" spans="1:29" x14ac:dyDescent="0.25">
      <c r="A2" t="s">
        <v>28</v>
      </c>
      <c r="B2" t="s">
        <v>3</v>
      </c>
      <c r="C2" t="s">
        <v>6</v>
      </c>
      <c r="D2" t="s">
        <v>5</v>
      </c>
      <c r="E2" t="s">
        <v>1</v>
      </c>
      <c r="F2" t="s">
        <v>4</v>
      </c>
      <c r="G2" t="s">
        <v>2</v>
      </c>
      <c r="H2" t="s">
        <v>0</v>
      </c>
      <c r="I2" t="s">
        <v>17</v>
      </c>
      <c r="J2" t="s">
        <v>20</v>
      </c>
      <c r="K2" t="s">
        <v>16</v>
      </c>
      <c r="L2" t="s">
        <v>18</v>
      </c>
      <c r="M2" t="s">
        <v>19</v>
      </c>
      <c r="N2" t="s">
        <v>14</v>
      </c>
      <c r="O2" t="s">
        <v>15</v>
      </c>
      <c r="P2" t="s">
        <v>23</v>
      </c>
      <c r="Q2" t="s">
        <v>22</v>
      </c>
      <c r="R2" t="s">
        <v>27</v>
      </c>
      <c r="S2" t="s">
        <v>25</v>
      </c>
      <c r="T2" t="s">
        <v>26</v>
      </c>
      <c r="U2" t="s">
        <v>24</v>
      </c>
      <c r="V2" t="s">
        <v>21</v>
      </c>
      <c r="W2" t="s">
        <v>10</v>
      </c>
      <c r="X2" t="s">
        <v>9</v>
      </c>
      <c r="Y2" t="s">
        <v>13</v>
      </c>
      <c r="Z2" t="s">
        <v>11</v>
      </c>
      <c r="AA2" t="s">
        <v>12</v>
      </c>
      <c r="AB2" t="s">
        <v>8</v>
      </c>
      <c r="AC2" t="s">
        <v>7</v>
      </c>
    </row>
    <row r="3" spans="1:29" x14ac:dyDescent="0.25">
      <c r="A3">
        <v>1</v>
      </c>
      <c r="B3" s="8">
        <v>8.06</v>
      </c>
      <c r="C3" s="8">
        <v>8.06</v>
      </c>
      <c r="D3" s="8">
        <v>8.06</v>
      </c>
      <c r="E3" s="8">
        <v>8.06</v>
      </c>
      <c r="F3" s="8">
        <v>8.09</v>
      </c>
      <c r="G3" s="8">
        <v>8.6300000000000008</v>
      </c>
      <c r="H3" s="8">
        <v>8.8000000000000007</v>
      </c>
      <c r="I3" s="8">
        <v>8.24</v>
      </c>
      <c r="J3" s="8">
        <v>8.24</v>
      </c>
      <c r="K3" s="8">
        <v>8.24</v>
      </c>
      <c r="L3" s="8">
        <v>8.24</v>
      </c>
      <c r="M3" s="8">
        <v>8.98</v>
      </c>
      <c r="N3" s="8">
        <v>9.8699999999999992</v>
      </c>
      <c r="O3" s="8">
        <v>10.7</v>
      </c>
      <c r="P3" s="8">
        <v>7.53</v>
      </c>
      <c r="Q3" s="8">
        <v>7.53</v>
      </c>
      <c r="R3" s="8">
        <v>7.53</v>
      </c>
      <c r="S3" s="8">
        <v>7.53</v>
      </c>
      <c r="T3" s="8">
        <v>7.53</v>
      </c>
      <c r="U3" s="8">
        <v>7.53</v>
      </c>
      <c r="V3" s="8">
        <v>7.53</v>
      </c>
      <c r="W3" s="8">
        <v>11.33</v>
      </c>
      <c r="X3" s="8">
        <v>11.33</v>
      </c>
      <c r="Y3" s="8">
        <v>13.02</v>
      </c>
      <c r="Z3" s="8">
        <v>14.4</v>
      </c>
      <c r="AA3" s="8">
        <v>15.16</v>
      </c>
      <c r="AB3" s="8">
        <v>17.22</v>
      </c>
      <c r="AC3" s="8">
        <v>17.690000000000001</v>
      </c>
    </row>
    <row r="4" spans="1:29" x14ac:dyDescent="0.25">
      <c r="A4">
        <v>2</v>
      </c>
      <c r="B4" s="8">
        <v>8.06</v>
      </c>
      <c r="C4" s="8">
        <v>8.06</v>
      </c>
      <c r="D4" s="8">
        <v>8.06</v>
      </c>
      <c r="E4" s="8">
        <v>8.06</v>
      </c>
      <c r="F4" s="8">
        <v>9.1</v>
      </c>
      <c r="G4" s="8">
        <v>10.09</v>
      </c>
      <c r="H4" s="8">
        <v>10.62</v>
      </c>
      <c r="I4" s="8">
        <v>8.24</v>
      </c>
      <c r="J4" s="8">
        <v>8.24</v>
      </c>
      <c r="K4" s="8">
        <v>8.24</v>
      </c>
      <c r="L4" s="8">
        <v>8.24</v>
      </c>
      <c r="M4" s="8">
        <v>9.93</v>
      </c>
      <c r="N4" s="8">
        <v>11.06</v>
      </c>
      <c r="O4" s="8">
        <v>12.58</v>
      </c>
      <c r="P4" s="8">
        <v>7.53</v>
      </c>
      <c r="Q4" s="8">
        <v>7.53</v>
      </c>
      <c r="R4" s="8">
        <v>7.53</v>
      </c>
      <c r="S4" s="8">
        <v>7.53</v>
      </c>
      <c r="T4" s="8">
        <v>7.53</v>
      </c>
      <c r="U4" s="8">
        <v>7.64</v>
      </c>
      <c r="V4" s="8">
        <v>7.78</v>
      </c>
      <c r="W4" s="8">
        <v>11.33</v>
      </c>
      <c r="X4" s="8">
        <v>11.33</v>
      </c>
      <c r="Y4" s="8">
        <v>14.23</v>
      </c>
      <c r="Z4" s="8">
        <v>15.46</v>
      </c>
      <c r="AA4" s="8">
        <v>15.93</v>
      </c>
      <c r="AB4" s="8">
        <v>17.93</v>
      </c>
      <c r="AC4" s="8">
        <v>19.77</v>
      </c>
    </row>
    <row r="5" spans="1:29" x14ac:dyDescent="0.25">
      <c r="A5">
        <v>3</v>
      </c>
      <c r="B5" s="8">
        <v>8.06</v>
      </c>
      <c r="C5" s="8">
        <v>8.06</v>
      </c>
      <c r="D5" s="8">
        <v>8.06</v>
      </c>
      <c r="E5" s="8">
        <v>8.06</v>
      </c>
      <c r="F5" s="8">
        <v>10.46</v>
      </c>
      <c r="G5" s="8">
        <v>11.7</v>
      </c>
      <c r="H5" s="8">
        <v>12.18</v>
      </c>
      <c r="I5" s="8">
        <v>8.24</v>
      </c>
      <c r="J5" s="8">
        <v>8.24</v>
      </c>
      <c r="K5" s="8">
        <v>8.24</v>
      </c>
      <c r="L5" s="8">
        <v>8.92</v>
      </c>
      <c r="M5" s="8">
        <v>11.58</v>
      </c>
      <c r="N5" s="8">
        <v>12.37</v>
      </c>
      <c r="O5" s="8">
        <v>14.35</v>
      </c>
      <c r="P5" s="8">
        <v>7.53</v>
      </c>
      <c r="Q5" s="8">
        <v>7.53</v>
      </c>
      <c r="R5" s="8">
        <v>7.53</v>
      </c>
      <c r="S5" s="8">
        <v>7.58</v>
      </c>
      <c r="T5" s="8">
        <v>7.89</v>
      </c>
      <c r="U5" s="8">
        <v>8.15</v>
      </c>
      <c r="V5" s="8">
        <v>8.56</v>
      </c>
      <c r="W5" s="8">
        <v>11.33</v>
      </c>
      <c r="X5" s="8">
        <v>11.33</v>
      </c>
      <c r="Y5" s="8">
        <v>15.76</v>
      </c>
      <c r="Z5" s="8">
        <v>17.670000000000002</v>
      </c>
      <c r="AA5" s="8">
        <v>19.010000000000002</v>
      </c>
      <c r="AB5" s="8">
        <v>20.87</v>
      </c>
      <c r="AC5" s="8">
        <v>21.61</v>
      </c>
    </row>
    <row r="6" spans="1:29" x14ac:dyDescent="0.25">
      <c r="A6">
        <v>4</v>
      </c>
      <c r="B6" s="8">
        <v>8.06</v>
      </c>
      <c r="C6" s="8">
        <v>8.06</v>
      </c>
      <c r="D6" s="8">
        <v>8.06</v>
      </c>
      <c r="E6" s="8">
        <v>9.33</v>
      </c>
      <c r="F6" s="8">
        <v>12.06</v>
      </c>
      <c r="G6" s="8">
        <v>13.33</v>
      </c>
      <c r="H6" s="8">
        <v>13.84</v>
      </c>
      <c r="I6" s="8">
        <v>8.24</v>
      </c>
      <c r="J6" s="8">
        <v>8.24</v>
      </c>
      <c r="K6" s="8">
        <v>8.24</v>
      </c>
      <c r="L6" s="8">
        <v>9.99</v>
      </c>
      <c r="M6" s="8">
        <v>12.23</v>
      </c>
      <c r="N6" s="8">
        <v>14.02</v>
      </c>
      <c r="O6" s="8">
        <v>15.89</v>
      </c>
      <c r="P6" s="8">
        <v>7.53</v>
      </c>
      <c r="Q6" s="8">
        <v>7.53</v>
      </c>
      <c r="R6" s="8">
        <v>7.53</v>
      </c>
      <c r="S6" s="8">
        <v>7.99</v>
      </c>
      <c r="T6" s="8">
        <v>8.2200000000000006</v>
      </c>
      <c r="U6" s="8">
        <v>8.76</v>
      </c>
      <c r="V6" s="8">
        <v>9.16</v>
      </c>
      <c r="W6" s="8">
        <v>11.33</v>
      </c>
      <c r="X6" s="8">
        <v>11.37</v>
      </c>
      <c r="Y6" s="8">
        <v>17.62</v>
      </c>
      <c r="Z6" s="8">
        <v>19.350000000000001</v>
      </c>
      <c r="AA6" s="8">
        <v>20.059999999999999</v>
      </c>
      <c r="AB6" s="8">
        <v>22.67</v>
      </c>
      <c r="AC6" s="8">
        <v>23.52</v>
      </c>
    </row>
    <row r="7" spans="1:29" x14ac:dyDescent="0.25">
      <c r="A7">
        <v>5</v>
      </c>
      <c r="B7" s="8">
        <v>8.06</v>
      </c>
      <c r="C7" s="8">
        <v>8.06</v>
      </c>
      <c r="D7" s="8">
        <v>8.06</v>
      </c>
      <c r="E7" s="8">
        <v>10.34</v>
      </c>
      <c r="F7" s="8">
        <v>13.47</v>
      </c>
      <c r="G7" s="8">
        <v>14.82</v>
      </c>
      <c r="H7" s="8">
        <v>15.71</v>
      </c>
      <c r="I7" s="8">
        <v>8.24</v>
      </c>
      <c r="J7" s="8">
        <v>8.24</v>
      </c>
      <c r="K7" s="8">
        <v>8.24</v>
      </c>
      <c r="L7" s="8">
        <v>10.92</v>
      </c>
      <c r="M7" s="8">
        <v>13.65</v>
      </c>
      <c r="N7" s="8">
        <v>15.5</v>
      </c>
      <c r="O7" s="8">
        <v>17.54</v>
      </c>
      <c r="P7" s="8">
        <v>7.53</v>
      </c>
      <c r="Q7" s="8">
        <v>7.53</v>
      </c>
      <c r="R7" s="8">
        <v>7.7</v>
      </c>
      <c r="S7" s="8">
        <v>8.35</v>
      </c>
      <c r="T7" s="8">
        <v>8.69</v>
      </c>
      <c r="U7" s="8">
        <v>9.16</v>
      </c>
      <c r="V7" s="8">
        <v>9.7100000000000009</v>
      </c>
      <c r="W7" s="8">
        <v>11.33</v>
      </c>
      <c r="X7" s="8">
        <v>11.43</v>
      </c>
      <c r="Y7" s="8">
        <v>17.989999999999998</v>
      </c>
      <c r="Z7" s="8">
        <v>19.53</v>
      </c>
      <c r="AA7" s="8">
        <v>20.239999999999998</v>
      </c>
      <c r="AB7" s="8">
        <v>22.96</v>
      </c>
      <c r="AC7" s="8">
        <v>23.62</v>
      </c>
    </row>
    <row r="8" spans="1:29" x14ac:dyDescent="0.25">
      <c r="A8">
        <v>6</v>
      </c>
      <c r="B8" s="8">
        <v>8.06</v>
      </c>
      <c r="C8" s="8">
        <v>8.06</v>
      </c>
      <c r="D8" s="8">
        <v>8.1199999999999992</v>
      </c>
      <c r="E8" s="8">
        <v>11.29</v>
      </c>
      <c r="F8" s="8">
        <v>14.94</v>
      </c>
      <c r="G8" s="8">
        <v>16.47</v>
      </c>
      <c r="H8" s="8">
        <v>17.2</v>
      </c>
      <c r="I8" s="8">
        <v>8.24</v>
      </c>
      <c r="J8" s="8">
        <v>8.24</v>
      </c>
      <c r="K8" s="8">
        <v>8.65</v>
      </c>
      <c r="L8" s="8">
        <v>11.93</v>
      </c>
      <c r="M8" s="8">
        <v>15.67</v>
      </c>
      <c r="N8" s="8">
        <v>17.2</v>
      </c>
      <c r="O8" s="8">
        <v>18.989999999999998</v>
      </c>
      <c r="P8" s="8">
        <v>7.53</v>
      </c>
      <c r="Q8" s="8">
        <v>7.53</v>
      </c>
      <c r="R8" s="8">
        <v>7.53</v>
      </c>
      <c r="S8" s="8">
        <v>8.07</v>
      </c>
      <c r="T8" s="8">
        <v>8.36</v>
      </c>
      <c r="U8" s="8">
        <v>8.82</v>
      </c>
      <c r="V8" s="8">
        <v>9.35</v>
      </c>
      <c r="W8" s="8">
        <v>11.33</v>
      </c>
      <c r="X8" s="8">
        <v>12.62</v>
      </c>
      <c r="Y8" s="8">
        <v>20.23</v>
      </c>
      <c r="Z8" s="8">
        <v>22.84</v>
      </c>
      <c r="AA8" s="8">
        <v>23.89</v>
      </c>
      <c r="AB8" s="8">
        <v>26.36</v>
      </c>
      <c r="AC8" s="8">
        <v>27.49</v>
      </c>
    </row>
    <row r="9" spans="1:29" x14ac:dyDescent="0.25">
      <c r="A9">
        <v>7</v>
      </c>
      <c r="B9" s="8">
        <v>8.06</v>
      </c>
      <c r="C9" s="8">
        <v>8.06</v>
      </c>
      <c r="D9" s="8">
        <v>8.8000000000000007</v>
      </c>
      <c r="E9" s="8">
        <v>12.34</v>
      </c>
      <c r="F9" s="8">
        <v>16.809999999999999</v>
      </c>
      <c r="G9" s="8">
        <v>18.21</v>
      </c>
      <c r="H9" s="8">
        <v>18.91</v>
      </c>
      <c r="I9" s="8">
        <v>8.24</v>
      </c>
      <c r="J9" s="8">
        <v>8.34</v>
      </c>
      <c r="K9" s="8">
        <v>9.39</v>
      </c>
      <c r="L9" s="8">
        <v>12.71</v>
      </c>
      <c r="M9" s="8">
        <v>16.97</v>
      </c>
      <c r="N9" s="8">
        <v>19.43</v>
      </c>
      <c r="O9" s="8">
        <v>20.89</v>
      </c>
      <c r="P9" s="8">
        <v>7.53</v>
      </c>
      <c r="Q9" s="8">
        <v>7.53</v>
      </c>
      <c r="R9" s="8">
        <v>7.67</v>
      </c>
      <c r="S9" s="8">
        <v>8.33</v>
      </c>
      <c r="T9" s="8">
        <v>8.52</v>
      </c>
      <c r="U9" s="8">
        <v>9.0500000000000007</v>
      </c>
      <c r="V9" s="8">
        <v>9.6999999999999993</v>
      </c>
      <c r="W9" s="8">
        <v>11.33</v>
      </c>
      <c r="X9" s="8">
        <v>13.27</v>
      </c>
      <c r="Y9" s="8">
        <v>21.14</v>
      </c>
      <c r="Z9" s="8">
        <v>23.96</v>
      </c>
      <c r="AA9" s="8">
        <v>24.87</v>
      </c>
      <c r="AB9" s="8">
        <v>27.51</v>
      </c>
      <c r="AC9" s="8">
        <v>29.37</v>
      </c>
    </row>
    <row r="10" spans="1:29" x14ac:dyDescent="0.25">
      <c r="A10">
        <v>8</v>
      </c>
      <c r="B10" s="8">
        <v>8.06</v>
      </c>
      <c r="C10" s="8">
        <v>8.06</v>
      </c>
      <c r="D10" s="8">
        <v>9.41</v>
      </c>
      <c r="E10" s="8">
        <v>13.46</v>
      </c>
      <c r="F10" s="8">
        <v>18.559999999999999</v>
      </c>
      <c r="G10" s="8">
        <v>20.059999999999999</v>
      </c>
      <c r="H10" s="8">
        <v>20.82</v>
      </c>
      <c r="I10" s="8">
        <v>8.24</v>
      </c>
      <c r="J10" s="8">
        <v>9.01</v>
      </c>
      <c r="K10" s="8">
        <v>10.14</v>
      </c>
      <c r="L10" s="8">
        <v>13.61</v>
      </c>
      <c r="M10" s="8">
        <v>18.23</v>
      </c>
      <c r="N10" s="8">
        <v>20.86</v>
      </c>
      <c r="O10" s="8">
        <v>22.75</v>
      </c>
      <c r="P10" s="8">
        <v>7.53</v>
      </c>
      <c r="Q10" s="8">
        <v>7.53</v>
      </c>
      <c r="R10" s="8">
        <v>7.94</v>
      </c>
      <c r="S10" s="8">
        <v>8.56</v>
      </c>
      <c r="T10" s="8">
        <v>8.86</v>
      </c>
      <c r="U10" s="8">
        <v>9.42</v>
      </c>
      <c r="V10" s="8">
        <v>10.11</v>
      </c>
      <c r="W10" s="8">
        <v>11.33</v>
      </c>
      <c r="X10" s="8">
        <v>13.34</v>
      </c>
      <c r="Y10" s="8">
        <v>21.94</v>
      </c>
      <c r="Z10" s="8">
        <v>24.89</v>
      </c>
      <c r="AA10" s="8">
        <v>26.04</v>
      </c>
      <c r="AB10" s="8">
        <v>29.13</v>
      </c>
      <c r="AC10" s="8">
        <v>30.28</v>
      </c>
    </row>
    <row r="11" spans="1:29" x14ac:dyDescent="0.25">
      <c r="A11">
        <v>9</v>
      </c>
      <c r="B11" s="8">
        <v>8.06</v>
      </c>
      <c r="C11" s="8">
        <v>8.1999999999999993</v>
      </c>
      <c r="D11" s="8">
        <v>10.17</v>
      </c>
      <c r="E11" s="8">
        <v>14.45</v>
      </c>
      <c r="F11" s="8">
        <v>20.16</v>
      </c>
      <c r="G11" s="8">
        <v>22</v>
      </c>
      <c r="H11" s="8">
        <v>22.82</v>
      </c>
      <c r="I11" s="8">
        <v>8.24</v>
      </c>
      <c r="J11" s="8">
        <v>9.42</v>
      </c>
      <c r="K11" s="8">
        <v>10.78</v>
      </c>
      <c r="L11" s="8">
        <v>13.87</v>
      </c>
      <c r="M11" s="8">
        <v>18.850000000000001</v>
      </c>
      <c r="N11" s="8">
        <v>22.2</v>
      </c>
      <c r="O11" s="8">
        <v>24.48</v>
      </c>
      <c r="P11" s="8">
        <v>7.53</v>
      </c>
      <c r="Q11" s="8">
        <v>7.53</v>
      </c>
      <c r="R11" s="8">
        <v>7.97</v>
      </c>
      <c r="S11" s="8">
        <v>8.64</v>
      </c>
      <c r="T11" s="8">
        <v>9.0500000000000007</v>
      </c>
      <c r="U11" s="8">
        <v>9.81</v>
      </c>
      <c r="V11" s="8">
        <v>10.65</v>
      </c>
      <c r="W11" s="8">
        <v>11.33</v>
      </c>
      <c r="X11" s="8">
        <v>13.44</v>
      </c>
      <c r="Y11" s="8">
        <v>22.84</v>
      </c>
      <c r="Z11" s="8">
        <v>24.99</v>
      </c>
      <c r="AA11" s="8">
        <v>26.16</v>
      </c>
      <c r="AB11" s="8">
        <v>29.3</v>
      </c>
      <c r="AC11" s="8">
        <v>30.38</v>
      </c>
    </row>
    <row r="12" spans="1:29" x14ac:dyDescent="0.25">
      <c r="A12">
        <v>10</v>
      </c>
      <c r="B12" s="8">
        <v>8.06</v>
      </c>
      <c r="C12" s="8">
        <v>8.74</v>
      </c>
      <c r="D12" s="8">
        <v>10.95</v>
      </c>
      <c r="E12" s="8">
        <v>15.44</v>
      </c>
      <c r="F12" s="8">
        <v>21.6</v>
      </c>
      <c r="G12" s="8">
        <v>23.93</v>
      </c>
      <c r="H12" s="8">
        <v>24.71</v>
      </c>
      <c r="I12" s="8">
        <v>8.24</v>
      </c>
      <c r="J12" s="8">
        <v>9.7100000000000009</v>
      </c>
      <c r="K12" s="8">
        <v>10.99</v>
      </c>
      <c r="L12" s="8">
        <v>14.73</v>
      </c>
      <c r="M12" s="8">
        <v>19.82</v>
      </c>
      <c r="N12" s="8">
        <v>23.9</v>
      </c>
      <c r="O12" s="8">
        <v>26.24</v>
      </c>
      <c r="P12" s="8">
        <v>7.53</v>
      </c>
      <c r="Q12" s="8">
        <v>7.53</v>
      </c>
      <c r="R12" s="8">
        <v>8.0500000000000007</v>
      </c>
      <c r="S12" s="8">
        <v>8.85</v>
      </c>
      <c r="T12" s="8">
        <v>9.15</v>
      </c>
      <c r="U12" s="8">
        <v>10.28</v>
      </c>
      <c r="V12" s="8">
        <v>11.35</v>
      </c>
      <c r="W12" s="8">
        <v>11.33</v>
      </c>
      <c r="X12" s="8">
        <v>13.61</v>
      </c>
      <c r="Y12" s="8">
        <v>23.09</v>
      </c>
      <c r="Z12" s="8">
        <v>25.21</v>
      </c>
      <c r="AA12" s="8">
        <v>26.52</v>
      </c>
      <c r="AB12" s="8">
        <v>29.58</v>
      </c>
      <c r="AC12" s="8">
        <v>30.64</v>
      </c>
    </row>
    <row r="13" spans="1:29" x14ac:dyDescent="0.25">
      <c r="A13">
        <v>11</v>
      </c>
      <c r="B13" s="8">
        <v>8.06</v>
      </c>
      <c r="C13" s="8">
        <v>9.2200000000000006</v>
      </c>
      <c r="D13" s="8">
        <v>11.46</v>
      </c>
      <c r="E13" s="8">
        <v>16.510000000000002</v>
      </c>
      <c r="F13" s="8">
        <v>23.27</v>
      </c>
      <c r="G13" s="8">
        <v>25.69</v>
      </c>
      <c r="H13" s="8">
        <v>26.75</v>
      </c>
      <c r="I13" s="8">
        <v>8.3000000000000007</v>
      </c>
      <c r="J13" s="8">
        <v>9.9700000000000006</v>
      </c>
      <c r="K13" s="8">
        <v>11.99</v>
      </c>
      <c r="L13" s="8">
        <v>15.42</v>
      </c>
      <c r="M13" s="8">
        <v>21.87</v>
      </c>
      <c r="N13" s="8">
        <v>25.17</v>
      </c>
      <c r="O13" s="8">
        <v>27.82</v>
      </c>
      <c r="P13" s="8">
        <v>7.53</v>
      </c>
      <c r="Q13" s="8">
        <v>7.53</v>
      </c>
      <c r="R13" s="8">
        <v>7.83</v>
      </c>
      <c r="S13" s="8">
        <v>8.52</v>
      </c>
      <c r="T13" s="8">
        <v>9.01</v>
      </c>
      <c r="U13" s="8">
        <v>10.62</v>
      </c>
      <c r="V13" s="8">
        <v>11.53</v>
      </c>
      <c r="W13" s="8">
        <v>11.37</v>
      </c>
      <c r="X13" s="8">
        <v>16.02</v>
      </c>
      <c r="Y13" s="8">
        <v>28.16</v>
      </c>
      <c r="Z13" s="8">
        <v>31.99</v>
      </c>
      <c r="AA13" s="8">
        <v>33.619999999999997</v>
      </c>
      <c r="AB13" s="8">
        <v>35.24</v>
      </c>
      <c r="AC13" s="8">
        <v>35.94</v>
      </c>
    </row>
    <row r="14" spans="1:29" x14ac:dyDescent="0.25">
      <c r="A14">
        <v>12</v>
      </c>
      <c r="B14" s="8">
        <v>8.08</v>
      </c>
      <c r="C14" s="8">
        <v>9.76</v>
      </c>
      <c r="D14" s="8">
        <v>12.09</v>
      </c>
      <c r="E14" s="8">
        <v>17.440000000000001</v>
      </c>
      <c r="F14" s="8">
        <v>25.07</v>
      </c>
      <c r="G14" s="8">
        <v>27.55</v>
      </c>
      <c r="H14" s="8">
        <v>28.31</v>
      </c>
      <c r="I14" s="8">
        <v>8.75</v>
      </c>
      <c r="J14" s="8">
        <v>10.96</v>
      </c>
      <c r="K14" s="8">
        <v>12.49</v>
      </c>
      <c r="L14" s="8">
        <v>16.989999999999998</v>
      </c>
      <c r="M14" s="8">
        <v>23.29</v>
      </c>
      <c r="N14" s="8">
        <v>26.4</v>
      </c>
      <c r="O14" s="8">
        <v>29.51</v>
      </c>
      <c r="P14" s="8">
        <v>7.53</v>
      </c>
      <c r="Q14" s="8">
        <v>7.53</v>
      </c>
      <c r="R14" s="8">
        <v>7.91</v>
      </c>
      <c r="S14" s="8">
        <v>8.6199999999999992</v>
      </c>
      <c r="T14" s="8">
        <v>9.33</v>
      </c>
      <c r="U14" s="8">
        <v>11.04</v>
      </c>
      <c r="V14" s="8">
        <v>12.07</v>
      </c>
      <c r="W14" s="8">
        <v>11.64</v>
      </c>
      <c r="X14" s="8">
        <v>16.55</v>
      </c>
      <c r="Y14" s="8">
        <v>28.8</v>
      </c>
      <c r="Z14" s="8">
        <v>33.49</v>
      </c>
      <c r="AA14" s="8">
        <v>35.15</v>
      </c>
      <c r="AB14" s="8">
        <v>35.97</v>
      </c>
      <c r="AC14" s="8">
        <v>36.700000000000003</v>
      </c>
    </row>
    <row r="15" spans="1:29" x14ac:dyDescent="0.25">
      <c r="A15">
        <v>13</v>
      </c>
      <c r="B15" s="8">
        <v>8.65</v>
      </c>
      <c r="C15" s="8">
        <v>10.27</v>
      </c>
      <c r="D15" s="8">
        <v>12.56</v>
      </c>
      <c r="E15" s="8">
        <v>18.489999999999998</v>
      </c>
      <c r="F15" s="8">
        <v>26.71</v>
      </c>
      <c r="G15" s="8">
        <v>28.89</v>
      </c>
      <c r="H15" s="8">
        <v>30.27</v>
      </c>
      <c r="I15" s="8">
        <v>9.25</v>
      </c>
      <c r="J15" s="8">
        <v>11.45</v>
      </c>
      <c r="K15" s="8">
        <v>12.7</v>
      </c>
      <c r="L15" s="8">
        <v>17.14</v>
      </c>
      <c r="M15" s="8">
        <v>23.65</v>
      </c>
      <c r="N15" s="8">
        <v>26.68</v>
      </c>
      <c r="O15" s="8">
        <v>31.36</v>
      </c>
      <c r="P15" s="8">
        <v>7.53</v>
      </c>
      <c r="Q15" s="8">
        <v>7.53</v>
      </c>
      <c r="R15" s="8">
        <v>8</v>
      </c>
      <c r="S15" s="8">
        <v>8.7899999999999991</v>
      </c>
      <c r="T15" s="8">
        <v>9.6199999999999992</v>
      </c>
      <c r="U15" s="8">
        <v>11.75</v>
      </c>
      <c r="V15" s="8">
        <v>12.65</v>
      </c>
      <c r="W15" s="8">
        <v>11.68</v>
      </c>
      <c r="X15" s="8">
        <v>16.71</v>
      </c>
      <c r="Y15" s="8">
        <v>29.36</v>
      </c>
      <c r="Z15" s="8">
        <v>34.58</v>
      </c>
      <c r="AA15" s="8">
        <v>35.299999999999997</v>
      </c>
      <c r="AB15" s="8">
        <v>39.17</v>
      </c>
      <c r="AC15" s="8">
        <v>39.96</v>
      </c>
    </row>
    <row r="16" spans="1:29" x14ac:dyDescent="0.25">
      <c r="A16">
        <v>14</v>
      </c>
      <c r="B16" s="8">
        <v>9.08</v>
      </c>
      <c r="C16" s="8">
        <v>10.8</v>
      </c>
      <c r="D16" s="8">
        <v>13.37</v>
      </c>
      <c r="E16" s="8">
        <v>19.55</v>
      </c>
      <c r="F16" s="8">
        <v>28.34</v>
      </c>
      <c r="G16" s="8">
        <v>30.36</v>
      </c>
      <c r="H16" s="8">
        <v>31.62</v>
      </c>
      <c r="I16" s="8">
        <v>9.4700000000000006</v>
      </c>
      <c r="J16" s="8">
        <v>12.2</v>
      </c>
      <c r="K16" s="8">
        <v>13.58</v>
      </c>
      <c r="L16" s="8">
        <v>17.899999999999999</v>
      </c>
      <c r="M16" s="8">
        <v>24.81</v>
      </c>
      <c r="N16" s="8">
        <v>28.02</v>
      </c>
      <c r="O16" s="8">
        <v>32.96</v>
      </c>
      <c r="P16" s="8">
        <v>7.53</v>
      </c>
      <c r="Q16" s="8">
        <v>7.69</v>
      </c>
      <c r="R16" s="8">
        <v>8.08</v>
      </c>
      <c r="S16" s="8">
        <v>9</v>
      </c>
      <c r="T16" s="8">
        <v>10.19</v>
      </c>
      <c r="U16" s="8">
        <v>12.54</v>
      </c>
      <c r="V16" s="8">
        <v>13.69</v>
      </c>
      <c r="W16" s="8">
        <v>11.92</v>
      </c>
      <c r="X16" s="8">
        <v>16.920000000000002</v>
      </c>
      <c r="Y16" s="8">
        <v>30.64</v>
      </c>
      <c r="Z16" s="8">
        <v>34.65</v>
      </c>
      <c r="AA16" s="8">
        <v>35.35</v>
      </c>
      <c r="AB16" s="8">
        <v>39.49</v>
      </c>
      <c r="AC16" s="8">
        <v>40.28</v>
      </c>
    </row>
    <row r="17" spans="1:29" x14ac:dyDescent="0.25">
      <c r="A17">
        <v>15</v>
      </c>
      <c r="B17" s="8">
        <v>9.42</v>
      </c>
      <c r="C17" s="8">
        <v>11.05</v>
      </c>
      <c r="D17" s="8">
        <v>14.02</v>
      </c>
      <c r="E17" s="8">
        <v>20.3</v>
      </c>
      <c r="F17" s="8">
        <v>29.84</v>
      </c>
      <c r="G17" s="8">
        <v>31.7</v>
      </c>
      <c r="H17" s="8">
        <v>33.049999999999997</v>
      </c>
      <c r="I17" s="8">
        <v>9.85</v>
      </c>
      <c r="J17" s="8">
        <v>12.26</v>
      </c>
      <c r="K17" s="8">
        <v>14.09</v>
      </c>
      <c r="L17" s="8">
        <v>18.27</v>
      </c>
      <c r="M17" s="8">
        <v>26.17</v>
      </c>
      <c r="N17" s="8">
        <v>30.71</v>
      </c>
      <c r="O17" s="8">
        <v>34.840000000000003</v>
      </c>
      <c r="P17" s="8">
        <v>7.53</v>
      </c>
      <c r="Q17" s="8">
        <v>7.86</v>
      </c>
      <c r="R17" s="8">
        <v>8.1999999999999993</v>
      </c>
      <c r="S17" s="8">
        <v>9.32</v>
      </c>
      <c r="T17" s="8">
        <v>10.75</v>
      </c>
      <c r="U17" s="8">
        <v>12.94</v>
      </c>
      <c r="V17" s="8">
        <v>14.33</v>
      </c>
      <c r="W17" s="8">
        <v>11.97</v>
      </c>
      <c r="X17" s="8">
        <v>17.02</v>
      </c>
      <c r="Y17" s="8">
        <v>31.09</v>
      </c>
      <c r="Z17" s="8">
        <v>34.869999999999997</v>
      </c>
      <c r="AA17" s="8">
        <v>35.57</v>
      </c>
      <c r="AB17" s="8">
        <v>39.69</v>
      </c>
      <c r="AC17" s="8">
        <v>40.49</v>
      </c>
    </row>
    <row r="18" spans="1:29" x14ac:dyDescent="0.25">
      <c r="A18">
        <v>16</v>
      </c>
      <c r="B18" s="8">
        <v>9.64</v>
      </c>
      <c r="C18" s="8">
        <v>11.41</v>
      </c>
      <c r="D18" s="8">
        <v>14.6</v>
      </c>
      <c r="E18" s="8">
        <v>20.97</v>
      </c>
      <c r="F18" s="8">
        <v>31.09</v>
      </c>
      <c r="G18" s="8">
        <v>33.33</v>
      </c>
      <c r="H18" s="8">
        <v>34.450000000000003</v>
      </c>
      <c r="I18" s="8">
        <v>10.09</v>
      </c>
      <c r="J18" s="8">
        <v>12.68</v>
      </c>
      <c r="K18" s="8">
        <v>14.62</v>
      </c>
      <c r="L18" s="8">
        <v>19.59</v>
      </c>
      <c r="M18" s="8">
        <v>27.28</v>
      </c>
      <c r="N18" s="8">
        <v>32.299999999999997</v>
      </c>
      <c r="O18" s="8">
        <v>36.28</v>
      </c>
      <c r="P18" s="8">
        <v>7.53</v>
      </c>
      <c r="Q18" s="8">
        <v>8.08</v>
      </c>
      <c r="R18" s="8">
        <v>8.35</v>
      </c>
      <c r="S18" s="8">
        <v>9.48</v>
      </c>
      <c r="T18" s="8">
        <v>11.1</v>
      </c>
      <c r="U18" s="8">
        <v>13.61</v>
      </c>
      <c r="V18" s="8">
        <v>14.96</v>
      </c>
      <c r="W18" s="8">
        <v>12.74</v>
      </c>
      <c r="X18" s="8">
        <v>19.059999999999999</v>
      </c>
      <c r="Y18" s="8">
        <v>33.369999999999997</v>
      </c>
      <c r="Z18" s="8">
        <v>38.97</v>
      </c>
      <c r="AA18" s="8">
        <v>39.99</v>
      </c>
      <c r="AB18" s="8">
        <v>43.71</v>
      </c>
      <c r="AC18" s="8">
        <v>44.58</v>
      </c>
    </row>
    <row r="19" spans="1:29" x14ac:dyDescent="0.25">
      <c r="A19">
        <v>17</v>
      </c>
      <c r="B19" s="8">
        <v>9.94</v>
      </c>
      <c r="C19" s="8">
        <v>11.76</v>
      </c>
      <c r="D19" s="8">
        <v>15.2</v>
      </c>
      <c r="E19" s="8">
        <v>21.97</v>
      </c>
      <c r="F19" s="8">
        <v>32.49</v>
      </c>
      <c r="G19" s="8">
        <v>35.11</v>
      </c>
      <c r="H19" s="8">
        <v>36.06</v>
      </c>
      <c r="I19" s="8">
        <v>10.11</v>
      </c>
      <c r="J19" s="8">
        <v>12.72</v>
      </c>
      <c r="K19" s="8">
        <v>15.19</v>
      </c>
      <c r="L19" s="8">
        <v>19.8</v>
      </c>
      <c r="M19" s="8">
        <v>28.28</v>
      </c>
      <c r="N19" s="8">
        <v>32.32</v>
      </c>
      <c r="O19" s="8">
        <v>37.96</v>
      </c>
      <c r="P19" s="8">
        <v>7.53</v>
      </c>
      <c r="Q19" s="8">
        <v>8.24</v>
      </c>
      <c r="R19" s="8">
        <v>8.44</v>
      </c>
      <c r="S19" s="8">
        <v>9.75</v>
      </c>
      <c r="T19" s="8">
        <v>11.56</v>
      </c>
      <c r="U19" s="8">
        <v>14.31</v>
      </c>
      <c r="V19" s="8">
        <v>15.04</v>
      </c>
      <c r="W19" s="8">
        <v>13.45</v>
      </c>
      <c r="X19" s="8">
        <v>19.260000000000002</v>
      </c>
      <c r="Y19" s="8">
        <v>35.229999999999997</v>
      </c>
      <c r="Z19" s="8">
        <v>39.54</v>
      </c>
      <c r="AA19" s="8">
        <v>40.450000000000003</v>
      </c>
      <c r="AB19" s="8">
        <v>44.11</v>
      </c>
      <c r="AC19" s="8">
        <v>45</v>
      </c>
    </row>
    <row r="20" spans="1:29" x14ac:dyDescent="0.25">
      <c r="A20">
        <v>18</v>
      </c>
      <c r="B20" s="8">
        <v>10.27</v>
      </c>
      <c r="C20" s="8">
        <v>12.15</v>
      </c>
      <c r="D20" s="8">
        <v>15.79</v>
      </c>
      <c r="E20" s="8">
        <v>22.73</v>
      </c>
      <c r="F20" s="8">
        <v>33.840000000000003</v>
      </c>
      <c r="G20" s="8">
        <v>36.659999999999997</v>
      </c>
      <c r="H20" s="8">
        <v>37.799999999999997</v>
      </c>
      <c r="I20" s="8">
        <v>10.51</v>
      </c>
      <c r="J20" s="8">
        <v>12.93</v>
      </c>
      <c r="K20" s="8">
        <v>15.74</v>
      </c>
      <c r="L20" s="8">
        <v>20.68</v>
      </c>
      <c r="M20" s="8">
        <v>29.36</v>
      </c>
      <c r="N20" s="8">
        <v>35.15</v>
      </c>
      <c r="O20" s="8">
        <v>39.24</v>
      </c>
      <c r="P20" s="8">
        <v>7.6</v>
      </c>
      <c r="Q20" s="8">
        <v>8.3699999999999992</v>
      </c>
      <c r="R20" s="8">
        <v>8.5299999999999994</v>
      </c>
      <c r="S20" s="8">
        <v>10.210000000000001</v>
      </c>
      <c r="T20" s="8">
        <v>12.17</v>
      </c>
      <c r="U20" s="8">
        <v>14.75</v>
      </c>
      <c r="V20" s="8">
        <v>16.22</v>
      </c>
      <c r="W20" s="8">
        <v>13.55</v>
      </c>
      <c r="X20" s="8">
        <v>19.37</v>
      </c>
      <c r="Y20" s="8">
        <v>35.450000000000003</v>
      </c>
      <c r="Z20" s="8">
        <v>39.590000000000003</v>
      </c>
      <c r="AA20" s="8">
        <v>40.5</v>
      </c>
      <c r="AB20" s="8">
        <v>44.15</v>
      </c>
      <c r="AC20" s="8">
        <v>45.04</v>
      </c>
    </row>
    <row r="21" spans="1:29" x14ac:dyDescent="0.25">
      <c r="A21">
        <v>19</v>
      </c>
      <c r="B21" s="8">
        <v>10.68</v>
      </c>
      <c r="C21" s="8">
        <v>12.48</v>
      </c>
      <c r="D21" s="8">
        <v>16.22</v>
      </c>
      <c r="E21" s="8">
        <v>23.66</v>
      </c>
      <c r="F21" s="8">
        <v>35.06</v>
      </c>
      <c r="G21" s="8">
        <v>38.340000000000003</v>
      </c>
      <c r="H21" s="8">
        <v>39.44</v>
      </c>
      <c r="I21" s="8">
        <v>10.76</v>
      </c>
      <c r="J21" s="8">
        <v>13.26</v>
      </c>
      <c r="K21" s="8">
        <v>16.27</v>
      </c>
      <c r="L21" s="8">
        <v>21.44</v>
      </c>
      <c r="M21" s="8">
        <v>30.3</v>
      </c>
      <c r="N21" s="8">
        <v>35.950000000000003</v>
      </c>
      <c r="O21" s="8">
        <v>40.630000000000003</v>
      </c>
      <c r="P21" s="8">
        <v>7.79</v>
      </c>
      <c r="Q21" s="8">
        <v>8.74</v>
      </c>
      <c r="R21" s="8">
        <v>8.9600000000000009</v>
      </c>
      <c r="S21" s="8">
        <v>10.66</v>
      </c>
      <c r="T21" s="8">
        <v>12.48</v>
      </c>
      <c r="U21" s="8">
        <v>15.15</v>
      </c>
      <c r="V21" s="8">
        <v>16.88</v>
      </c>
      <c r="W21" s="8">
        <v>13.64</v>
      </c>
      <c r="X21" s="8">
        <v>19.41</v>
      </c>
      <c r="Y21" s="8">
        <v>35.479999999999997</v>
      </c>
      <c r="Z21" s="8">
        <v>39.61</v>
      </c>
      <c r="AA21" s="8">
        <v>40.54</v>
      </c>
      <c r="AB21" s="8">
        <v>44.19</v>
      </c>
      <c r="AC21" s="8">
        <v>45.08</v>
      </c>
    </row>
    <row r="22" spans="1:29" x14ac:dyDescent="0.25">
      <c r="A22">
        <v>20</v>
      </c>
      <c r="B22" s="8">
        <v>11.05</v>
      </c>
      <c r="C22" s="8">
        <v>13.02</v>
      </c>
      <c r="D22" s="8">
        <v>16.850000000000001</v>
      </c>
      <c r="E22" s="8">
        <v>24.76</v>
      </c>
      <c r="F22" s="8">
        <v>36.299999999999997</v>
      </c>
      <c r="G22" s="8">
        <v>39.659999999999997</v>
      </c>
      <c r="H22" s="8">
        <v>40.9</v>
      </c>
      <c r="I22" s="8">
        <v>11.04</v>
      </c>
      <c r="J22" s="8">
        <v>13.52</v>
      </c>
      <c r="K22" s="8">
        <v>16.489999999999998</v>
      </c>
      <c r="L22" s="8">
        <v>22.28</v>
      </c>
      <c r="M22" s="8">
        <v>31.38</v>
      </c>
      <c r="N22" s="8">
        <v>36.049999999999997</v>
      </c>
      <c r="O22" s="8">
        <v>42.08</v>
      </c>
      <c r="P22" s="8">
        <v>7.84</v>
      </c>
      <c r="Q22" s="8">
        <v>8.82</v>
      </c>
      <c r="R22" s="8">
        <v>9</v>
      </c>
      <c r="S22" s="8">
        <v>11.08</v>
      </c>
      <c r="T22" s="8">
        <v>12.91</v>
      </c>
      <c r="U22" s="8">
        <v>15.7</v>
      </c>
      <c r="V22" s="8">
        <v>17.62</v>
      </c>
      <c r="W22" s="8">
        <v>13.71</v>
      </c>
      <c r="X22" s="8">
        <v>19.489999999999998</v>
      </c>
      <c r="Y22" s="8">
        <v>35.5</v>
      </c>
      <c r="Z22" s="8">
        <v>39.82</v>
      </c>
      <c r="AA22" s="8">
        <v>40.659999999999997</v>
      </c>
      <c r="AB22" s="8">
        <v>44.32</v>
      </c>
      <c r="AC22" s="8">
        <v>45.13</v>
      </c>
    </row>
    <row r="23" spans="1:29" x14ac:dyDescent="0.25">
      <c r="A23">
        <v>21</v>
      </c>
      <c r="B23" s="8">
        <v>11.56</v>
      </c>
      <c r="C23" s="8">
        <v>13.52</v>
      </c>
      <c r="D23" s="8">
        <v>17.48</v>
      </c>
      <c r="E23" s="8">
        <v>25.6</v>
      </c>
      <c r="F23" s="8">
        <v>36.44</v>
      </c>
      <c r="G23" s="8">
        <v>41.02</v>
      </c>
      <c r="H23" s="8">
        <v>42.31</v>
      </c>
      <c r="I23" s="8">
        <v>11.52</v>
      </c>
      <c r="J23" s="8">
        <v>14.68</v>
      </c>
      <c r="K23" s="8">
        <v>17.100000000000001</v>
      </c>
      <c r="L23" s="8">
        <v>23.1</v>
      </c>
      <c r="M23" s="8">
        <v>32.04</v>
      </c>
      <c r="N23" s="8">
        <v>38.5</v>
      </c>
      <c r="O23" s="8">
        <v>43.54</v>
      </c>
      <c r="P23" s="8">
        <v>7.79</v>
      </c>
      <c r="Q23" s="8">
        <v>8.7899999999999991</v>
      </c>
      <c r="R23" s="8">
        <v>9.1</v>
      </c>
      <c r="S23" s="8">
        <v>10.75</v>
      </c>
      <c r="T23" s="8">
        <v>12.85</v>
      </c>
      <c r="U23" s="8">
        <v>15.58</v>
      </c>
      <c r="V23" s="8">
        <v>17.41</v>
      </c>
      <c r="W23" s="8">
        <v>14.32</v>
      </c>
      <c r="X23" s="8">
        <v>20.38</v>
      </c>
      <c r="Y23" s="8">
        <v>38.630000000000003</v>
      </c>
      <c r="Z23" s="8">
        <v>40.99</v>
      </c>
      <c r="AA23" s="8">
        <v>43.15</v>
      </c>
      <c r="AB23" s="8">
        <v>46.76</v>
      </c>
      <c r="AC23" s="8">
        <v>49.56</v>
      </c>
    </row>
    <row r="24" spans="1:29" x14ac:dyDescent="0.25">
      <c r="A24">
        <v>22</v>
      </c>
      <c r="B24" s="8">
        <v>11.92</v>
      </c>
      <c r="C24" s="8">
        <v>14.17</v>
      </c>
      <c r="D24" s="8">
        <v>17.96</v>
      </c>
      <c r="E24" s="8">
        <v>26.32</v>
      </c>
      <c r="F24" s="8">
        <v>38.82</v>
      </c>
      <c r="G24" s="8">
        <v>42.59</v>
      </c>
      <c r="H24" s="8">
        <v>43.95</v>
      </c>
      <c r="I24" s="8">
        <v>11.86</v>
      </c>
      <c r="J24" s="8">
        <v>14.86</v>
      </c>
      <c r="K24" s="8">
        <v>17.53</v>
      </c>
      <c r="L24" s="8">
        <v>23.73</v>
      </c>
      <c r="M24" s="8">
        <v>33.5</v>
      </c>
      <c r="N24" s="8">
        <v>38.68</v>
      </c>
      <c r="O24" s="8">
        <v>45.14</v>
      </c>
      <c r="P24" s="8">
        <v>7.82</v>
      </c>
      <c r="Q24" s="8">
        <v>8.8699999999999992</v>
      </c>
      <c r="R24" s="8">
        <v>9.35</v>
      </c>
      <c r="S24" s="8">
        <v>11.12</v>
      </c>
      <c r="T24" s="8">
        <v>13.38</v>
      </c>
      <c r="U24" s="8">
        <v>16.16</v>
      </c>
      <c r="V24" s="8">
        <v>18.170000000000002</v>
      </c>
      <c r="W24" s="8">
        <v>14.97</v>
      </c>
      <c r="X24" s="8">
        <v>21.51</v>
      </c>
      <c r="Y24" s="8">
        <v>39.79</v>
      </c>
      <c r="Z24" s="8">
        <v>42.55</v>
      </c>
      <c r="AA24" s="8">
        <v>43.45</v>
      </c>
      <c r="AB24" s="8">
        <v>49.17</v>
      </c>
      <c r="AC24" s="8">
        <v>51.44</v>
      </c>
    </row>
    <row r="25" spans="1:29" x14ac:dyDescent="0.25">
      <c r="A25">
        <v>23</v>
      </c>
      <c r="B25" s="8">
        <v>12.21</v>
      </c>
      <c r="C25" s="8">
        <v>14.49</v>
      </c>
      <c r="D25" s="8">
        <v>18.61</v>
      </c>
      <c r="E25" s="8">
        <v>27.07</v>
      </c>
      <c r="F25" s="8">
        <v>40.22</v>
      </c>
      <c r="G25" s="8">
        <v>43.99</v>
      </c>
      <c r="H25" s="8">
        <v>45.45</v>
      </c>
      <c r="I25" s="8">
        <v>12.18</v>
      </c>
      <c r="J25" s="8">
        <v>15.24</v>
      </c>
      <c r="K25" s="8">
        <v>18.68</v>
      </c>
      <c r="L25" s="8">
        <v>24.32</v>
      </c>
      <c r="M25" s="8">
        <v>34.479999999999997</v>
      </c>
      <c r="N25" s="8">
        <v>41.86</v>
      </c>
      <c r="O25" s="8">
        <v>46.64</v>
      </c>
      <c r="P25" s="8">
        <v>7.85</v>
      </c>
      <c r="Q25" s="8">
        <v>9.0500000000000007</v>
      </c>
      <c r="R25" s="8">
        <v>9.6199999999999992</v>
      </c>
      <c r="S25" s="8">
        <v>11.33</v>
      </c>
      <c r="T25" s="8">
        <v>13.88</v>
      </c>
      <c r="U25" s="8">
        <v>16.55</v>
      </c>
      <c r="V25" s="8">
        <v>18.89</v>
      </c>
      <c r="W25" s="8">
        <v>15.05</v>
      </c>
      <c r="X25" s="8">
        <v>21.63</v>
      </c>
      <c r="Y25" s="8">
        <v>40.97</v>
      </c>
      <c r="Z25" s="8">
        <v>44.43</v>
      </c>
      <c r="AA25" s="8">
        <v>46.95</v>
      </c>
      <c r="AB25" s="8">
        <v>51.86</v>
      </c>
      <c r="AC25" s="8">
        <v>52.9</v>
      </c>
    </row>
    <row r="26" spans="1:29" x14ac:dyDescent="0.25">
      <c r="A26">
        <v>24</v>
      </c>
      <c r="B26" s="8">
        <v>12.49</v>
      </c>
      <c r="C26" s="8">
        <v>15.06</v>
      </c>
      <c r="D26" s="8">
        <v>19.2</v>
      </c>
      <c r="E26" s="8">
        <v>28.12</v>
      </c>
      <c r="F26" s="8">
        <v>41.69</v>
      </c>
      <c r="G26" s="8">
        <v>45.03</v>
      </c>
      <c r="H26" s="8">
        <v>45.93</v>
      </c>
      <c r="I26" s="8">
        <v>12.24</v>
      </c>
      <c r="J26" s="8">
        <v>15.65</v>
      </c>
      <c r="K26" s="8">
        <v>19.13</v>
      </c>
      <c r="L26" s="8">
        <v>25.19</v>
      </c>
      <c r="M26" s="8">
        <v>35.659999999999997</v>
      </c>
      <c r="N26" s="8">
        <v>42.18</v>
      </c>
      <c r="O26" s="8">
        <v>48.11</v>
      </c>
      <c r="P26" s="8">
        <v>8.06</v>
      </c>
      <c r="Q26" s="8">
        <v>9.41</v>
      </c>
      <c r="R26" s="8">
        <v>10.039999999999999</v>
      </c>
      <c r="S26" s="8">
        <v>11.93</v>
      </c>
      <c r="T26" s="8">
        <v>14.54</v>
      </c>
      <c r="U26" s="8">
        <v>17.100000000000001</v>
      </c>
      <c r="V26" s="8">
        <v>19.98</v>
      </c>
      <c r="W26" s="8">
        <v>15.45</v>
      </c>
      <c r="X26" s="8">
        <v>21.72</v>
      </c>
      <c r="Y26" s="8">
        <v>41.56</v>
      </c>
      <c r="Z26" s="8">
        <v>46.23</v>
      </c>
      <c r="AA26" s="8">
        <v>47.31</v>
      </c>
      <c r="AB26" s="8">
        <v>52.84</v>
      </c>
      <c r="AC26" s="8">
        <v>53.97</v>
      </c>
    </row>
    <row r="27" spans="1:29" x14ac:dyDescent="0.25">
      <c r="A27">
        <v>25</v>
      </c>
      <c r="B27" s="8">
        <v>12.9</v>
      </c>
      <c r="C27" s="8">
        <v>15.49</v>
      </c>
      <c r="D27" s="8">
        <v>19.559999999999999</v>
      </c>
      <c r="E27" s="8">
        <v>29.09</v>
      </c>
      <c r="F27" s="8">
        <v>43.04</v>
      </c>
      <c r="G27" s="8">
        <v>47.32</v>
      </c>
      <c r="H27" s="8">
        <v>49.3</v>
      </c>
      <c r="I27" s="8">
        <v>12.69</v>
      </c>
      <c r="J27" s="8">
        <v>15.92</v>
      </c>
      <c r="K27" s="8">
        <v>19.809999999999999</v>
      </c>
      <c r="L27" s="8">
        <v>26.07</v>
      </c>
      <c r="M27" s="8">
        <v>36.61</v>
      </c>
      <c r="N27" s="8">
        <v>44.79</v>
      </c>
      <c r="O27" s="8">
        <v>49.7</v>
      </c>
      <c r="P27" s="8">
        <v>8.08</v>
      </c>
      <c r="Q27" s="8">
        <v>9.4499999999999993</v>
      </c>
      <c r="R27" s="8">
        <v>10.09</v>
      </c>
      <c r="S27" s="8">
        <v>12.08</v>
      </c>
      <c r="T27" s="8">
        <v>14.97</v>
      </c>
      <c r="U27" s="8">
        <v>18.05</v>
      </c>
      <c r="V27" s="8">
        <v>20.59</v>
      </c>
      <c r="W27" s="8">
        <v>15.53</v>
      </c>
      <c r="X27" s="8">
        <v>21.81</v>
      </c>
      <c r="Y27" s="8">
        <v>42.98</v>
      </c>
      <c r="Z27" s="8">
        <v>46.41</v>
      </c>
      <c r="AA27" s="8">
        <v>48.23</v>
      </c>
      <c r="AB27" s="8">
        <v>53.05</v>
      </c>
      <c r="AC27" s="8">
        <v>54.1</v>
      </c>
    </row>
    <row r="28" spans="1:29" x14ac:dyDescent="0.25">
      <c r="A28">
        <v>26</v>
      </c>
      <c r="B28" s="8">
        <v>13.28</v>
      </c>
      <c r="C28" s="8">
        <v>15.92</v>
      </c>
      <c r="D28" s="8">
        <v>20.29</v>
      </c>
      <c r="E28" s="8">
        <v>30.04</v>
      </c>
      <c r="F28" s="8">
        <v>44.5</v>
      </c>
      <c r="G28" s="8">
        <v>48.95</v>
      </c>
      <c r="H28" s="8">
        <v>50.66</v>
      </c>
      <c r="I28" s="8">
        <v>13.54</v>
      </c>
      <c r="J28" s="8">
        <v>16.71</v>
      </c>
      <c r="K28" s="8">
        <v>20.43</v>
      </c>
      <c r="L28" s="8">
        <v>26.85</v>
      </c>
      <c r="M28" s="8">
        <v>37.71</v>
      </c>
      <c r="N28" s="8">
        <v>46.33</v>
      </c>
      <c r="O28" s="8">
        <v>51.19</v>
      </c>
      <c r="P28" s="8">
        <v>8.48</v>
      </c>
      <c r="Q28" s="8">
        <v>9.77</v>
      </c>
      <c r="R28" s="8">
        <v>10.51</v>
      </c>
      <c r="S28" s="8">
        <v>12.58</v>
      </c>
      <c r="T28" s="8">
        <v>15.51</v>
      </c>
      <c r="U28" s="8">
        <v>18.78</v>
      </c>
      <c r="V28" s="8">
        <v>21.44</v>
      </c>
      <c r="W28" s="8">
        <v>16.48</v>
      </c>
      <c r="X28" s="8">
        <v>23.54</v>
      </c>
      <c r="Y28" s="8">
        <v>45.47</v>
      </c>
      <c r="Z28" s="8">
        <v>49.61</v>
      </c>
      <c r="AA28" s="8">
        <v>52.05</v>
      </c>
      <c r="AB28" s="8">
        <v>54.37</v>
      </c>
      <c r="AC28" s="8">
        <v>56.8</v>
      </c>
    </row>
    <row r="29" spans="1:29" x14ac:dyDescent="0.25">
      <c r="A29">
        <v>27</v>
      </c>
      <c r="B29" s="8">
        <v>13.71</v>
      </c>
      <c r="C29" s="8">
        <v>16.38</v>
      </c>
      <c r="D29" s="8">
        <v>20.81</v>
      </c>
      <c r="E29" s="8">
        <v>31.1</v>
      </c>
      <c r="F29" s="8">
        <v>46.01</v>
      </c>
      <c r="G29" s="8">
        <v>50.59</v>
      </c>
      <c r="H29" s="8">
        <v>52.25</v>
      </c>
      <c r="I29" s="8">
        <v>13.96</v>
      </c>
      <c r="J29" s="8">
        <v>17.170000000000002</v>
      </c>
      <c r="K29" s="8">
        <v>21.18</v>
      </c>
      <c r="L29" s="8">
        <v>28.37</v>
      </c>
      <c r="M29" s="8">
        <v>39.200000000000003</v>
      </c>
      <c r="N29" s="8">
        <v>47.96</v>
      </c>
      <c r="O29" s="8">
        <v>52.94</v>
      </c>
      <c r="P29" s="8">
        <v>8.7100000000000009</v>
      </c>
      <c r="Q29" s="8">
        <v>10</v>
      </c>
      <c r="R29" s="8">
        <v>10.72</v>
      </c>
      <c r="S29" s="8">
        <v>12.78</v>
      </c>
      <c r="T29" s="8">
        <v>16.14</v>
      </c>
      <c r="U29" s="8">
        <v>19.13</v>
      </c>
      <c r="V29" s="8">
        <v>21.8</v>
      </c>
      <c r="W29" s="8">
        <v>16.54</v>
      </c>
      <c r="X29" s="8">
        <v>23.71</v>
      </c>
      <c r="Y29" s="8">
        <v>46.5</v>
      </c>
      <c r="Z29" s="8">
        <v>49.84</v>
      </c>
      <c r="AA29" s="8">
        <v>53.18</v>
      </c>
      <c r="AB29" s="8">
        <v>55.7</v>
      </c>
      <c r="AC29" s="8">
        <v>59.34</v>
      </c>
    </row>
    <row r="30" spans="1:29" x14ac:dyDescent="0.25">
      <c r="A30">
        <v>28</v>
      </c>
      <c r="B30" s="8">
        <v>14.15</v>
      </c>
      <c r="C30" s="8">
        <v>16.920000000000002</v>
      </c>
      <c r="D30" s="8">
        <v>21.28</v>
      </c>
      <c r="E30" s="8">
        <v>31.84</v>
      </c>
      <c r="F30" s="8">
        <v>47.19</v>
      </c>
      <c r="G30" s="8">
        <v>51.89</v>
      </c>
      <c r="H30" s="8">
        <v>53.51</v>
      </c>
      <c r="I30" s="8">
        <v>14.4</v>
      </c>
      <c r="J30" s="8">
        <v>17.36</v>
      </c>
      <c r="K30" s="8">
        <v>21.69</v>
      </c>
      <c r="L30" s="8">
        <v>28.43</v>
      </c>
      <c r="M30" s="8">
        <v>40.5</v>
      </c>
      <c r="N30" s="8">
        <v>49.4</v>
      </c>
      <c r="O30" s="8">
        <v>54.48</v>
      </c>
      <c r="P30" s="8">
        <v>8.91</v>
      </c>
      <c r="Q30" s="8">
        <v>10.24</v>
      </c>
      <c r="R30" s="8">
        <v>11.21</v>
      </c>
      <c r="S30" s="8">
        <v>13.6</v>
      </c>
      <c r="T30" s="8">
        <v>16.920000000000002</v>
      </c>
      <c r="U30" s="8">
        <v>19.989999999999998</v>
      </c>
      <c r="V30" s="8">
        <v>22.63</v>
      </c>
      <c r="W30" s="8">
        <v>16.89</v>
      </c>
      <c r="X30" s="8">
        <v>23.8</v>
      </c>
      <c r="Y30" s="8">
        <v>47.75</v>
      </c>
      <c r="Z30" s="8">
        <v>51.3</v>
      </c>
      <c r="AA30" s="8">
        <v>53.39</v>
      </c>
      <c r="AB30" s="8">
        <v>56.94</v>
      </c>
      <c r="AC30" s="8">
        <v>60.81</v>
      </c>
    </row>
    <row r="31" spans="1:29" x14ac:dyDescent="0.25">
      <c r="A31">
        <v>29</v>
      </c>
      <c r="B31" s="8">
        <v>14.51</v>
      </c>
      <c r="C31" s="8">
        <v>17.23</v>
      </c>
      <c r="D31" s="8">
        <v>21.91</v>
      </c>
      <c r="E31" s="8">
        <v>32.6</v>
      </c>
      <c r="F31" s="8">
        <v>48.46</v>
      </c>
      <c r="G31" s="8">
        <v>53.2</v>
      </c>
      <c r="H31" s="8">
        <v>55.1</v>
      </c>
      <c r="I31" s="8">
        <v>14.42</v>
      </c>
      <c r="J31" s="8">
        <v>17.43</v>
      </c>
      <c r="K31" s="8">
        <v>22.3</v>
      </c>
      <c r="L31" s="8">
        <v>29.15</v>
      </c>
      <c r="M31" s="8">
        <v>41.66</v>
      </c>
      <c r="N31" s="8">
        <v>50.89</v>
      </c>
      <c r="O31" s="8">
        <v>56.39</v>
      </c>
      <c r="P31" s="8">
        <v>8.93</v>
      </c>
      <c r="Q31" s="8">
        <v>10.43</v>
      </c>
      <c r="R31" s="8">
        <v>11.4</v>
      </c>
      <c r="S31" s="8">
        <v>13.63</v>
      </c>
      <c r="T31" s="8">
        <v>17.399999999999999</v>
      </c>
      <c r="U31" s="8">
        <v>20.440000000000001</v>
      </c>
      <c r="V31" s="8">
        <v>23.24</v>
      </c>
      <c r="W31" s="8">
        <v>16.98</v>
      </c>
      <c r="X31" s="8">
        <v>23.91</v>
      </c>
      <c r="Y31" s="8">
        <v>48.84</v>
      </c>
      <c r="Z31" s="8">
        <v>51.45</v>
      </c>
      <c r="AA31" s="8">
        <v>53.5</v>
      </c>
      <c r="AB31" s="8">
        <v>58.38</v>
      </c>
      <c r="AC31" s="8">
        <v>61.13</v>
      </c>
    </row>
    <row r="32" spans="1:29" x14ac:dyDescent="0.25">
      <c r="A32">
        <v>30</v>
      </c>
      <c r="B32" s="8">
        <v>14.57</v>
      </c>
      <c r="C32" s="8">
        <v>17.7</v>
      </c>
      <c r="D32" s="8">
        <v>22.67</v>
      </c>
      <c r="E32" s="8">
        <v>33.659999999999997</v>
      </c>
      <c r="F32" s="8">
        <v>49.79</v>
      </c>
      <c r="G32" s="8">
        <v>54.63</v>
      </c>
      <c r="H32" s="8">
        <v>56.5</v>
      </c>
      <c r="I32" s="8">
        <v>14.65</v>
      </c>
      <c r="J32" s="8">
        <v>17.690000000000001</v>
      </c>
      <c r="K32" s="8">
        <v>22.43</v>
      </c>
      <c r="L32" s="8">
        <v>30.07</v>
      </c>
      <c r="M32" s="8">
        <v>43.04</v>
      </c>
      <c r="N32" s="8">
        <v>50.92</v>
      </c>
      <c r="O32" s="8">
        <v>57.82</v>
      </c>
      <c r="P32" s="8">
        <v>9.08</v>
      </c>
      <c r="Q32" s="8">
        <v>10.69</v>
      </c>
      <c r="R32" s="8">
        <v>11.83</v>
      </c>
      <c r="S32" s="8">
        <v>14.17</v>
      </c>
      <c r="T32" s="8">
        <v>17.68</v>
      </c>
      <c r="U32" s="8">
        <v>20.55</v>
      </c>
      <c r="V32" s="8">
        <v>24.21</v>
      </c>
      <c r="W32" s="8">
        <v>17.05</v>
      </c>
      <c r="X32" s="8">
        <v>23.96</v>
      </c>
      <c r="Y32" s="8">
        <v>48.95</v>
      </c>
      <c r="Z32" s="8">
        <v>51.9</v>
      </c>
      <c r="AA32" s="8">
        <v>53.68</v>
      </c>
      <c r="AB32" s="8">
        <v>58.64</v>
      </c>
      <c r="AC32" s="8">
        <v>61.14</v>
      </c>
    </row>
    <row r="33" spans="1:29" x14ac:dyDescent="0.25">
      <c r="A33">
        <v>31</v>
      </c>
      <c r="B33" s="8">
        <v>14.63</v>
      </c>
      <c r="C33" s="8">
        <v>18.3</v>
      </c>
      <c r="D33" s="8">
        <v>23.28</v>
      </c>
      <c r="E33" s="8">
        <v>34.42</v>
      </c>
      <c r="F33" s="8">
        <v>50.92</v>
      </c>
      <c r="G33" s="8">
        <v>55.82</v>
      </c>
      <c r="H33" s="8">
        <v>58.01</v>
      </c>
      <c r="I33" s="8">
        <v>15.22</v>
      </c>
      <c r="J33" s="8">
        <v>19.2</v>
      </c>
      <c r="K33" s="8">
        <v>23.5</v>
      </c>
      <c r="L33" s="8">
        <v>31.47</v>
      </c>
      <c r="M33" s="8">
        <v>45.18</v>
      </c>
      <c r="N33" s="8">
        <v>53.78</v>
      </c>
      <c r="O33" s="8">
        <v>59.41</v>
      </c>
      <c r="P33" s="8">
        <v>9.02</v>
      </c>
      <c r="Q33" s="8">
        <v>10.47</v>
      </c>
      <c r="R33" s="8">
        <v>11.49</v>
      </c>
      <c r="S33" s="8">
        <v>13.66</v>
      </c>
      <c r="T33" s="8">
        <v>17.34</v>
      </c>
      <c r="U33" s="8">
        <v>20.41</v>
      </c>
      <c r="V33" s="8">
        <v>23.9</v>
      </c>
      <c r="W33" s="8">
        <v>17.739999999999998</v>
      </c>
      <c r="X33" s="8">
        <v>24.63</v>
      </c>
      <c r="Y33" s="8">
        <v>51.03</v>
      </c>
      <c r="Z33" s="8">
        <v>54.22</v>
      </c>
      <c r="AA33" s="8">
        <v>58.13</v>
      </c>
      <c r="AB33" s="8">
        <v>60.84</v>
      </c>
      <c r="AC33" s="8">
        <v>63.51</v>
      </c>
    </row>
    <row r="34" spans="1:29" x14ac:dyDescent="0.25">
      <c r="A34">
        <v>32</v>
      </c>
      <c r="B34" s="8">
        <v>14.69</v>
      </c>
      <c r="C34" s="8">
        <v>18.7</v>
      </c>
      <c r="D34" s="8">
        <v>23.95</v>
      </c>
      <c r="E34" s="8">
        <v>35.25</v>
      </c>
      <c r="F34" s="8">
        <v>52.42</v>
      </c>
      <c r="G34" s="8">
        <v>57.37</v>
      </c>
      <c r="H34" s="8">
        <v>59.41</v>
      </c>
      <c r="I34" s="8">
        <v>15.23</v>
      </c>
      <c r="J34" s="8">
        <v>19.239999999999998</v>
      </c>
      <c r="K34" s="8">
        <v>23.62</v>
      </c>
      <c r="L34" s="8">
        <v>31.55</v>
      </c>
      <c r="M34" s="8">
        <v>45.43</v>
      </c>
      <c r="N34" s="8">
        <v>53.79</v>
      </c>
      <c r="O34" s="8">
        <v>59.61</v>
      </c>
      <c r="P34" s="8">
        <v>9.0299999999999994</v>
      </c>
      <c r="Q34" s="8">
        <v>10.48</v>
      </c>
      <c r="R34" s="8">
        <v>11.5</v>
      </c>
      <c r="S34" s="8">
        <v>13.66</v>
      </c>
      <c r="T34" s="8">
        <v>17.43</v>
      </c>
      <c r="U34" s="8">
        <v>20.399999999999999</v>
      </c>
      <c r="V34" s="8">
        <v>24.17</v>
      </c>
      <c r="W34" s="8">
        <v>18.21</v>
      </c>
      <c r="X34" s="8">
        <v>25.22</v>
      </c>
      <c r="Y34" s="8">
        <v>52.11</v>
      </c>
      <c r="Z34" s="8">
        <v>54.54</v>
      </c>
      <c r="AA34" s="8">
        <v>58.71</v>
      </c>
      <c r="AB34" s="8">
        <v>61.14</v>
      </c>
      <c r="AC34" s="8">
        <v>64.209999999999994</v>
      </c>
    </row>
    <row r="35" spans="1:29" x14ac:dyDescent="0.25">
      <c r="A35">
        <v>33</v>
      </c>
      <c r="B35" s="8">
        <v>15.91</v>
      </c>
      <c r="C35" s="8">
        <v>19.190000000000001</v>
      </c>
      <c r="D35" s="8">
        <v>24.62</v>
      </c>
      <c r="E35" s="8">
        <v>36.01</v>
      </c>
      <c r="F35" s="8">
        <v>53.82</v>
      </c>
      <c r="G35" s="8">
        <v>58.69</v>
      </c>
      <c r="H35" s="8">
        <v>60.93</v>
      </c>
      <c r="I35" s="8">
        <v>15.7</v>
      </c>
      <c r="J35" s="8">
        <v>19.36</v>
      </c>
      <c r="K35" s="8">
        <v>24.65</v>
      </c>
      <c r="L35" s="8">
        <v>32.5</v>
      </c>
      <c r="M35" s="8">
        <v>46.81</v>
      </c>
      <c r="N35" s="8">
        <v>53.82</v>
      </c>
      <c r="O35" s="8">
        <v>59.63</v>
      </c>
      <c r="P35" s="8">
        <v>9.09</v>
      </c>
      <c r="Q35" s="8">
        <v>10.63</v>
      </c>
      <c r="R35" s="8">
        <v>12.02</v>
      </c>
      <c r="S35" s="8">
        <v>14.31</v>
      </c>
      <c r="T35" s="8">
        <v>18.420000000000002</v>
      </c>
      <c r="U35" s="8">
        <v>21.08</v>
      </c>
      <c r="V35" s="8">
        <v>24.82</v>
      </c>
      <c r="W35" s="8">
        <v>18.64</v>
      </c>
      <c r="X35" s="8">
        <v>26.65</v>
      </c>
      <c r="Y35" s="8">
        <v>53.06</v>
      </c>
      <c r="Z35" s="8">
        <v>57.82</v>
      </c>
      <c r="AA35" s="8">
        <v>59.83</v>
      </c>
      <c r="AB35" s="8">
        <v>64.52</v>
      </c>
      <c r="AC35" s="8">
        <v>67.02</v>
      </c>
    </row>
    <row r="36" spans="1:29" x14ac:dyDescent="0.25">
      <c r="A36">
        <v>34</v>
      </c>
      <c r="B36" s="8">
        <v>16.399999999999999</v>
      </c>
      <c r="C36" s="8">
        <v>19.54</v>
      </c>
      <c r="D36" s="8">
        <v>25.13</v>
      </c>
      <c r="E36" s="8">
        <v>37.270000000000003</v>
      </c>
      <c r="F36" s="8">
        <v>55.45</v>
      </c>
      <c r="G36" s="8">
        <v>60.15</v>
      </c>
      <c r="H36" s="8">
        <v>62.42</v>
      </c>
      <c r="I36" s="8">
        <v>16</v>
      </c>
      <c r="J36" s="8">
        <v>19.75</v>
      </c>
      <c r="K36" s="8">
        <v>24.72</v>
      </c>
      <c r="L36" s="8">
        <v>33.17</v>
      </c>
      <c r="M36" s="8">
        <v>47.94</v>
      </c>
      <c r="N36" s="8">
        <v>55.32</v>
      </c>
      <c r="O36" s="8">
        <v>63.98</v>
      </c>
      <c r="P36" s="8">
        <v>9.14</v>
      </c>
      <c r="Q36" s="8">
        <v>10.87</v>
      </c>
      <c r="R36" s="8">
        <v>12.39</v>
      </c>
      <c r="S36" s="8">
        <v>14.8</v>
      </c>
      <c r="T36" s="8">
        <v>18.53</v>
      </c>
      <c r="U36" s="8">
        <v>21.7</v>
      </c>
      <c r="V36" s="8">
        <v>26.01</v>
      </c>
      <c r="W36" s="8">
        <v>19.05</v>
      </c>
      <c r="X36" s="8">
        <v>26.79</v>
      </c>
      <c r="Y36" s="8">
        <v>54.09</v>
      </c>
      <c r="Z36" s="8">
        <v>58.46</v>
      </c>
      <c r="AA36" s="8">
        <v>59.94</v>
      </c>
      <c r="AB36" s="8">
        <v>66.09</v>
      </c>
      <c r="AC36" s="8">
        <v>67.42</v>
      </c>
    </row>
    <row r="37" spans="1:29" x14ac:dyDescent="0.25">
      <c r="A37">
        <v>35</v>
      </c>
      <c r="B37" s="8">
        <v>16.739999999999998</v>
      </c>
      <c r="C37" s="8">
        <v>20.14</v>
      </c>
      <c r="D37" s="8">
        <v>25.67</v>
      </c>
      <c r="E37" s="8">
        <v>38</v>
      </c>
      <c r="F37" s="8">
        <v>57.12</v>
      </c>
      <c r="G37" s="8">
        <v>61.66</v>
      </c>
      <c r="H37" s="8">
        <v>63.33</v>
      </c>
      <c r="I37" s="8">
        <v>16.28</v>
      </c>
      <c r="J37" s="8">
        <v>20.59</v>
      </c>
      <c r="K37" s="8">
        <v>25.4</v>
      </c>
      <c r="L37" s="8">
        <v>33.99</v>
      </c>
      <c r="M37" s="8">
        <v>48.98</v>
      </c>
      <c r="N37" s="8">
        <v>55.97</v>
      </c>
      <c r="O37" s="8">
        <v>65.790000000000006</v>
      </c>
      <c r="P37" s="8">
        <v>9.3000000000000007</v>
      </c>
      <c r="Q37" s="8">
        <v>11.45</v>
      </c>
      <c r="R37" s="8">
        <v>12.81</v>
      </c>
      <c r="S37" s="8">
        <v>15.16</v>
      </c>
      <c r="T37" s="8">
        <v>18.84</v>
      </c>
      <c r="U37" s="8">
        <v>22.27</v>
      </c>
      <c r="V37" s="8">
        <v>26.2</v>
      </c>
      <c r="W37" s="8">
        <v>19.45</v>
      </c>
      <c r="X37" s="8">
        <v>26.87</v>
      </c>
      <c r="Y37" s="8">
        <v>54.3</v>
      </c>
      <c r="Z37" s="8">
        <v>58.53</v>
      </c>
      <c r="AA37" s="8">
        <v>60.04</v>
      </c>
      <c r="AB37" s="8">
        <v>66.709999999999994</v>
      </c>
      <c r="AC37" s="8">
        <v>68.05</v>
      </c>
    </row>
    <row r="38" spans="1:29" x14ac:dyDescent="0.25">
      <c r="A38">
        <v>36</v>
      </c>
      <c r="B38" s="8">
        <v>17</v>
      </c>
      <c r="C38" s="8">
        <v>20.58</v>
      </c>
      <c r="D38" s="8">
        <v>26.2</v>
      </c>
      <c r="E38" s="8">
        <v>38.79</v>
      </c>
      <c r="F38" s="8">
        <v>58.65</v>
      </c>
      <c r="G38" s="8">
        <v>63.6</v>
      </c>
      <c r="H38" s="8">
        <v>64.959999999999994</v>
      </c>
      <c r="I38" s="8">
        <v>16.899999999999999</v>
      </c>
      <c r="J38" s="8">
        <v>21.11</v>
      </c>
      <c r="K38" s="8">
        <v>26.38</v>
      </c>
      <c r="L38" s="8">
        <v>34.79</v>
      </c>
      <c r="M38" s="8">
        <v>50.37</v>
      </c>
      <c r="N38" s="8">
        <v>57.91</v>
      </c>
      <c r="O38" s="8">
        <v>67.3</v>
      </c>
      <c r="P38" s="8">
        <v>9.4499999999999993</v>
      </c>
      <c r="Q38" s="8">
        <v>11.45</v>
      </c>
      <c r="R38" s="8">
        <v>12.91</v>
      </c>
      <c r="S38" s="8">
        <v>15.63</v>
      </c>
      <c r="T38" s="8">
        <v>19.63</v>
      </c>
      <c r="U38" s="8">
        <v>23.02</v>
      </c>
      <c r="V38" s="8">
        <v>27.23</v>
      </c>
      <c r="W38" s="8">
        <v>20.260000000000002</v>
      </c>
      <c r="X38" s="8">
        <v>27.39</v>
      </c>
      <c r="Y38" s="8">
        <v>56.35</v>
      </c>
      <c r="Z38" s="8">
        <v>59.71</v>
      </c>
      <c r="AA38" s="8">
        <v>62.14</v>
      </c>
      <c r="AB38" s="8">
        <v>67.540000000000006</v>
      </c>
      <c r="AC38" s="8">
        <v>69.489999999999995</v>
      </c>
    </row>
    <row r="39" spans="1:29" x14ac:dyDescent="0.25">
      <c r="A39">
        <v>37</v>
      </c>
      <c r="B39" s="8">
        <v>17.309999999999999</v>
      </c>
      <c r="C39" s="8">
        <v>20.88</v>
      </c>
      <c r="D39" s="8">
        <v>26.84</v>
      </c>
      <c r="E39" s="8">
        <v>39.79</v>
      </c>
      <c r="F39" s="8">
        <v>60.25</v>
      </c>
      <c r="G39" s="8">
        <v>65.290000000000006</v>
      </c>
      <c r="H39" s="8">
        <v>67.33</v>
      </c>
      <c r="I39" s="8">
        <v>17.14</v>
      </c>
      <c r="J39" s="8">
        <v>21.26</v>
      </c>
      <c r="K39" s="8">
        <v>26.5</v>
      </c>
      <c r="L39" s="8">
        <v>35.68</v>
      </c>
      <c r="M39" s="8">
        <v>51.4</v>
      </c>
      <c r="N39" s="8">
        <v>59.07</v>
      </c>
      <c r="O39" s="8">
        <v>67.489999999999995</v>
      </c>
      <c r="P39" s="8">
        <v>9.59</v>
      </c>
      <c r="Q39" s="8">
        <v>11.6</v>
      </c>
      <c r="R39" s="8">
        <v>13.11</v>
      </c>
      <c r="S39" s="8">
        <v>15.97</v>
      </c>
      <c r="T39" s="8">
        <v>19.72</v>
      </c>
      <c r="U39" s="8">
        <v>23.77</v>
      </c>
      <c r="V39" s="8">
        <v>27.49</v>
      </c>
      <c r="W39" s="8">
        <v>20.399999999999999</v>
      </c>
      <c r="X39" s="8">
        <v>29.23</v>
      </c>
      <c r="Y39" s="8">
        <v>57.77</v>
      </c>
      <c r="Z39" s="8">
        <v>63.41</v>
      </c>
      <c r="AA39" s="8">
        <v>65.150000000000006</v>
      </c>
      <c r="AB39" s="8">
        <v>69.92</v>
      </c>
      <c r="AC39" s="8">
        <v>71.849999999999994</v>
      </c>
    </row>
    <row r="40" spans="1:29" x14ac:dyDescent="0.25">
      <c r="A40">
        <v>38</v>
      </c>
      <c r="B40" s="8">
        <v>17.600000000000001</v>
      </c>
      <c r="C40" s="8">
        <v>21.19</v>
      </c>
      <c r="D40" s="8">
        <v>27.52</v>
      </c>
      <c r="E40" s="8">
        <v>40.590000000000003</v>
      </c>
      <c r="F40" s="8">
        <v>61.78</v>
      </c>
      <c r="G40" s="8">
        <v>66.989999999999995</v>
      </c>
      <c r="H40" s="8">
        <v>69.17</v>
      </c>
      <c r="I40" s="8">
        <v>17.28</v>
      </c>
      <c r="J40" s="8">
        <v>21.45</v>
      </c>
      <c r="K40" s="8">
        <v>27.22</v>
      </c>
      <c r="L40" s="8">
        <v>36.56</v>
      </c>
      <c r="M40" s="8">
        <v>52.47</v>
      </c>
      <c r="N40" s="8">
        <v>59.93</v>
      </c>
      <c r="O40" s="8">
        <v>67.709999999999994</v>
      </c>
      <c r="P40" s="8">
        <v>9.73</v>
      </c>
      <c r="Q40" s="8">
        <v>11.78</v>
      </c>
      <c r="R40" s="8">
        <v>13.45</v>
      </c>
      <c r="S40" s="8">
        <v>16.350000000000001</v>
      </c>
      <c r="T40" s="8">
        <v>20.16</v>
      </c>
      <c r="U40" s="8">
        <v>23.86</v>
      </c>
      <c r="V40" s="8">
        <v>28</v>
      </c>
      <c r="W40" s="8">
        <v>20.46</v>
      </c>
      <c r="X40" s="8">
        <v>29.42</v>
      </c>
      <c r="Y40" s="8">
        <v>58.56</v>
      </c>
      <c r="Z40" s="8">
        <v>63.65</v>
      </c>
      <c r="AA40" s="8">
        <v>66.22</v>
      </c>
      <c r="AB40" s="8">
        <v>70.14</v>
      </c>
      <c r="AC40" s="8">
        <v>72.09</v>
      </c>
    </row>
    <row r="41" spans="1:29" x14ac:dyDescent="0.25">
      <c r="A41">
        <v>39</v>
      </c>
      <c r="B41" s="8">
        <v>18.16</v>
      </c>
      <c r="C41" s="8">
        <v>21.75</v>
      </c>
      <c r="D41" s="8">
        <v>27.98</v>
      </c>
      <c r="E41" s="8">
        <v>41.4</v>
      </c>
      <c r="F41" s="8">
        <v>63.28</v>
      </c>
      <c r="G41" s="8">
        <v>68.77</v>
      </c>
      <c r="H41" s="8">
        <v>70.959999999999994</v>
      </c>
      <c r="I41" s="8">
        <v>17.760000000000002</v>
      </c>
      <c r="J41" s="8">
        <v>21.62</v>
      </c>
      <c r="K41" s="8">
        <v>27.76</v>
      </c>
      <c r="L41" s="8">
        <v>37.26</v>
      </c>
      <c r="M41" s="8">
        <v>53.68</v>
      </c>
      <c r="N41" s="8">
        <v>63.09</v>
      </c>
      <c r="O41" s="8">
        <v>71.489999999999995</v>
      </c>
      <c r="P41" s="8">
        <v>10.050000000000001</v>
      </c>
      <c r="Q41" s="8">
        <v>12.24</v>
      </c>
      <c r="R41" s="8">
        <v>14.03</v>
      </c>
      <c r="S41" s="8">
        <v>16.77</v>
      </c>
      <c r="T41" s="8">
        <v>20.96</v>
      </c>
      <c r="U41" s="8">
        <v>24.8</v>
      </c>
      <c r="V41" s="8">
        <v>28.58</v>
      </c>
      <c r="W41" s="8">
        <v>20.55</v>
      </c>
      <c r="X41" s="8">
        <v>29.49</v>
      </c>
      <c r="Y41" s="8">
        <v>59.58</v>
      </c>
      <c r="Z41" s="8">
        <v>63.69</v>
      </c>
      <c r="AA41" s="8">
        <v>66.319999999999993</v>
      </c>
      <c r="AB41" s="8">
        <v>71.91</v>
      </c>
      <c r="AC41" s="8">
        <v>73.37</v>
      </c>
    </row>
    <row r="42" spans="1:29" x14ac:dyDescent="0.25">
      <c r="A42">
        <v>40</v>
      </c>
      <c r="B42" s="8">
        <v>18.22</v>
      </c>
      <c r="C42" s="8">
        <v>22.33</v>
      </c>
      <c r="D42" s="8">
        <v>28.65</v>
      </c>
      <c r="E42" s="8">
        <v>42.33</v>
      </c>
      <c r="F42" s="8">
        <v>64.709999999999994</v>
      </c>
      <c r="G42" s="8">
        <v>70.459999999999994</v>
      </c>
      <c r="H42" s="8">
        <v>72.53</v>
      </c>
      <c r="I42" s="8">
        <v>17.91</v>
      </c>
      <c r="J42" s="8">
        <v>21.65</v>
      </c>
      <c r="K42" s="8">
        <v>28.03</v>
      </c>
      <c r="L42" s="8">
        <v>37.58</v>
      </c>
      <c r="M42" s="8">
        <v>54.88</v>
      </c>
      <c r="N42" s="8">
        <v>63.29</v>
      </c>
      <c r="O42" s="8">
        <v>72.73</v>
      </c>
      <c r="P42" s="8">
        <v>10.07</v>
      </c>
      <c r="Q42" s="8">
        <v>12.29</v>
      </c>
      <c r="R42" s="8">
        <v>14.04</v>
      </c>
      <c r="S42" s="8">
        <v>16.8</v>
      </c>
      <c r="T42" s="8">
        <v>21.11</v>
      </c>
      <c r="U42" s="8">
        <v>24.81</v>
      </c>
      <c r="V42" s="8">
        <v>28.59</v>
      </c>
      <c r="W42" s="8">
        <v>20.6</v>
      </c>
      <c r="X42" s="8">
        <v>29.57</v>
      </c>
      <c r="Y42" s="8">
        <v>59.68</v>
      </c>
      <c r="Z42" s="8">
        <v>63.89</v>
      </c>
      <c r="AA42" s="8">
        <v>66.510000000000005</v>
      </c>
      <c r="AB42" s="8">
        <v>72.09</v>
      </c>
      <c r="AC42" s="8">
        <v>73.53</v>
      </c>
    </row>
    <row r="43" spans="1:29" x14ac:dyDescent="0.25">
      <c r="A43">
        <v>41</v>
      </c>
      <c r="B43" s="8">
        <v>19.100000000000001</v>
      </c>
      <c r="C43" s="8">
        <v>22.87</v>
      </c>
      <c r="D43" s="8">
        <v>28.98</v>
      </c>
      <c r="E43" s="8">
        <v>43.11</v>
      </c>
      <c r="F43" s="8">
        <v>66.17</v>
      </c>
      <c r="G43" s="8">
        <v>72.3</v>
      </c>
      <c r="H43" s="8">
        <v>74.489999999999995</v>
      </c>
      <c r="I43" s="8">
        <v>18.87</v>
      </c>
      <c r="J43" s="8">
        <v>23.34</v>
      </c>
      <c r="K43" s="8">
        <v>28.75</v>
      </c>
      <c r="L43" s="8">
        <v>38.86</v>
      </c>
      <c r="M43" s="8">
        <v>55.83</v>
      </c>
      <c r="N43" s="8">
        <v>63.5</v>
      </c>
      <c r="O43" s="8">
        <v>74.28</v>
      </c>
      <c r="P43" s="8">
        <v>10.29</v>
      </c>
      <c r="Q43" s="8">
        <v>12.82</v>
      </c>
      <c r="R43" s="8">
        <v>14.43</v>
      </c>
      <c r="S43" s="8">
        <v>17.37</v>
      </c>
      <c r="T43" s="8">
        <v>21.87</v>
      </c>
      <c r="U43" s="8">
        <v>25.57</v>
      </c>
      <c r="V43" s="8">
        <v>29.67</v>
      </c>
      <c r="W43" s="8">
        <v>21.51</v>
      </c>
      <c r="X43" s="8">
        <v>30.98</v>
      </c>
      <c r="Y43" s="8">
        <v>61.76</v>
      </c>
      <c r="Z43" s="8">
        <v>65.73</v>
      </c>
      <c r="AA43" s="8">
        <v>70.19</v>
      </c>
      <c r="AB43" s="8">
        <v>73.11</v>
      </c>
      <c r="AC43" s="8">
        <v>76.72</v>
      </c>
    </row>
    <row r="44" spans="1:29" x14ac:dyDescent="0.25">
      <c r="A44">
        <v>42</v>
      </c>
      <c r="B44" s="8">
        <v>19.41</v>
      </c>
      <c r="C44" s="8">
        <v>23.43</v>
      </c>
      <c r="D44" s="8">
        <v>29.57</v>
      </c>
      <c r="E44" s="8">
        <v>44.02</v>
      </c>
      <c r="F44" s="8">
        <v>67.59</v>
      </c>
      <c r="G44" s="8">
        <v>74.08</v>
      </c>
      <c r="H44" s="8">
        <v>76.36</v>
      </c>
      <c r="I44" s="8">
        <v>19.16</v>
      </c>
      <c r="J44" s="8">
        <v>23.99</v>
      </c>
      <c r="K44" s="8">
        <v>29.8</v>
      </c>
      <c r="L44" s="8">
        <v>39.950000000000003</v>
      </c>
      <c r="M44" s="8">
        <v>57.04</v>
      </c>
      <c r="N44" s="8">
        <v>64.8</v>
      </c>
      <c r="O44" s="8">
        <v>75.849999999999994</v>
      </c>
      <c r="P44" s="8">
        <v>10.3</v>
      </c>
      <c r="Q44" s="8">
        <v>12.86</v>
      </c>
      <c r="R44" s="8">
        <v>15</v>
      </c>
      <c r="S44" s="8">
        <v>17.43</v>
      </c>
      <c r="T44" s="8">
        <v>22.09</v>
      </c>
      <c r="U44" s="8">
        <v>26</v>
      </c>
      <c r="V44" s="8">
        <v>29.82</v>
      </c>
      <c r="W44" s="8">
        <v>21.82</v>
      </c>
      <c r="X44" s="8">
        <v>31.12</v>
      </c>
      <c r="Y44" s="8">
        <v>62.54</v>
      </c>
      <c r="Z44" s="8">
        <v>66.739999999999995</v>
      </c>
      <c r="AA44" s="8">
        <v>70.56</v>
      </c>
      <c r="AB44" s="8">
        <v>73.38</v>
      </c>
      <c r="AC44" s="8">
        <v>78.16</v>
      </c>
    </row>
    <row r="45" spans="1:29" x14ac:dyDescent="0.25">
      <c r="A45">
        <v>43</v>
      </c>
      <c r="B45" s="8">
        <v>19.82</v>
      </c>
      <c r="C45" s="8">
        <v>23.91</v>
      </c>
      <c r="D45" s="8">
        <v>30.03</v>
      </c>
      <c r="E45" s="8">
        <v>44.75</v>
      </c>
      <c r="F45" s="8">
        <v>69.180000000000007</v>
      </c>
      <c r="G45" s="8">
        <v>75.45</v>
      </c>
      <c r="H45" s="8">
        <v>77.959999999999994</v>
      </c>
      <c r="I45" s="8">
        <v>19.559999999999999</v>
      </c>
      <c r="J45" s="8">
        <v>24.59</v>
      </c>
      <c r="K45" s="8">
        <v>30.37</v>
      </c>
      <c r="L45" s="8">
        <v>40.659999999999997</v>
      </c>
      <c r="M45" s="8">
        <v>58.19</v>
      </c>
      <c r="N45" s="8">
        <v>66.239999999999995</v>
      </c>
      <c r="O45" s="8">
        <v>77.66</v>
      </c>
      <c r="P45" s="8">
        <v>10.5</v>
      </c>
      <c r="Q45" s="8">
        <v>13.04</v>
      </c>
      <c r="R45" s="8">
        <v>15.03</v>
      </c>
      <c r="S45" s="8">
        <v>18.309999999999999</v>
      </c>
      <c r="T45" s="8">
        <v>23.15</v>
      </c>
      <c r="U45" s="8">
        <v>26.94</v>
      </c>
      <c r="V45" s="8">
        <v>30.63</v>
      </c>
      <c r="W45" s="8">
        <v>22.41</v>
      </c>
      <c r="X45" s="8">
        <v>31.62</v>
      </c>
      <c r="Y45" s="8">
        <v>64.150000000000006</v>
      </c>
      <c r="Z45" s="8">
        <v>68.52</v>
      </c>
      <c r="AA45" s="8">
        <v>71.849999999999994</v>
      </c>
      <c r="AB45" s="8">
        <v>76.709999999999994</v>
      </c>
      <c r="AC45" s="8">
        <v>82.51</v>
      </c>
    </row>
    <row r="46" spans="1:29" x14ac:dyDescent="0.25">
      <c r="A46">
        <v>44</v>
      </c>
      <c r="B46" s="8">
        <v>20.149999999999999</v>
      </c>
      <c r="C46" s="8">
        <v>24.2</v>
      </c>
      <c r="D46" s="8">
        <v>30.71</v>
      </c>
      <c r="E46" s="8">
        <v>45.55</v>
      </c>
      <c r="F46" s="8">
        <v>70.53</v>
      </c>
      <c r="G46" s="8">
        <v>76.739999999999995</v>
      </c>
      <c r="H46" s="8">
        <v>79.489999999999995</v>
      </c>
      <c r="I46" s="8">
        <v>19.73</v>
      </c>
      <c r="J46" s="8">
        <v>24.88</v>
      </c>
      <c r="K46" s="8">
        <v>31.12</v>
      </c>
      <c r="L46" s="8">
        <v>41.53</v>
      </c>
      <c r="M46" s="8">
        <v>59.27</v>
      </c>
      <c r="N46" s="8">
        <v>67.63</v>
      </c>
      <c r="O46" s="8">
        <v>77.680000000000007</v>
      </c>
      <c r="P46" s="8">
        <v>10.65</v>
      </c>
      <c r="Q46" s="8">
        <v>13.25</v>
      </c>
      <c r="R46" s="8">
        <v>15.41</v>
      </c>
      <c r="S46" s="8">
        <v>18.63</v>
      </c>
      <c r="T46" s="8">
        <v>23.35</v>
      </c>
      <c r="U46" s="8">
        <v>27.63</v>
      </c>
      <c r="V46" s="8">
        <v>30.95</v>
      </c>
      <c r="W46" s="8">
        <v>22.91</v>
      </c>
      <c r="X46" s="8">
        <v>33.270000000000003</v>
      </c>
      <c r="Y46" s="8">
        <v>65.22</v>
      </c>
      <c r="Z46" s="8">
        <v>70.05</v>
      </c>
      <c r="AA46" s="8">
        <v>73.099999999999994</v>
      </c>
      <c r="AB46" s="8">
        <v>77.959999999999994</v>
      </c>
      <c r="AC46" s="8">
        <v>82.97</v>
      </c>
    </row>
    <row r="47" spans="1:29" x14ac:dyDescent="0.25">
      <c r="A47">
        <v>45</v>
      </c>
      <c r="B47" s="8">
        <v>20.239999999999998</v>
      </c>
      <c r="C47" s="8">
        <v>24.8</v>
      </c>
      <c r="D47" s="8">
        <v>31.15</v>
      </c>
      <c r="E47" s="8">
        <v>46.18</v>
      </c>
      <c r="F47" s="8">
        <v>71.819999999999993</v>
      </c>
      <c r="G47" s="8">
        <v>78.17</v>
      </c>
      <c r="H47" s="8">
        <v>80.67</v>
      </c>
      <c r="I47" s="8">
        <v>19.989999999999998</v>
      </c>
      <c r="J47" s="8">
        <v>25.16</v>
      </c>
      <c r="K47" s="8">
        <v>31.7</v>
      </c>
      <c r="L47" s="8">
        <v>42.35</v>
      </c>
      <c r="M47" s="8">
        <v>60.28</v>
      </c>
      <c r="N47" s="8">
        <v>68.86</v>
      </c>
      <c r="O47" s="8">
        <v>78.040000000000006</v>
      </c>
      <c r="P47" s="8">
        <v>10.65</v>
      </c>
      <c r="Q47" s="8">
        <v>13.25</v>
      </c>
      <c r="R47" s="8">
        <v>15.41</v>
      </c>
      <c r="S47" s="8">
        <v>18.64</v>
      </c>
      <c r="T47" s="8">
        <v>23.43</v>
      </c>
      <c r="U47" s="8">
        <v>28.33</v>
      </c>
      <c r="V47" s="8">
        <v>31.17</v>
      </c>
      <c r="W47" s="8">
        <v>23.86</v>
      </c>
      <c r="X47" s="8">
        <v>34.57</v>
      </c>
      <c r="Y47" s="8">
        <v>66.05</v>
      </c>
      <c r="Z47" s="8">
        <v>71.099999999999994</v>
      </c>
      <c r="AA47" s="8">
        <v>73.23</v>
      </c>
      <c r="AB47" s="8">
        <v>79.48</v>
      </c>
      <c r="AC47" s="8">
        <v>83.1</v>
      </c>
    </row>
    <row r="48" spans="1:29" x14ac:dyDescent="0.25">
      <c r="A48">
        <v>46</v>
      </c>
      <c r="B48" s="8">
        <v>20.87</v>
      </c>
      <c r="C48" s="8">
        <v>25.08</v>
      </c>
      <c r="D48" s="8">
        <v>31.78</v>
      </c>
      <c r="E48" s="8">
        <v>46.65</v>
      </c>
      <c r="F48" s="8">
        <v>73.03</v>
      </c>
      <c r="G48" s="8">
        <v>79.430000000000007</v>
      </c>
      <c r="H48" s="8">
        <v>82.63</v>
      </c>
      <c r="I48" s="8">
        <v>20.21</v>
      </c>
      <c r="J48" s="8">
        <v>25.51</v>
      </c>
      <c r="K48" s="8">
        <v>33.020000000000003</v>
      </c>
      <c r="L48" s="8">
        <v>43.87</v>
      </c>
      <c r="M48" s="8">
        <v>62.11</v>
      </c>
      <c r="N48" s="8">
        <v>71.64</v>
      </c>
      <c r="O48" s="8">
        <v>82.65</v>
      </c>
      <c r="P48" s="8">
        <v>10.99</v>
      </c>
      <c r="Q48" s="8">
        <v>13.39</v>
      </c>
      <c r="R48" s="8">
        <v>15.91</v>
      </c>
      <c r="S48" s="8">
        <v>19.100000000000001</v>
      </c>
      <c r="T48" s="8">
        <v>24.04</v>
      </c>
      <c r="U48" s="8">
        <v>28.63</v>
      </c>
      <c r="V48" s="8">
        <v>31.99</v>
      </c>
      <c r="W48" s="8">
        <v>24.42</v>
      </c>
      <c r="X48" s="8">
        <v>34.700000000000003</v>
      </c>
      <c r="Y48" s="8">
        <v>67.12</v>
      </c>
      <c r="Z48" s="8">
        <v>72.680000000000007</v>
      </c>
      <c r="AA48" s="8">
        <v>75.569999999999993</v>
      </c>
      <c r="AB48" s="8">
        <v>80.38</v>
      </c>
      <c r="AC48" s="8">
        <v>86.36</v>
      </c>
    </row>
    <row r="49" spans="1:29" x14ac:dyDescent="0.25">
      <c r="A49">
        <v>47</v>
      </c>
      <c r="B49" s="8">
        <v>20.93</v>
      </c>
      <c r="C49" s="8">
        <v>25.13</v>
      </c>
      <c r="D49" s="8">
        <v>32.31</v>
      </c>
      <c r="E49" s="8">
        <v>46.79</v>
      </c>
      <c r="F49" s="8">
        <v>73.16</v>
      </c>
      <c r="G49" s="8">
        <v>79.56</v>
      </c>
      <c r="H49" s="8">
        <v>83.42</v>
      </c>
      <c r="I49" s="8">
        <v>20.28</v>
      </c>
      <c r="J49" s="8">
        <v>25.56</v>
      </c>
      <c r="K49" s="8">
        <v>33.200000000000003</v>
      </c>
      <c r="L49" s="8">
        <v>44.05</v>
      </c>
      <c r="M49" s="8">
        <v>62.91</v>
      </c>
      <c r="N49" s="8">
        <v>71.7</v>
      </c>
      <c r="O49" s="8">
        <v>83.14</v>
      </c>
      <c r="P49" s="8">
        <v>11.04</v>
      </c>
      <c r="Q49" s="8">
        <v>13.69</v>
      </c>
      <c r="R49" s="8">
        <v>16.16</v>
      </c>
      <c r="S49" s="8">
        <v>19.23</v>
      </c>
      <c r="T49" s="8">
        <v>24.37</v>
      </c>
      <c r="U49" s="8">
        <v>29.18</v>
      </c>
      <c r="V49" s="8">
        <v>32.51</v>
      </c>
      <c r="W49" s="8">
        <v>24.78</v>
      </c>
      <c r="X49" s="8">
        <v>35.21</v>
      </c>
      <c r="Y49" s="8">
        <v>67.239999999999995</v>
      </c>
      <c r="Z49" s="8">
        <v>72.959999999999994</v>
      </c>
      <c r="AA49" s="8">
        <v>76.08</v>
      </c>
      <c r="AB49" s="8">
        <v>80.62</v>
      </c>
      <c r="AC49" s="8">
        <v>86.82</v>
      </c>
    </row>
    <row r="50" spans="1:29" x14ac:dyDescent="0.25">
      <c r="A50">
        <v>48</v>
      </c>
      <c r="B50" s="8">
        <v>21.37</v>
      </c>
      <c r="C50" s="8">
        <v>26.14</v>
      </c>
      <c r="D50" s="8">
        <v>32.880000000000003</v>
      </c>
      <c r="E50" s="8">
        <v>46.93</v>
      </c>
      <c r="F50" s="8">
        <v>75.78</v>
      </c>
      <c r="G50" s="8">
        <v>82.03</v>
      </c>
      <c r="H50" s="8">
        <v>84.09</v>
      </c>
      <c r="I50" s="8">
        <v>20.309999999999999</v>
      </c>
      <c r="J50" s="8">
        <v>26.03</v>
      </c>
      <c r="K50" s="8">
        <v>33.340000000000003</v>
      </c>
      <c r="L50" s="8">
        <v>45.57</v>
      </c>
      <c r="M50" s="8">
        <v>64.64</v>
      </c>
      <c r="N50" s="8">
        <v>76.319999999999993</v>
      </c>
      <c r="O50" s="8">
        <v>85.89</v>
      </c>
      <c r="P50" s="8">
        <v>11.04</v>
      </c>
      <c r="Q50" s="8">
        <v>13.78</v>
      </c>
      <c r="R50" s="8">
        <v>16.32</v>
      </c>
      <c r="S50" s="8">
        <v>19.829999999999998</v>
      </c>
      <c r="T50" s="8">
        <v>24.74</v>
      </c>
      <c r="U50" s="8">
        <v>29.45</v>
      </c>
      <c r="V50" s="8">
        <v>33.020000000000003</v>
      </c>
      <c r="W50" s="8">
        <v>25.06</v>
      </c>
      <c r="X50" s="8">
        <v>35.28</v>
      </c>
      <c r="Y50" s="8">
        <v>67.400000000000006</v>
      </c>
      <c r="Z50" s="8">
        <v>73.78</v>
      </c>
      <c r="AA50" s="8">
        <v>76.16</v>
      </c>
      <c r="AB50" s="8">
        <v>82.09</v>
      </c>
      <c r="AC50" s="8">
        <v>86.93</v>
      </c>
    </row>
    <row r="51" spans="1:29" x14ac:dyDescent="0.25">
      <c r="A51">
        <v>49</v>
      </c>
      <c r="B51" s="8">
        <v>21.43</v>
      </c>
      <c r="C51" s="8">
        <v>26.25</v>
      </c>
      <c r="D51" s="8">
        <v>32.950000000000003</v>
      </c>
      <c r="E51" s="8">
        <v>46.95</v>
      </c>
      <c r="F51" s="8">
        <v>77.069999999999993</v>
      </c>
      <c r="G51" s="8">
        <v>82.29</v>
      </c>
      <c r="H51" s="8">
        <v>84.16</v>
      </c>
      <c r="I51" s="8">
        <v>20.46</v>
      </c>
      <c r="J51" s="8">
        <v>26.41</v>
      </c>
      <c r="K51" s="8">
        <v>33.880000000000003</v>
      </c>
      <c r="L51" s="8">
        <v>45.72</v>
      </c>
      <c r="M51" s="8">
        <v>65.150000000000006</v>
      </c>
      <c r="N51" s="8">
        <v>77.62</v>
      </c>
      <c r="O51" s="8">
        <v>86.47</v>
      </c>
      <c r="P51" s="8">
        <v>11.05</v>
      </c>
      <c r="Q51" s="8">
        <v>13.79</v>
      </c>
      <c r="R51" s="8">
        <v>16.350000000000001</v>
      </c>
      <c r="S51" s="8">
        <v>19.829999999999998</v>
      </c>
      <c r="T51" s="8">
        <v>24.92</v>
      </c>
      <c r="U51" s="8">
        <v>30.04</v>
      </c>
      <c r="V51" s="8">
        <v>33.22</v>
      </c>
      <c r="W51" s="8">
        <v>25.07</v>
      </c>
      <c r="X51" s="8">
        <v>35.32</v>
      </c>
      <c r="Y51" s="8">
        <v>67.42</v>
      </c>
      <c r="Z51" s="8">
        <v>73.8</v>
      </c>
      <c r="AA51" s="8">
        <v>76.2</v>
      </c>
      <c r="AB51" s="8">
        <v>82.13</v>
      </c>
      <c r="AC51" s="8">
        <v>86.98</v>
      </c>
    </row>
    <row r="52" spans="1:29" x14ac:dyDescent="0.25">
      <c r="A52">
        <v>50</v>
      </c>
      <c r="B52" s="8">
        <v>21.49</v>
      </c>
      <c r="C52" s="8">
        <v>26.31</v>
      </c>
      <c r="D52" s="8">
        <v>33.979999999999997</v>
      </c>
      <c r="E52" s="8">
        <v>46.99</v>
      </c>
      <c r="F52" s="8">
        <v>78.39</v>
      </c>
      <c r="G52" s="8">
        <v>82.63</v>
      </c>
      <c r="H52" s="8">
        <v>84.29</v>
      </c>
      <c r="I52" s="8">
        <v>20.52</v>
      </c>
      <c r="J52" s="8">
        <v>26.5</v>
      </c>
      <c r="K52" s="8">
        <v>34.020000000000003</v>
      </c>
      <c r="L52" s="8">
        <v>45.76</v>
      </c>
      <c r="M52" s="8">
        <v>65.489999999999995</v>
      </c>
      <c r="N52" s="8">
        <v>78.31</v>
      </c>
      <c r="O52" s="8">
        <v>86.61</v>
      </c>
      <c r="P52" s="8">
        <v>11.05</v>
      </c>
      <c r="Q52" s="8">
        <v>13.8</v>
      </c>
      <c r="R52" s="8">
        <v>16.37</v>
      </c>
      <c r="S52" s="8">
        <v>19.850000000000001</v>
      </c>
      <c r="T52" s="8">
        <v>24.92</v>
      </c>
      <c r="U52" s="8">
        <v>30.05</v>
      </c>
      <c r="V52" s="8">
        <v>33.4</v>
      </c>
      <c r="W52" s="8">
        <v>25.08</v>
      </c>
      <c r="X52" s="8">
        <v>35.520000000000003</v>
      </c>
      <c r="Y52" s="8">
        <v>67.47</v>
      </c>
      <c r="Z52" s="8">
        <v>73.900000000000006</v>
      </c>
      <c r="AA52" s="8">
        <v>76.5</v>
      </c>
      <c r="AB52" s="8">
        <v>82.31</v>
      </c>
      <c r="AC52" s="8">
        <v>87.23</v>
      </c>
    </row>
    <row r="53" spans="1:29" x14ac:dyDescent="0.25">
      <c r="A53">
        <v>51</v>
      </c>
      <c r="B53" s="8">
        <v>21.69</v>
      </c>
      <c r="C53" s="8">
        <v>26.42</v>
      </c>
      <c r="D53" s="8">
        <v>34.729999999999997</v>
      </c>
      <c r="E53" s="8">
        <v>48.5</v>
      </c>
      <c r="F53" s="8">
        <v>82.16</v>
      </c>
      <c r="G53" s="8">
        <v>84.95</v>
      </c>
      <c r="H53" s="8">
        <v>86.65</v>
      </c>
      <c r="I53" s="8">
        <v>21.97</v>
      </c>
      <c r="J53" s="8">
        <v>26.59</v>
      </c>
      <c r="K53" s="8">
        <v>35.049999999999997</v>
      </c>
      <c r="L53" s="8">
        <v>47.3</v>
      </c>
      <c r="M53" s="8">
        <v>68.53</v>
      </c>
      <c r="N53" s="8">
        <v>78.52</v>
      </c>
      <c r="O53" s="8">
        <v>90.76</v>
      </c>
      <c r="P53" s="8">
        <v>11.08</v>
      </c>
      <c r="Q53" s="8">
        <v>13.8</v>
      </c>
      <c r="R53" s="8">
        <v>16.399999999999999</v>
      </c>
      <c r="S53" s="8">
        <v>19.89</v>
      </c>
      <c r="T53" s="8">
        <v>25.05</v>
      </c>
      <c r="U53" s="8">
        <v>30.2</v>
      </c>
      <c r="V53" s="8">
        <v>33.92</v>
      </c>
      <c r="W53" s="8">
        <v>27.81</v>
      </c>
      <c r="X53" s="8">
        <v>39.08</v>
      </c>
      <c r="Y53" s="8">
        <v>71.959999999999994</v>
      </c>
      <c r="Z53" s="8">
        <v>80.09</v>
      </c>
      <c r="AA53" s="8">
        <v>81.72</v>
      </c>
      <c r="AB53" s="8">
        <v>88.42</v>
      </c>
      <c r="AC53" s="8">
        <v>91.34</v>
      </c>
    </row>
    <row r="54" spans="1:29" x14ac:dyDescent="0.25">
      <c r="A54">
        <v>52</v>
      </c>
      <c r="B54" s="8">
        <v>23.22</v>
      </c>
      <c r="C54" s="8">
        <v>27.84</v>
      </c>
      <c r="D54" s="8">
        <v>35.840000000000003</v>
      </c>
      <c r="E54" s="8">
        <v>51.17</v>
      </c>
      <c r="F54" s="8">
        <v>83.41</v>
      </c>
      <c r="G54" s="8">
        <v>90.11</v>
      </c>
      <c r="H54" s="8">
        <v>93.13</v>
      </c>
      <c r="I54" s="8">
        <v>22.67</v>
      </c>
      <c r="J54" s="8">
        <v>28.39</v>
      </c>
      <c r="K54" s="8">
        <v>35.26</v>
      </c>
      <c r="L54" s="8">
        <v>48.1</v>
      </c>
      <c r="M54" s="8">
        <v>69.63</v>
      </c>
      <c r="N54" s="8">
        <v>78.55</v>
      </c>
      <c r="O54" s="8">
        <v>91.69</v>
      </c>
      <c r="P54" s="8">
        <v>11.09</v>
      </c>
      <c r="Q54" s="8">
        <v>13.81</v>
      </c>
      <c r="R54" s="8">
        <v>16.41</v>
      </c>
      <c r="S54" s="8">
        <v>19.899999999999999</v>
      </c>
      <c r="T54" s="8">
        <v>25.05</v>
      </c>
      <c r="U54" s="8">
        <v>30.21</v>
      </c>
      <c r="V54" s="8">
        <v>33.92</v>
      </c>
      <c r="W54" s="8">
        <v>28.24</v>
      </c>
      <c r="X54" s="8">
        <v>41.12</v>
      </c>
      <c r="Y54" s="8">
        <v>77.099999999999994</v>
      </c>
      <c r="Z54" s="8">
        <v>81.66</v>
      </c>
      <c r="AA54" s="8">
        <v>84.71</v>
      </c>
      <c r="AB54" s="8">
        <v>91.87</v>
      </c>
      <c r="AC54" s="8">
        <v>96.37</v>
      </c>
    </row>
    <row r="55" spans="1:29" x14ac:dyDescent="0.25">
      <c r="A55">
        <v>53</v>
      </c>
      <c r="B55" s="8">
        <v>23.68</v>
      </c>
      <c r="C55" s="8">
        <v>28.4</v>
      </c>
      <c r="D55" s="8">
        <v>36.35</v>
      </c>
      <c r="E55" s="8">
        <v>51.55</v>
      </c>
      <c r="F55" s="8">
        <v>83.53</v>
      </c>
      <c r="G55" s="8">
        <v>91.68</v>
      </c>
      <c r="H55" s="8">
        <v>93.77</v>
      </c>
      <c r="I55" s="8">
        <v>22.95</v>
      </c>
      <c r="J55" s="8">
        <v>29.16</v>
      </c>
      <c r="K55" s="8">
        <v>35.85</v>
      </c>
      <c r="L55" s="8">
        <v>48.68</v>
      </c>
      <c r="M55" s="8">
        <v>70.8</v>
      </c>
      <c r="N55" s="8">
        <v>80.47</v>
      </c>
      <c r="O55" s="8">
        <v>93.97</v>
      </c>
      <c r="P55" s="8">
        <v>11.09</v>
      </c>
      <c r="Q55" s="8">
        <v>13.84</v>
      </c>
      <c r="R55" s="8">
        <v>16.420000000000002</v>
      </c>
      <c r="S55" s="8">
        <v>20.02</v>
      </c>
      <c r="T55" s="8">
        <v>25.06</v>
      </c>
      <c r="U55" s="8">
        <v>30.22</v>
      </c>
      <c r="V55" s="8">
        <v>34.26</v>
      </c>
      <c r="W55" s="8">
        <v>28.54</v>
      </c>
      <c r="X55" s="8">
        <v>41.33</v>
      </c>
      <c r="Y55" s="8">
        <v>77.62</v>
      </c>
      <c r="Z55" s="8">
        <v>83.47</v>
      </c>
      <c r="AA55" s="8">
        <v>85.01</v>
      </c>
      <c r="AB55" s="8">
        <v>96.29</v>
      </c>
      <c r="AC55" s="8">
        <v>98.36</v>
      </c>
    </row>
    <row r="56" spans="1:29" x14ac:dyDescent="0.25">
      <c r="A56">
        <v>54</v>
      </c>
      <c r="B56" s="8">
        <v>24.02</v>
      </c>
      <c r="C56" s="8">
        <v>28.74</v>
      </c>
      <c r="D56" s="8">
        <v>36.92</v>
      </c>
      <c r="E56" s="8">
        <v>51.67</v>
      </c>
      <c r="F56" s="8">
        <v>83.72</v>
      </c>
      <c r="G56" s="8">
        <v>92.05</v>
      </c>
      <c r="H56" s="8">
        <v>93.88</v>
      </c>
      <c r="I56" s="8">
        <v>23.24</v>
      </c>
      <c r="J56" s="8">
        <v>29.41</v>
      </c>
      <c r="K56" s="8">
        <v>36.6</v>
      </c>
      <c r="L56" s="8">
        <v>49.58</v>
      </c>
      <c r="M56" s="8">
        <v>71.86</v>
      </c>
      <c r="N56" s="8">
        <v>82.05</v>
      </c>
      <c r="O56" s="8">
        <v>95.66</v>
      </c>
      <c r="P56" s="8">
        <v>11.09</v>
      </c>
      <c r="Q56" s="8">
        <v>13.86</v>
      </c>
      <c r="R56" s="8">
        <v>16.45</v>
      </c>
      <c r="S56" s="8">
        <v>20.059999999999999</v>
      </c>
      <c r="T56" s="8">
        <v>25.07</v>
      </c>
      <c r="U56" s="8">
        <v>30.23</v>
      </c>
      <c r="V56" s="8">
        <v>34.28</v>
      </c>
      <c r="W56" s="8">
        <v>28.62</v>
      </c>
      <c r="X56" s="8">
        <v>41.42</v>
      </c>
      <c r="Y56" s="8">
        <v>77.7</v>
      </c>
      <c r="Z56" s="8">
        <v>84.26</v>
      </c>
      <c r="AA56" s="8">
        <v>85.1</v>
      </c>
      <c r="AB56" s="8">
        <v>96.73</v>
      </c>
      <c r="AC56" s="8">
        <v>98.56</v>
      </c>
    </row>
    <row r="57" spans="1:29" x14ac:dyDescent="0.25">
      <c r="A57">
        <v>55</v>
      </c>
      <c r="B57" s="8">
        <v>24.46</v>
      </c>
      <c r="C57" s="8">
        <v>28.86</v>
      </c>
      <c r="D57" s="8">
        <v>37.24</v>
      </c>
      <c r="E57" s="8">
        <v>51.79</v>
      </c>
      <c r="F57" s="8">
        <v>87.3</v>
      </c>
      <c r="G57" s="8">
        <v>92.17</v>
      </c>
      <c r="H57" s="8">
        <v>94</v>
      </c>
      <c r="I57" s="8">
        <v>23.39</v>
      </c>
      <c r="J57" s="8">
        <v>29.97</v>
      </c>
      <c r="K57" s="8">
        <v>37.119999999999997</v>
      </c>
      <c r="L57" s="8">
        <v>50.46</v>
      </c>
      <c r="M57" s="8">
        <v>73</v>
      </c>
      <c r="N57" s="8">
        <v>83.59</v>
      </c>
      <c r="O57" s="8">
        <v>95.68</v>
      </c>
      <c r="P57" s="8">
        <v>11.1</v>
      </c>
      <c r="Q57" s="8">
        <v>13.88</v>
      </c>
      <c r="R57" s="8">
        <v>16.46</v>
      </c>
      <c r="S57" s="8">
        <v>20.149999999999999</v>
      </c>
      <c r="T57" s="8">
        <v>25.09</v>
      </c>
      <c r="U57" s="8">
        <v>30.22</v>
      </c>
      <c r="V57" s="8">
        <v>34.31</v>
      </c>
      <c r="W57" s="8">
        <v>28.73</v>
      </c>
      <c r="X57" s="8">
        <v>42.14</v>
      </c>
      <c r="Y57" s="8">
        <v>78.260000000000005</v>
      </c>
      <c r="Z57" s="8">
        <v>84.46</v>
      </c>
      <c r="AA57" s="8">
        <v>85.31</v>
      </c>
      <c r="AB57" s="8">
        <v>96.74</v>
      </c>
      <c r="AC57" s="8">
        <v>98.64</v>
      </c>
    </row>
    <row r="58" spans="1:29" x14ac:dyDescent="0.25">
      <c r="A58">
        <v>56</v>
      </c>
      <c r="B58" s="8">
        <v>24.65</v>
      </c>
      <c r="C58" s="8">
        <v>28.97</v>
      </c>
      <c r="D58" s="8">
        <v>37.36</v>
      </c>
      <c r="E58" s="8">
        <v>51.94</v>
      </c>
      <c r="F58" s="8">
        <v>87.66</v>
      </c>
      <c r="G58" s="8">
        <v>92.28</v>
      </c>
      <c r="H58" s="8">
        <v>94.12</v>
      </c>
      <c r="I58" s="8">
        <v>23.73</v>
      </c>
      <c r="J58" s="8">
        <v>30.08</v>
      </c>
      <c r="K58" s="8">
        <v>37.68</v>
      </c>
      <c r="L58" s="8">
        <v>51.24</v>
      </c>
      <c r="M58" s="8">
        <v>73.05</v>
      </c>
      <c r="N58" s="8">
        <v>85.09</v>
      </c>
      <c r="O58" s="8">
        <v>95.84</v>
      </c>
      <c r="P58" s="8">
        <v>11.11</v>
      </c>
      <c r="Q58" s="8">
        <v>13.9</v>
      </c>
      <c r="R58" s="8">
        <v>16.48</v>
      </c>
      <c r="S58" s="8">
        <v>20.16</v>
      </c>
      <c r="T58" s="8">
        <v>25.1</v>
      </c>
      <c r="U58" s="8">
        <v>30.25</v>
      </c>
      <c r="V58" s="8">
        <v>34.69</v>
      </c>
      <c r="W58" s="8">
        <v>30.81</v>
      </c>
      <c r="X58" s="8">
        <v>44.5</v>
      </c>
      <c r="Y58" s="8">
        <v>78.349999999999994</v>
      </c>
      <c r="Z58" s="8">
        <v>85.93</v>
      </c>
      <c r="AA58" s="8">
        <v>87.65</v>
      </c>
      <c r="AB58" s="8">
        <v>96.75</v>
      </c>
      <c r="AC58" s="8">
        <v>98.72</v>
      </c>
    </row>
    <row r="59" spans="1:29" x14ac:dyDescent="0.25">
      <c r="A59">
        <v>57</v>
      </c>
      <c r="B59" s="8">
        <v>24.77</v>
      </c>
      <c r="C59" s="8">
        <v>30.22</v>
      </c>
      <c r="D59" s="8">
        <v>38.5</v>
      </c>
      <c r="E59" s="8">
        <v>54.87</v>
      </c>
      <c r="F59" s="8">
        <v>90.52</v>
      </c>
      <c r="G59" s="8">
        <v>94.15</v>
      </c>
      <c r="H59" s="8">
        <v>96.02</v>
      </c>
      <c r="I59" s="8">
        <v>23.82</v>
      </c>
      <c r="J59" s="8">
        <v>30.34</v>
      </c>
      <c r="K59" s="8">
        <v>38.32</v>
      </c>
      <c r="L59" s="8">
        <v>52.01</v>
      </c>
      <c r="M59" s="8">
        <v>74.040000000000006</v>
      </c>
      <c r="N59" s="8">
        <v>87.58</v>
      </c>
      <c r="O59" s="8">
        <v>96.24</v>
      </c>
      <c r="P59" s="8">
        <v>11.31</v>
      </c>
      <c r="Q59" s="8">
        <v>13.95</v>
      </c>
      <c r="R59" s="8">
        <v>16.510000000000002</v>
      </c>
      <c r="S59" s="8">
        <v>20.76</v>
      </c>
      <c r="T59" s="8">
        <v>25.13</v>
      </c>
      <c r="U59" s="8">
        <v>30.27</v>
      </c>
      <c r="V59" s="8">
        <v>35.049999999999997</v>
      </c>
      <c r="W59" s="8">
        <v>31.08</v>
      </c>
      <c r="X59" s="8">
        <v>44.94</v>
      </c>
      <c r="Y59" s="8">
        <v>78.489999999999995</v>
      </c>
      <c r="Z59" s="8">
        <v>86.16</v>
      </c>
      <c r="AA59" s="8">
        <v>88.05</v>
      </c>
      <c r="AB59" s="8">
        <v>96.87</v>
      </c>
      <c r="AC59" s="8">
        <v>98.8</v>
      </c>
    </row>
    <row r="60" spans="1:29" x14ac:dyDescent="0.25">
      <c r="A60">
        <v>58</v>
      </c>
      <c r="B60" s="8">
        <v>24.89</v>
      </c>
      <c r="C60" s="8">
        <v>30.35</v>
      </c>
      <c r="D60" s="8">
        <v>38.619999999999997</v>
      </c>
      <c r="E60" s="8">
        <v>55.16</v>
      </c>
      <c r="F60" s="8">
        <v>92.23</v>
      </c>
      <c r="G60" s="8">
        <v>94.34</v>
      </c>
      <c r="H60" s="8">
        <v>96.21</v>
      </c>
      <c r="I60" s="8">
        <v>23.99</v>
      </c>
      <c r="J60" s="8">
        <v>30.61</v>
      </c>
      <c r="K60" s="8">
        <v>38.799999999999997</v>
      </c>
      <c r="L60" s="8">
        <v>52.83</v>
      </c>
      <c r="M60" s="8">
        <v>75.62</v>
      </c>
      <c r="N60" s="8">
        <v>88.32</v>
      </c>
      <c r="O60" s="8">
        <v>97.83</v>
      </c>
      <c r="P60" s="8">
        <v>11.3</v>
      </c>
      <c r="Q60" s="8">
        <v>13.96</v>
      </c>
      <c r="R60" s="8">
        <v>16.5</v>
      </c>
      <c r="S60" s="8">
        <v>20.78</v>
      </c>
      <c r="T60" s="8">
        <v>25.13</v>
      </c>
      <c r="U60" s="8">
        <v>30.3</v>
      </c>
      <c r="V60" s="8">
        <v>35.35</v>
      </c>
      <c r="W60" s="8">
        <v>31.17</v>
      </c>
      <c r="X60" s="8">
        <v>45.13</v>
      </c>
      <c r="Y60" s="8">
        <v>78.59</v>
      </c>
      <c r="Z60" s="8">
        <v>86.24</v>
      </c>
      <c r="AA60" s="8">
        <v>89.85</v>
      </c>
      <c r="AB60" s="8">
        <v>97.13</v>
      </c>
      <c r="AC60" s="8">
        <v>99.07</v>
      </c>
    </row>
    <row r="61" spans="1:29" x14ac:dyDescent="0.25">
      <c r="A61">
        <v>59</v>
      </c>
      <c r="B61" s="8">
        <v>25</v>
      </c>
      <c r="C61" s="8">
        <v>30.53</v>
      </c>
      <c r="D61" s="8">
        <v>39.96</v>
      </c>
      <c r="E61" s="8">
        <v>55.29</v>
      </c>
      <c r="F61" s="8">
        <v>93.63</v>
      </c>
      <c r="G61" s="8">
        <v>95.51</v>
      </c>
      <c r="H61" s="8">
        <v>97.42</v>
      </c>
      <c r="I61" s="8">
        <v>24.09</v>
      </c>
      <c r="J61" s="8">
        <v>30.91</v>
      </c>
      <c r="K61" s="8">
        <v>39.380000000000003</v>
      </c>
      <c r="L61" s="8">
        <v>53.56</v>
      </c>
      <c r="M61" s="8">
        <v>76.489999999999995</v>
      </c>
      <c r="N61" s="8">
        <v>89.79</v>
      </c>
      <c r="O61" s="8">
        <v>99.59</v>
      </c>
      <c r="P61" s="8">
        <v>11.34</v>
      </c>
      <c r="Q61" s="8">
        <v>13.97</v>
      </c>
      <c r="R61" s="8">
        <v>16.62</v>
      </c>
      <c r="S61" s="8">
        <v>20.78</v>
      </c>
      <c r="T61" s="8">
        <v>25.27</v>
      </c>
      <c r="U61" s="8">
        <v>30.33</v>
      </c>
      <c r="V61" s="8">
        <v>35.94</v>
      </c>
      <c r="W61" s="8">
        <v>31.25</v>
      </c>
      <c r="X61" s="8">
        <v>45.22</v>
      </c>
      <c r="Y61" s="8">
        <v>80.459999999999994</v>
      </c>
      <c r="Z61" s="8">
        <v>87.54</v>
      </c>
      <c r="AA61" s="8">
        <v>90.04</v>
      </c>
      <c r="AB61" s="8">
        <v>97.56</v>
      </c>
      <c r="AC61" s="8">
        <v>104.32</v>
      </c>
    </row>
    <row r="62" spans="1:29" x14ac:dyDescent="0.25">
      <c r="A62">
        <v>60</v>
      </c>
      <c r="B62" s="8">
        <v>25.12</v>
      </c>
      <c r="C62" s="8">
        <v>30.64</v>
      </c>
      <c r="D62" s="8">
        <v>40.18</v>
      </c>
      <c r="E62" s="8">
        <v>56.83</v>
      </c>
      <c r="F62" s="8">
        <v>94.13</v>
      </c>
      <c r="G62" s="8">
        <v>97.63</v>
      </c>
      <c r="H62" s="8">
        <v>99.58</v>
      </c>
      <c r="I62" s="8">
        <v>24.89</v>
      </c>
      <c r="J62" s="8">
        <v>31.99</v>
      </c>
      <c r="K62" s="8">
        <v>39.61</v>
      </c>
      <c r="L62" s="8">
        <v>53.62</v>
      </c>
      <c r="M62" s="8">
        <v>77.95</v>
      </c>
      <c r="N62" s="8">
        <v>90.31</v>
      </c>
      <c r="O62" s="8">
        <v>101.39</v>
      </c>
      <c r="P62" s="8">
        <v>11.63</v>
      </c>
      <c r="Q62" s="8">
        <v>14.51</v>
      </c>
      <c r="R62" s="8">
        <v>16.899999999999999</v>
      </c>
      <c r="S62" s="8">
        <v>21.51</v>
      </c>
      <c r="T62" s="8">
        <v>25.73</v>
      </c>
      <c r="U62" s="8">
        <v>30.35</v>
      </c>
      <c r="V62" s="8">
        <v>36.159999999999997</v>
      </c>
      <c r="W62" s="8">
        <v>31.34</v>
      </c>
      <c r="X62" s="8">
        <v>45.31</v>
      </c>
      <c r="Y62" s="8">
        <v>80.650000000000006</v>
      </c>
      <c r="Z62" s="8">
        <v>87.67</v>
      </c>
      <c r="AA62" s="8">
        <v>90.22</v>
      </c>
      <c r="AB62" s="8">
        <v>103.81</v>
      </c>
      <c r="AC62" s="8">
        <v>104.85</v>
      </c>
    </row>
    <row r="63" spans="1:29" x14ac:dyDescent="0.25">
      <c r="A63">
        <v>61</v>
      </c>
      <c r="B63" s="8">
        <v>25.23</v>
      </c>
      <c r="C63" s="8">
        <v>30.76</v>
      </c>
      <c r="D63" s="8">
        <v>40.299999999999997</v>
      </c>
      <c r="E63" s="8">
        <v>56.98</v>
      </c>
      <c r="F63" s="8">
        <v>95.47</v>
      </c>
      <c r="G63" s="8">
        <v>98.43</v>
      </c>
      <c r="H63" s="8">
        <v>100.4</v>
      </c>
      <c r="I63" s="8">
        <v>24.91</v>
      </c>
      <c r="J63" s="8">
        <v>32.01</v>
      </c>
      <c r="K63" s="8">
        <v>40.53</v>
      </c>
      <c r="L63" s="8">
        <v>55.5</v>
      </c>
      <c r="M63" s="8">
        <v>79.510000000000005</v>
      </c>
      <c r="N63" s="8">
        <v>92.78</v>
      </c>
      <c r="O63" s="8">
        <v>103.1</v>
      </c>
      <c r="P63" s="8">
        <v>11.64</v>
      </c>
      <c r="Q63" s="8">
        <v>14.55</v>
      </c>
      <c r="R63" s="8">
        <v>17.04</v>
      </c>
      <c r="S63" s="8">
        <v>21.58</v>
      </c>
      <c r="T63" s="8">
        <v>25.74</v>
      </c>
      <c r="U63" s="8">
        <v>30.35</v>
      </c>
      <c r="V63" s="8">
        <v>36.39</v>
      </c>
      <c r="W63" s="8">
        <v>32.979999999999997</v>
      </c>
      <c r="X63" s="8">
        <v>46.91</v>
      </c>
      <c r="Y63" s="8">
        <v>83.89</v>
      </c>
      <c r="Z63" s="8">
        <v>90.21</v>
      </c>
      <c r="AA63" s="8">
        <v>93.88</v>
      </c>
      <c r="AB63" s="8">
        <v>106.01</v>
      </c>
      <c r="AC63" s="8">
        <v>108.13</v>
      </c>
    </row>
    <row r="64" spans="1:29" x14ac:dyDescent="0.25">
      <c r="A64">
        <v>62</v>
      </c>
      <c r="B64" s="8">
        <v>25.34</v>
      </c>
      <c r="C64" s="8">
        <v>30.88</v>
      </c>
      <c r="D64" s="8">
        <v>40.409999999999997</v>
      </c>
      <c r="E64" s="8">
        <v>57.1</v>
      </c>
      <c r="F64" s="8">
        <v>95.68</v>
      </c>
      <c r="G64" s="8">
        <v>98.61</v>
      </c>
      <c r="H64" s="8">
        <v>100.59</v>
      </c>
      <c r="I64" s="8">
        <v>24.93</v>
      </c>
      <c r="J64" s="8">
        <v>32.51</v>
      </c>
      <c r="K64" s="8">
        <v>41.05</v>
      </c>
      <c r="L64" s="8">
        <v>56.26</v>
      </c>
      <c r="M64" s="8">
        <v>80.959999999999994</v>
      </c>
      <c r="N64" s="8">
        <v>94.38</v>
      </c>
      <c r="O64" s="8">
        <v>104.67</v>
      </c>
      <c r="P64" s="8">
        <v>12.11</v>
      </c>
      <c r="Q64" s="8">
        <v>15.58</v>
      </c>
      <c r="R64" s="8">
        <v>17.350000000000001</v>
      </c>
      <c r="S64" s="8">
        <v>22.19</v>
      </c>
      <c r="T64" s="8">
        <v>26.14</v>
      </c>
      <c r="U64" s="8">
        <v>30.82</v>
      </c>
      <c r="V64" s="8">
        <v>36.6</v>
      </c>
      <c r="W64" s="8">
        <v>33.36</v>
      </c>
      <c r="X64" s="8">
        <v>48.36</v>
      </c>
      <c r="Y64" s="8">
        <v>85.17</v>
      </c>
      <c r="Z64" s="8">
        <v>91.33</v>
      </c>
      <c r="AA64" s="8">
        <v>94.26</v>
      </c>
      <c r="AB64" s="8">
        <v>107.52</v>
      </c>
      <c r="AC64" s="8">
        <v>110.73</v>
      </c>
    </row>
    <row r="65" spans="1:29" x14ac:dyDescent="0.25">
      <c r="A65">
        <v>63</v>
      </c>
      <c r="B65" s="8">
        <v>25.46</v>
      </c>
      <c r="C65" s="8">
        <v>30.99</v>
      </c>
      <c r="D65" s="8">
        <v>40.53</v>
      </c>
      <c r="E65" s="8">
        <v>58.29</v>
      </c>
      <c r="F65" s="8">
        <v>99.81</v>
      </c>
      <c r="G65" s="8">
        <v>102.12</v>
      </c>
      <c r="H65" s="8">
        <v>104.17</v>
      </c>
      <c r="I65" s="8">
        <v>24.94</v>
      </c>
      <c r="J65" s="8">
        <v>32.659999999999997</v>
      </c>
      <c r="K65" s="8">
        <v>41.58</v>
      </c>
      <c r="L65" s="8">
        <v>57.06</v>
      </c>
      <c r="M65" s="8">
        <v>82.11</v>
      </c>
      <c r="N65" s="8">
        <v>95.9</v>
      </c>
      <c r="O65" s="8">
        <v>106.41</v>
      </c>
      <c r="P65" s="8">
        <v>12.12</v>
      </c>
      <c r="Q65" s="8">
        <v>15.59</v>
      </c>
      <c r="R65" s="8">
        <v>17.510000000000002</v>
      </c>
      <c r="S65" s="8">
        <v>22.2</v>
      </c>
      <c r="T65" s="8">
        <v>26.32</v>
      </c>
      <c r="U65" s="8">
        <v>31.08</v>
      </c>
      <c r="V65" s="8">
        <v>36.83</v>
      </c>
      <c r="W65" s="8">
        <v>33.450000000000003</v>
      </c>
      <c r="X65" s="8">
        <v>48.51</v>
      </c>
      <c r="Y65" s="8">
        <v>85.93</v>
      </c>
      <c r="Z65" s="8">
        <v>91.46</v>
      </c>
      <c r="AA65" s="8">
        <v>94.69</v>
      </c>
      <c r="AB65" s="8">
        <v>109.05</v>
      </c>
      <c r="AC65" s="8">
        <v>111.23</v>
      </c>
    </row>
    <row r="66" spans="1:29" x14ac:dyDescent="0.25">
      <c r="A66">
        <v>64</v>
      </c>
      <c r="B66" s="8">
        <v>27.06</v>
      </c>
      <c r="C66" s="8">
        <v>31.6</v>
      </c>
      <c r="D66" s="8">
        <v>40.65</v>
      </c>
      <c r="E66" s="8">
        <v>58.4</v>
      </c>
      <c r="F66" s="8">
        <v>100.47</v>
      </c>
      <c r="G66" s="8">
        <v>102.48</v>
      </c>
      <c r="H66" s="8">
        <v>104.53</v>
      </c>
      <c r="I66" s="8">
        <v>25.78</v>
      </c>
      <c r="J66" s="8">
        <v>33.36</v>
      </c>
      <c r="K66" s="8">
        <v>42.03</v>
      </c>
      <c r="L66" s="8">
        <v>58</v>
      </c>
      <c r="M66" s="8">
        <v>83.76</v>
      </c>
      <c r="N66" s="8">
        <v>97.72</v>
      </c>
      <c r="O66" s="8">
        <v>108.1</v>
      </c>
      <c r="P66" s="8">
        <v>12.44</v>
      </c>
      <c r="Q66" s="8">
        <v>15.6</v>
      </c>
      <c r="R66" s="8">
        <v>17.8</v>
      </c>
      <c r="S66" s="8">
        <v>22.21</v>
      </c>
      <c r="T66" s="8">
        <v>26.5</v>
      </c>
      <c r="U66" s="8">
        <v>31.08</v>
      </c>
      <c r="V66" s="8">
        <v>37.049999999999997</v>
      </c>
      <c r="W66" s="8">
        <v>35.130000000000003</v>
      </c>
      <c r="X66" s="8">
        <v>50.05</v>
      </c>
      <c r="Y66" s="8">
        <v>86.01</v>
      </c>
      <c r="Z66" s="8">
        <v>94.03</v>
      </c>
      <c r="AA66" s="8">
        <v>97.62</v>
      </c>
      <c r="AB66" s="8">
        <v>111.02</v>
      </c>
      <c r="AC66" s="8">
        <v>115.35</v>
      </c>
    </row>
    <row r="67" spans="1:29" x14ac:dyDescent="0.25">
      <c r="A67">
        <v>65</v>
      </c>
      <c r="B67" s="8">
        <v>28.07</v>
      </c>
      <c r="C67" s="8">
        <v>32.43</v>
      </c>
      <c r="D67" s="8">
        <v>40.76</v>
      </c>
      <c r="E67" s="8">
        <v>59.96</v>
      </c>
      <c r="F67" s="8">
        <v>100.58</v>
      </c>
      <c r="G67" s="8">
        <v>102.59</v>
      </c>
      <c r="H67" s="8">
        <v>104.64</v>
      </c>
      <c r="I67" s="8">
        <v>25.92</v>
      </c>
      <c r="J67" s="8">
        <v>33.79</v>
      </c>
      <c r="K67" s="8">
        <v>42.04</v>
      </c>
      <c r="L67" s="8">
        <v>58.24</v>
      </c>
      <c r="M67" s="8">
        <v>85.08</v>
      </c>
      <c r="N67" s="8">
        <v>98.86</v>
      </c>
      <c r="O67" s="8">
        <v>110.67</v>
      </c>
      <c r="P67" s="8">
        <v>12.58</v>
      </c>
      <c r="Q67" s="8">
        <v>16.02</v>
      </c>
      <c r="R67" s="8">
        <v>17.809999999999999</v>
      </c>
      <c r="S67" s="8">
        <v>22.22</v>
      </c>
      <c r="T67" s="8">
        <v>26.72</v>
      </c>
      <c r="U67" s="8">
        <v>31.16</v>
      </c>
      <c r="V67" s="8">
        <v>37.119999999999997</v>
      </c>
      <c r="W67" s="8">
        <v>35.299999999999997</v>
      </c>
      <c r="X67" s="8">
        <v>50.38</v>
      </c>
      <c r="Y67" s="8">
        <v>86.75</v>
      </c>
      <c r="Z67" s="8">
        <v>95.05</v>
      </c>
      <c r="AA67" s="8">
        <v>98.24</v>
      </c>
      <c r="AB67" s="8">
        <v>112.74</v>
      </c>
      <c r="AC67" s="8">
        <v>116.65</v>
      </c>
    </row>
    <row r="68" spans="1:29" x14ac:dyDescent="0.25">
      <c r="A68">
        <v>66</v>
      </c>
      <c r="B68" s="8">
        <v>28.19</v>
      </c>
      <c r="C68" s="8">
        <v>32.549999999999997</v>
      </c>
      <c r="D68" s="8">
        <v>41.22</v>
      </c>
      <c r="E68" s="8">
        <v>60.11</v>
      </c>
      <c r="F68" s="8">
        <v>100.75</v>
      </c>
      <c r="G68" s="8">
        <v>102.77</v>
      </c>
      <c r="H68" s="8">
        <v>104.82</v>
      </c>
      <c r="I68" s="8">
        <v>26.74</v>
      </c>
      <c r="J68" s="8">
        <v>34.07</v>
      </c>
      <c r="K68" s="8">
        <v>42.94</v>
      </c>
      <c r="L68" s="8">
        <v>59.47</v>
      </c>
      <c r="M68" s="8">
        <v>86.02</v>
      </c>
      <c r="N68" s="8">
        <v>100.49</v>
      </c>
      <c r="O68" s="8">
        <v>113</v>
      </c>
      <c r="P68" s="8">
        <v>12.64</v>
      </c>
      <c r="Q68" s="8">
        <v>16.18</v>
      </c>
      <c r="R68" s="8">
        <v>17.809999999999999</v>
      </c>
      <c r="S68" s="8">
        <v>22.24</v>
      </c>
      <c r="T68" s="8">
        <v>26.75</v>
      </c>
      <c r="U68" s="8">
        <v>31.26</v>
      </c>
      <c r="V68" s="8">
        <v>37.270000000000003</v>
      </c>
      <c r="W68" s="8">
        <v>35.39</v>
      </c>
      <c r="X68" s="8">
        <v>50.52</v>
      </c>
      <c r="Y68" s="8">
        <v>90.37</v>
      </c>
      <c r="Z68" s="8">
        <v>98.01</v>
      </c>
      <c r="AA68" s="8">
        <v>101.25</v>
      </c>
      <c r="AB68" s="8">
        <v>112.92</v>
      </c>
      <c r="AC68" s="8">
        <v>116.89</v>
      </c>
    </row>
    <row r="69" spans="1:29" x14ac:dyDescent="0.25">
      <c r="A69">
        <v>67</v>
      </c>
      <c r="B69" s="8">
        <v>28.3</v>
      </c>
      <c r="C69" s="8">
        <v>33.200000000000003</v>
      </c>
      <c r="D69" s="8">
        <v>41.32</v>
      </c>
      <c r="E69" s="8">
        <v>60.23</v>
      </c>
      <c r="F69" s="8">
        <v>100.86</v>
      </c>
      <c r="G69" s="8">
        <v>102.88</v>
      </c>
      <c r="H69" s="8">
        <v>104.94</v>
      </c>
      <c r="I69" s="8">
        <v>26.77</v>
      </c>
      <c r="J69" s="8">
        <v>34.659999999999997</v>
      </c>
      <c r="K69" s="8">
        <v>43.51</v>
      </c>
      <c r="L69" s="8">
        <v>60.37</v>
      </c>
      <c r="M69" s="8">
        <v>87.29</v>
      </c>
      <c r="N69" s="8">
        <v>102.05</v>
      </c>
      <c r="O69" s="8">
        <v>113.27</v>
      </c>
      <c r="P69" s="8">
        <v>12.64</v>
      </c>
      <c r="Q69" s="8">
        <v>16.2</v>
      </c>
      <c r="R69" s="8">
        <v>17.82</v>
      </c>
      <c r="S69" s="8">
        <v>22.28</v>
      </c>
      <c r="T69" s="8">
        <v>26.96</v>
      </c>
      <c r="U69" s="8">
        <v>31.41</v>
      </c>
      <c r="V69" s="8">
        <v>37.64</v>
      </c>
      <c r="W69" s="8">
        <v>35.729999999999997</v>
      </c>
      <c r="X69" s="8">
        <v>53.27</v>
      </c>
      <c r="Y69" s="8">
        <v>90.73</v>
      </c>
      <c r="Z69" s="8">
        <v>98.97</v>
      </c>
      <c r="AA69" s="8">
        <v>101.55</v>
      </c>
      <c r="AB69" s="8">
        <v>113</v>
      </c>
      <c r="AC69" s="8">
        <v>116.97</v>
      </c>
    </row>
    <row r="70" spans="1:29" x14ac:dyDescent="0.25">
      <c r="A70">
        <v>68</v>
      </c>
      <c r="B70" s="8">
        <v>28.42</v>
      </c>
      <c r="C70" s="8">
        <v>33.47</v>
      </c>
      <c r="D70" s="8">
        <v>42.47</v>
      </c>
      <c r="E70" s="8">
        <v>60.35</v>
      </c>
      <c r="F70" s="8">
        <v>100.97</v>
      </c>
      <c r="G70" s="8">
        <v>102.99</v>
      </c>
      <c r="H70" s="8">
        <v>105.05</v>
      </c>
      <c r="I70" s="8">
        <v>26.8</v>
      </c>
      <c r="J70" s="8">
        <v>35.01</v>
      </c>
      <c r="K70" s="8">
        <v>44.33</v>
      </c>
      <c r="L70" s="8">
        <v>61.14</v>
      </c>
      <c r="M70" s="8">
        <v>88.54</v>
      </c>
      <c r="N70" s="8">
        <v>103.48</v>
      </c>
      <c r="O70" s="8">
        <v>118.11</v>
      </c>
      <c r="P70" s="8">
        <v>12.78</v>
      </c>
      <c r="Q70" s="8">
        <v>16.48</v>
      </c>
      <c r="R70" s="8">
        <v>18.899999999999999</v>
      </c>
      <c r="S70" s="8">
        <v>22.74</v>
      </c>
      <c r="T70" s="8">
        <v>27.36</v>
      </c>
      <c r="U70" s="8">
        <v>31.88</v>
      </c>
      <c r="V70" s="8">
        <v>37.67</v>
      </c>
      <c r="W70" s="8">
        <v>36.53</v>
      </c>
      <c r="X70" s="8">
        <v>53.58</v>
      </c>
      <c r="Y70" s="8">
        <v>90.81</v>
      </c>
      <c r="Z70" s="8">
        <v>100.26</v>
      </c>
      <c r="AA70" s="8">
        <v>101.64</v>
      </c>
      <c r="AB70" s="8">
        <v>113.08</v>
      </c>
      <c r="AC70" s="8">
        <v>117.65</v>
      </c>
    </row>
    <row r="71" spans="1:29" x14ac:dyDescent="0.25">
      <c r="A71">
        <v>69</v>
      </c>
      <c r="B71" s="8">
        <v>28.53</v>
      </c>
      <c r="C71" s="8">
        <v>34.21</v>
      </c>
      <c r="D71" s="8">
        <v>42.59</v>
      </c>
      <c r="E71" s="8">
        <v>60.61</v>
      </c>
      <c r="F71" s="8">
        <v>101.32</v>
      </c>
      <c r="G71" s="8">
        <v>103.34</v>
      </c>
      <c r="H71" s="8">
        <v>105.41</v>
      </c>
      <c r="I71" s="8">
        <v>26.93</v>
      </c>
      <c r="J71" s="8">
        <v>36.020000000000003</v>
      </c>
      <c r="K71" s="8">
        <v>44.71</v>
      </c>
      <c r="L71" s="8">
        <v>61.81</v>
      </c>
      <c r="M71" s="8">
        <v>89.34</v>
      </c>
      <c r="N71" s="8">
        <v>103.95</v>
      </c>
      <c r="O71" s="8">
        <v>120.24</v>
      </c>
      <c r="P71" s="8">
        <v>13.04</v>
      </c>
      <c r="Q71" s="8">
        <v>16.63</v>
      </c>
      <c r="R71" s="8">
        <v>19.04</v>
      </c>
      <c r="S71" s="8">
        <v>22.92</v>
      </c>
      <c r="T71" s="8">
        <v>27.5</v>
      </c>
      <c r="U71" s="8">
        <v>31.91</v>
      </c>
      <c r="V71" s="8">
        <v>37.83</v>
      </c>
      <c r="W71" s="8">
        <v>36.619999999999997</v>
      </c>
      <c r="X71" s="8">
        <v>53.67</v>
      </c>
      <c r="Y71" s="8">
        <v>90.9</v>
      </c>
      <c r="Z71" s="8">
        <v>100.52</v>
      </c>
      <c r="AA71" s="8">
        <v>101.8</v>
      </c>
      <c r="AB71" s="8">
        <v>113.16</v>
      </c>
      <c r="AC71" s="8">
        <v>119.9</v>
      </c>
    </row>
    <row r="72" spans="1:29" x14ac:dyDescent="0.25">
      <c r="A72">
        <v>70</v>
      </c>
      <c r="B72" s="8">
        <v>28.65</v>
      </c>
      <c r="C72" s="8">
        <v>37.29</v>
      </c>
      <c r="D72" s="8">
        <v>44.08</v>
      </c>
      <c r="E72" s="8">
        <v>65.75</v>
      </c>
      <c r="F72" s="8">
        <v>105.77</v>
      </c>
      <c r="G72" s="8">
        <v>110.04</v>
      </c>
      <c r="H72" s="8">
        <v>112.24</v>
      </c>
      <c r="I72" s="8">
        <v>27.22</v>
      </c>
      <c r="J72" s="8">
        <v>36.14</v>
      </c>
      <c r="K72" s="8">
        <v>45.32</v>
      </c>
      <c r="L72" s="8">
        <v>62.34</v>
      </c>
      <c r="M72" s="8">
        <v>89.42</v>
      </c>
      <c r="N72" s="8">
        <v>105.06</v>
      </c>
      <c r="O72" s="8">
        <v>120.26</v>
      </c>
      <c r="P72" s="8">
        <v>13.11</v>
      </c>
      <c r="Q72" s="8">
        <v>16.86</v>
      </c>
      <c r="R72" s="8">
        <v>19.440000000000001</v>
      </c>
      <c r="S72" s="8">
        <v>23.91</v>
      </c>
      <c r="T72" s="8">
        <v>28.05</v>
      </c>
      <c r="U72" s="8">
        <v>31.94</v>
      </c>
      <c r="V72" s="8">
        <v>38.15</v>
      </c>
      <c r="W72" s="8">
        <v>36.71</v>
      </c>
      <c r="X72" s="8">
        <v>53.76</v>
      </c>
      <c r="Y72" s="8">
        <v>90.99</v>
      </c>
      <c r="Z72" s="8">
        <v>100.88</v>
      </c>
      <c r="AA72" s="8">
        <v>101.89</v>
      </c>
      <c r="AB72" s="8">
        <v>113.41</v>
      </c>
      <c r="AC72" s="8">
        <v>120.12</v>
      </c>
    </row>
    <row r="73" spans="1:29" x14ac:dyDescent="0.25">
      <c r="A73">
        <v>71</v>
      </c>
      <c r="B73" s="8">
        <v>30.39</v>
      </c>
      <c r="C73" s="8">
        <v>37.79</v>
      </c>
      <c r="D73" s="8">
        <v>44.11</v>
      </c>
      <c r="E73" s="8">
        <v>66.27</v>
      </c>
      <c r="F73" s="8">
        <v>106.11</v>
      </c>
      <c r="G73" s="8">
        <v>111.13</v>
      </c>
      <c r="H73" s="8">
        <v>113.36</v>
      </c>
      <c r="I73" s="8">
        <v>27.74</v>
      </c>
      <c r="J73" s="8">
        <v>37</v>
      </c>
      <c r="K73" s="8">
        <v>46.31</v>
      </c>
      <c r="L73" s="8">
        <v>63.3</v>
      </c>
      <c r="M73" s="8">
        <v>92.28</v>
      </c>
      <c r="N73" s="8">
        <v>107.71</v>
      </c>
      <c r="O73" s="8">
        <v>121.7</v>
      </c>
      <c r="P73" s="8">
        <v>13.14</v>
      </c>
      <c r="Q73" s="8">
        <v>16.899999999999999</v>
      </c>
      <c r="R73" s="8">
        <v>19.79</v>
      </c>
      <c r="S73" s="8">
        <v>24.03</v>
      </c>
      <c r="T73" s="8">
        <v>28.28</v>
      </c>
      <c r="U73" s="8">
        <v>32.47</v>
      </c>
      <c r="V73" s="8">
        <v>38.229999999999997</v>
      </c>
      <c r="W73" s="8">
        <v>37.75</v>
      </c>
      <c r="X73" s="8">
        <v>53.85</v>
      </c>
      <c r="Y73" s="8">
        <v>91.28</v>
      </c>
      <c r="Z73" s="8">
        <v>101.06</v>
      </c>
      <c r="AA73" s="8">
        <v>102.08</v>
      </c>
      <c r="AB73" s="8">
        <v>118.19</v>
      </c>
      <c r="AC73" s="8">
        <v>120.56</v>
      </c>
    </row>
    <row r="74" spans="1:29" x14ac:dyDescent="0.25">
      <c r="A74">
        <v>72</v>
      </c>
      <c r="B74" s="8">
        <v>30.56</v>
      </c>
      <c r="C74" s="8">
        <v>37.9</v>
      </c>
      <c r="D74" s="8">
        <v>44.13</v>
      </c>
      <c r="E74" s="8">
        <v>66.39</v>
      </c>
      <c r="F74" s="8">
        <v>108.99</v>
      </c>
      <c r="G74" s="8">
        <v>111.25</v>
      </c>
      <c r="H74" s="8">
        <v>113.47</v>
      </c>
      <c r="I74" s="8">
        <v>28.58</v>
      </c>
      <c r="J74" s="8">
        <v>37.520000000000003</v>
      </c>
      <c r="K74" s="8">
        <v>46.88</v>
      </c>
      <c r="L74" s="8">
        <v>64.13</v>
      </c>
      <c r="M74" s="8">
        <v>93.13</v>
      </c>
      <c r="N74" s="8">
        <v>109.22</v>
      </c>
      <c r="O74" s="8">
        <v>122.14</v>
      </c>
      <c r="P74" s="8">
        <v>13.52</v>
      </c>
      <c r="Q74" s="8">
        <v>16.899999999999999</v>
      </c>
      <c r="R74" s="8">
        <v>20.2</v>
      </c>
      <c r="S74" s="8">
        <v>24.03</v>
      </c>
      <c r="T74" s="8">
        <v>28.75</v>
      </c>
      <c r="U74" s="8">
        <v>33.85</v>
      </c>
      <c r="V74" s="8">
        <v>38.29</v>
      </c>
      <c r="W74" s="8">
        <v>38</v>
      </c>
      <c r="X74" s="8">
        <v>55.43</v>
      </c>
      <c r="Y74" s="8">
        <v>97.17</v>
      </c>
      <c r="Z74" s="8">
        <v>104.46</v>
      </c>
      <c r="AA74" s="8">
        <v>105.5</v>
      </c>
      <c r="AB74" s="8">
        <v>123.34</v>
      </c>
      <c r="AC74" s="8">
        <v>129.25</v>
      </c>
    </row>
    <row r="75" spans="1:29" x14ac:dyDescent="0.25">
      <c r="A75">
        <v>73</v>
      </c>
      <c r="B75" s="8">
        <v>30.67</v>
      </c>
      <c r="C75" s="8">
        <v>38.020000000000003</v>
      </c>
      <c r="D75" s="8">
        <v>44.34</v>
      </c>
      <c r="E75" s="8">
        <v>67.48</v>
      </c>
      <c r="F75" s="8">
        <v>109.18</v>
      </c>
      <c r="G75" s="8">
        <v>111.36</v>
      </c>
      <c r="H75" s="8">
        <v>113.59</v>
      </c>
      <c r="I75" s="8">
        <v>29.47</v>
      </c>
      <c r="J75" s="8">
        <v>38.130000000000003</v>
      </c>
      <c r="K75" s="8">
        <v>47.69</v>
      </c>
      <c r="L75" s="8">
        <v>64.94</v>
      </c>
      <c r="M75" s="8">
        <v>94.24</v>
      </c>
      <c r="N75" s="8">
        <v>110.32</v>
      </c>
      <c r="O75" s="8">
        <v>122.56</v>
      </c>
      <c r="P75" s="8">
        <v>13.6</v>
      </c>
      <c r="Q75" s="8">
        <v>17.07</v>
      </c>
      <c r="R75" s="8">
        <v>20.2</v>
      </c>
      <c r="S75" s="8">
        <v>24.38</v>
      </c>
      <c r="T75" s="8">
        <v>29.03</v>
      </c>
      <c r="U75" s="8">
        <v>33.869999999999997</v>
      </c>
      <c r="V75" s="8">
        <v>38.299999999999997</v>
      </c>
      <c r="W75" s="8">
        <v>38.090000000000003</v>
      </c>
      <c r="X75" s="8">
        <v>56.59</v>
      </c>
      <c r="Y75" s="8">
        <v>97.75</v>
      </c>
      <c r="Z75" s="8">
        <v>104.79</v>
      </c>
      <c r="AA75" s="8">
        <v>105.84</v>
      </c>
      <c r="AB75" s="8">
        <v>123.85</v>
      </c>
      <c r="AC75" s="8">
        <v>130.12</v>
      </c>
    </row>
    <row r="76" spans="1:29" x14ac:dyDescent="0.25">
      <c r="A76">
        <v>74</v>
      </c>
      <c r="B76" s="8">
        <v>30.77</v>
      </c>
      <c r="C76" s="8">
        <v>38.130000000000003</v>
      </c>
      <c r="D76" s="8">
        <v>44.45</v>
      </c>
      <c r="E76" s="8">
        <v>67.599999999999994</v>
      </c>
      <c r="F76" s="8">
        <v>109.33</v>
      </c>
      <c r="G76" s="8">
        <v>111.52</v>
      </c>
      <c r="H76" s="8">
        <v>113.75</v>
      </c>
      <c r="I76" s="8">
        <v>29.72</v>
      </c>
      <c r="J76" s="8">
        <v>38.51</v>
      </c>
      <c r="K76" s="8">
        <v>48.32</v>
      </c>
      <c r="L76" s="8">
        <v>65.930000000000007</v>
      </c>
      <c r="M76" s="8">
        <v>95.8</v>
      </c>
      <c r="N76" s="8">
        <v>110.97</v>
      </c>
      <c r="O76" s="8">
        <v>123.97</v>
      </c>
      <c r="P76" s="8">
        <v>13.96</v>
      </c>
      <c r="Q76" s="8">
        <v>17.07</v>
      </c>
      <c r="R76" s="8">
        <v>20.21</v>
      </c>
      <c r="S76" s="8">
        <v>24.39</v>
      </c>
      <c r="T76" s="8">
        <v>29.51</v>
      </c>
      <c r="U76" s="8">
        <v>33.92</v>
      </c>
      <c r="V76" s="8">
        <v>38.299999999999997</v>
      </c>
      <c r="W76" s="8">
        <v>38.18</v>
      </c>
      <c r="X76" s="8">
        <v>56.7</v>
      </c>
      <c r="Y76" s="8">
        <v>97.85</v>
      </c>
      <c r="Z76" s="8">
        <v>104.88</v>
      </c>
      <c r="AA76" s="8">
        <v>105.93</v>
      </c>
      <c r="AB76" s="8">
        <v>123.93</v>
      </c>
      <c r="AC76" s="8">
        <v>130.22</v>
      </c>
    </row>
    <row r="77" spans="1:29" x14ac:dyDescent="0.25">
      <c r="A77">
        <v>75</v>
      </c>
      <c r="B77" s="8">
        <v>30.98</v>
      </c>
      <c r="C77" s="8">
        <v>38.369999999999997</v>
      </c>
      <c r="D77" s="8">
        <v>44.68</v>
      </c>
      <c r="E77" s="8">
        <v>68.959999999999994</v>
      </c>
      <c r="F77" s="8">
        <v>112.36</v>
      </c>
      <c r="G77" s="8">
        <v>114.61</v>
      </c>
      <c r="H77" s="8">
        <v>116.9</v>
      </c>
      <c r="I77" s="8">
        <v>29.86</v>
      </c>
      <c r="J77" s="8">
        <v>38.56</v>
      </c>
      <c r="K77" s="8">
        <v>48.9</v>
      </c>
      <c r="L77" s="8">
        <v>66.760000000000005</v>
      </c>
      <c r="M77" s="8">
        <v>96.67</v>
      </c>
      <c r="N77" s="8">
        <v>111.02</v>
      </c>
      <c r="O77" s="8">
        <v>124.37</v>
      </c>
      <c r="P77" s="8">
        <v>14.49</v>
      </c>
      <c r="Q77" s="8">
        <v>17.09</v>
      </c>
      <c r="R77" s="8">
        <v>20.21</v>
      </c>
      <c r="S77" s="8">
        <v>24.6</v>
      </c>
      <c r="T77" s="8">
        <v>29.52</v>
      </c>
      <c r="U77" s="8">
        <v>34.26</v>
      </c>
      <c r="V77" s="8">
        <v>38.299999999999997</v>
      </c>
      <c r="W77" s="8">
        <v>38.36</v>
      </c>
      <c r="X77" s="8">
        <v>56.88</v>
      </c>
      <c r="Y77" s="8">
        <v>98.01</v>
      </c>
      <c r="Z77" s="8">
        <v>105.05</v>
      </c>
      <c r="AA77" s="8">
        <v>106.1</v>
      </c>
      <c r="AB77" s="8">
        <v>124.1</v>
      </c>
      <c r="AC77" s="8">
        <v>130.38</v>
      </c>
    </row>
    <row r="78" spans="1:29" x14ac:dyDescent="0.25">
      <c r="A78">
        <v>76</v>
      </c>
      <c r="B78" s="8">
        <v>31.57</v>
      </c>
      <c r="C78" s="8">
        <v>38.6</v>
      </c>
      <c r="D78" s="8">
        <v>44.91</v>
      </c>
      <c r="E78" s="8">
        <v>69.459999999999994</v>
      </c>
      <c r="F78" s="8">
        <v>114.11</v>
      </c>
      <c r="G78" s="8">
        <v>116.39</v>
      </c>
      <c r="H78" s="8">
        <v>118.72</v>
      </c>
      <c r="I78" s="8">
        <v>30.05</v>
      </c>
      <c r="J78" s="8">
        <v>38.659999999999997</v>
      </c>
      <c r="K78" s="8">
        <v>49.12</v>
      </c>
      <c r="L78" s="8">
        <v>67.77</v>
      </c>
      <c r="M78" s="8">
        <v>98.33</v>
      </c>
      <c r="N78" s="8">
        <v>115.23</v>
      </c>
      <c r="O78" s="8">
        <v>133.21</v>
      </c>
      <c r="P78" s="8">
        <v>15.6</v>
      </c>
      <c r="Q78" s="8">
        <v>18.04</v>
      </c>
      <c r="R78" s="8">
        <v>20.34</v>
      </c>
      <c r="S78" s="8">
        <v>24.98</v>
      </c>
      <c r="T78" s="8">
        <v>30.17</v>
      </c>
      <c r="U78" s="8">
        <v>34.82</v>
      </c>
      <c r="V78" s="8">
        <v>38.68</v>
      </c>
      <c r="W78" s="8">
        <v>40.33</v>
      </c>
      <c r="X78" s="8">
        <v>58.46</v>
      </c>
      <c r="Y78" s="8">
        <v>98.54</v>
      </c>
      <c r="Z78" s="8">
        <v>105.95</v>
      </c>
      <c r="AA78" s="8">
        <v>107.01</v>
      </c>
      <c r="AB78" s="8">
        <v>127.38</v>
      </c>
      <c r="AC78" s="8">
        <v>130.54</v>
      </c>
    </row>
    <row r="79" spans="1:29" x14ac:dyDescent="0.25">
      <c r="A79">
        <v>77</v>
      </c>
      <c r="B79" s="8">
        <v>31.8</v>
      </c>
      <c r="C79" s="8">
        <v>38.83</v>
      </c>
      <c r="D79" s="8">
        <v>45.83</v>
      </c>
      <c r="E79" s="8">
        <v>69.69</v>
      </c>
      <c r="F79" s="8">
        <v>116.47</v>
      </c>
      <c r="G79" s="8">
        <v>119.98</v>
      </c>
      <c r="H79" s="8">
        <v>122.38</v>
      </c>
      <c r="I79" s="8">
        <v>31.29</v>
      </c>
      <c r="J79" s="8">
        <v>38.92</v>
      </c>
      <c r="K79" s="8">
        <v>49.81</v>
      </c>
      <c r="L79" s="8">
        <v>68.55</v>
      </c>
      <c r="M79" s="8">
        <v>99.55</v>
      </c>
      <c r="N79" s="8">
        <v>116.69</v>
      </c>
      <c r="O79" s="8">
        <v>133.22999999999999</v>
      </c>
      <c r="P79" s="8">
        <v>16.22</v>
      </c>
      <c r="Q79" s="8">
        <v>18.309999999999999</v>
      </c>
      <c r="R79" s="8">
        <v>20.59</v>
      </c>
      <c r="S79" s="8">
        <v>25.1</v>
      </c>
      <c r="T79" s="8">
        <v>30.34</v>
      </c>
      <c r="U79" s="8">
        <v>35.81</v>
      </c>
      <c r="V79" s="8">
        <v>38.700000000000003</v>
      </c>
      <c r="W79" s="8">
        <v>40.53</v>
      </c>
      <c r="X79" s="8">
        <v>60.42</v>
      </c>
      <c r="Y79" s="8">
        <v>98.94</v>
      </c>
      <c r="Z79" s="8">
        <v>109.34</v>
      </c>
      <c r="AA79" s="8">
        <v>111.34</v>
      </c>
      <c r="AB79" s="8">
        <v>127.71</v>
      </c>
      <c r="AC79" s="8">
        <v>130.71</v>
      </c>
    </row>
    <row r="80" spans="1:29" x14ac:dyDescent="0.25">
      <c r="A80">
        <v>78</v>
      </c>
      <c r="B80" s="8">
        <v>32.03</v>
      </c>
      <c r="C80" s="8">
        <v>39.06</v>
      </c>
      <c r="D80" s="8">
        <v>46.71</v>
      </c>
      <c r="E80" s="8">
        <v>73.040000000000006</v>
      </c>
      <c r="F80" s="8">
        <v>116.79</v>
      </c>
      <c r="G80" s="8">
        <v>120.92</v>
      </c>
      <c r="H80" s="8">
        <v>131.09</v>
      </c>
      <c r="I80" s="8">
        <v>31.31</v>
      </c>
      <c r="J80" s="8">
        <v>39.01</v>
      </c>
      <c r="K80" s="8">
        <v>50.32</v>
      </c>
      <c r="L80" s="8">
        <v>69.06</v>
      </c>
      <c r="M80" s="8">
        <v>99.61</v>
      </c>
      <c r="N80" s="8">
        <v>118.66</v>
      </c>
      <c r="O80" s="8">
        <v>133.26</v>
      </c>
      <c r="P80" s="8">
        <v>16.239999999999998</v>
      </c>
      <c r="Q80" s="8">
        <v>18.989999999999998</v>
      </c>
      <c r="R80" s="8">
        <v>21.19</v>
      </c>
      <c r="S80" s="8">
        <v>25.37</v>
      </c>
      <c r="T80" s="8">
        <v>30.53</v>
      </c>
      <c r="U80" s="8">
        <v>36.07</v>
      </c>
      <c r="V80" s="8">
        <v>38.700000000000003</v>
      </c>
      <c r="W80" s="8">
        <v>40.71</v>
      </c>
      <c r="X80" s="8">
        <v>60.62</v>
      </c>
      <c r="Y80" s="8">
        <v>102.57</v>
      </c>
      <c r="Z80" s="8">
        <v>110.8</v>
      </c>
      <c r="AA80" s="8">
        <v>114.24</v>
      </c>
      <c r="AB80" s="8">
        <v>129.13999999999999</v>
      </c>
      <c r="AC80" s="8">
        <v>130.87</v>
      </c>
    </row>
    <row r="81" spans="1:29" x14ac:dyDescent="0.25">
      <c r="A81">
        <v>79</v>
      </c>
      <c r="B81" s="8">
        <v>32.26</v>
      </c>
      <c r="C81" s="8">
        <v>39.29</v>
      </c>
      <c r="D81" s="8">
        <v>46.94</v>
      </c>
      <c r="E81" s="8">
        <v>73.37</v>
      </c>
      <c r="F81" s="8">
        <v>117.41</v>
      </c>
      <c r="G81" s="8">
        <v>129.38</v>
      </c>
      <c r="H81" s="8">
        <v>131.97</v>
      </c>
      <c r="I81" s="8">
        <v>31.65</v>
      </c>
      <c r="J81" s="8">
        <v>39.54</v>
      </c>
      <c r="K81" s="8">
        <v>50.39</v>
      </c>
      <c r="L81" s="8">
        <v>69.45</v>
      </c>
      <c r="M81" s="8">
        <v>99.95</v>
      </c>
      <c r="N81" s="8">
        <v>119.14</v>
      </c>
      <c r="O81" s="8">
        <v>133.28</v>
      </c>
      <c r="P81" s="8">
        <v>16.97</v>
      </c>
      <c r="Q81" s="8">
        <v>19.78</v>
      </c>
      <c r="R81" s="8">
        <v>21.7</v>
      </c>
      <c r="S81" s="8">
        <v>25.77</v>
      </c>
      <c r="T81" s="8">
        <v>31.17</v>
      </c>
      <c r="U81" s="8">
        <v>36.630000000000003</v>
      </c>
      <c r="V81" s="8">
        <v>39.299999999999997</v>
      </c>
      <c r="W81" s="8">
        <v>40.89</v>
      </c>
      <c r="X81" s="8">
        <v>60.79</v>
      </c>
      <c r="Y81" s="8">
        <v>102.93</v>
      </c>
      <c r="Z81" s="8">
        <v>112.45</v>
      </c>
      <c r="AA81" s="8">
        <v>115.93</v>
      </c>
      <c r="AB81" s="8">
        <v>131.35</v>
      </c>
      <c r="AC81" s="8">
        <v>132.66999999999999</v>
      </c>
    </row>
    <row r="82" spans="1:29" x14ac:dyDescent="0.25">
      <c r="A82">
        <v>80</v>
      </c>
      <c r="B82" s="8">
        <v>32.49</v>
      </c>
      <c r="C82" s="8">
        <v>39.520000000000003</v>
      </c>
      <c r="D82" s="8">
        <v>47.17</v>
      </c>
      <c r="E82" s="8">
        <v>73.61</v>
      </c>
      <c r="F82" s="8">
        <v>123.8</v>
      </c>
      <c r="G82" s="8">
        <v>130.27000000000001</v>
      </c>
      <c r="H82" s="8">
        <v>132.88</v>
      </c>
      <c r="I82" s="8">
        <v>31.67</v>
      </c>
      <c r="J82" s="8">
        <v>40.04</v>
      </c>
      <c r="K82" s="8">
        <v>50.94</v>
      </c>
      <c r="L82" s="8">
        <v>69.489999999999995</v>
      </c>
      <c r="M82" s="8">
        <v>99.99</v>
      </c>
      <c r="N82" s="8">
        <v>119.56</v>
      </c>
      <c r="O82" s="8">
        <v>133.30000000000001</v>
      </c>
      <c r="P82" s="8">
        <v>17.43</v>
      </c>
      <c r="Q82" s="8">
        <v>20.16</v>
      </c>
      <c r="R82" s="8">
        <v>21.82</v>
      </c>
      <c r="S82" s="8">
        <v>26.38</v>
      </c>
      <c r="T82" s="8">
        <v>31.69</v>
      </c>
      <c r="U82" s="8">
        <v>37.14</v>
      </c>
      <c r="V82" s="8">
        <v>39.6</v>
      </c>
      <c r="W82" s="8">
        <v>41.07</v>
      </c>
      <c r="X82" s="8">
        <v>60.97</v>
      </c>
      <c r="Y82" s="8">
        <v>103.1</v>
      </c>
      <c r="Z82" s="8">
        <v>112.81</v>
      </c>
      <c r="AA82" s="8">
        <v>116.26</v>
      </c>
      <c r="AB82" s="8">
        <v>131.9</v>
      </c>
      <c r="AC82" s="8">
        <v>133.22</v>
      </c>
    </row>
    <row r="83" spans="1:29" x14ac:dyDescent="0.25">
      <c r="A83">
        <v>81</v>
      </c>
      <c r="B83" s="8">
        <v>33.619999999999997</v>
      </c>
      <c r="C83" s="8">
        <v>39.729999999999997</v>
      </c>
      <c r="D83" s="8">
        <v>47.4</v>
      </c>
      <c r="E83" s="8">
        <v>73.849999999999994</v>
      </c>
      <c r="F83" s="8">
        <v>124.44</v>
      </c>
      <c r="G83" s="8">
        <v>130.5</v>
      </c>
      <c r="H83" s="8">
        <v>133.11000000000001</v>
      </c>
      <c r="I83" s="8">
        <v>31.82</v>
      </c>
      <c r="J83" s="8">
        <v>40.67</v>
      </c>
      <c r="K83" s="8">
        <v>51.22</v>
      </c>
      <c r="L83" s="8">
        <v>70.180000000000007</v>
      </c>
      <c r="M83" s="8">
        <v>100.13</v>
      </c>
      <c r="N83" s="8">
        <v>119.85</v>
      </c>
      <c r="O83" s="8">
        <v>134.06</v>
      </c>
      <c r="P83" s="8">
        <v>17.850000000000001</v>
      </c>
      <c r="Q83" s="8">
        <v>20.329999999999998</v>
      </c>
      <c r="R83" s="8">
        <v>22.35</v>
      </c>
      <c r="S83" s="8">
        <v>26.56</v>
      </c>
      <c r="T83" s="8">
        <v>32.1</v>
      </c>
      <c r="U83" s="8">
        <v>37.36</v>
      </c>
      <c r="V83" s="8">
        <v>39.74</v>
      </c>
      <c r="W83" s="8">
        <v>42.9</v>
      </c>
      <c r="X83" s="8">
        <v>61.76</v>
      </c>
      <c r="Y83" s="8">
        <v>106.15</v>
      </c>
      <c r="Z83" s="8">
        <v>119.72</v>
      </c>
      <c r="AA83" s="8">
        <v>122.43</v>
      </c>
      <c r="AB83" s="8">
        <v>135.22999999999999</v>
      </c>
      <c r="AC83" s="8">
        <v>136.74</v>
      </c>
    </row>
    <row r="84" spans="1:29" x14ac:dyDescent="0.25">
      <c r="A84">
        <v>82</v>
      </c>
      <c r="B84" s="8">
        <v>33.950000000000003</v>
      </c>
      <c r="C84" s="8">
        <v>39.93</v>
      </c>
      <c r="D84" s="8">
        <v>48.11</v>
      </c>
      <c r="E84" s="8">
        <v>74.08</v>
      </c>
      <c r="F84" s="8">
        <v>124.68</v>
      </c>
      <c r="G84" s="8">
        <v>130.72</v>
      </c>
      <c r="H84" s="8">
        <v>133.34</v>
      </c>
      <c r="I84" s="8">
        <v>32.07</v>
      </c>
      <c r="J84" s="8">
        <v>41.41</v>
      </c>
      <c r="K84" s="8">
        <v>52.03</v>
      </c>
      <c r="L84" s="8">
        <v>71.37</v>
      </c>
      <c r="M84" s="8">
        <v>106.25</v>
      </c>
      <c r="N84" s="8">
        <v>123.51</v>
      </c>
      <c r="O84" s="8">
        <v>135.58000000000001</v>
      </c>
      <c r="P84" s="8">
        <v>18.420000000000002</v>
      </c>
      <c r="Q84" s="8">
        <v>20.82</v>
      </c>
      <c r="R84" s="8">
        <v>23.36</v>
      </c>
      <c r="S84" s="8">
        <v>27.21</v>
      </c>
      <c r="T84" s="8">
        <v>32.18</v>
      </c>
      <c r="U84" s="8">
        <v>38.32</v>
      </c>
      <c r="V84" s="8">
        <v>39.880000000000003</v>
      </c>
      <c r="W84" s="8">
        <v>43.09</v>
      </c>
      <c r="X84" s="8">
        <v>61.94</v>
      </c>
      <c r="Y84" s="8">
        <v>106.71</v>
      </c>
      <c r="Z84" s="8">
        <v>120.41</v>
      </c>
      <c r="AA84" s="8">
        <v>123.05</v>
      </c>
      <c r="AB84" s="8">
        <v>135.56</v>
      </c>
      <c r="AC84" s="8">
        <v>137.08000000000001</v>
      </c>
    </row>
    <row r="85" spans="1:29" x14ac:dyDescent="0.25">
      <c r="A85">
        <v>83</v>
      </c>
      <c r="B85" s="8">
        <v>34.409999999999997</v>
      </c>
      <c r="C85" s="8">
        <v>40.56</v>
      </c>
      <c r="D85" s="8">
        <v>48.34</v>
      </c>
      <c r="E85" s="8">
        <v>74.319999999999993</v>
      </c>
      <c r="F85" s="8">
        <v>126.64</v>
      </c>
      <c r="G85" s="8">
        <v>130.94999999999999</v>
      </c>
      <c r="H85" s="8">
        <v>133.56</v>
      </c>
      <c r="I85" s="8">
        <v>32.549999999999997</v>
      </c>
      <c r="J85" s="8">
        <v>41.86</v>
      </c>
      <c r="K85" s="8">
        <v>52.05</v>
      </c>
      <c r="L85" s="8">
        <v>72.180000000000007</v>
      </c>
      <c r="M85" s="8">
        <v>106.36</v>
      </c>
      <c r="N85" s="8">
        <v>123.87</v>
      </c>
      <c r="O85" s="8">
        <v>137.21</v>
      </c>
      <c r="P85" s="8">
        <v>18.440000000000001</v>
      </c>
      <c r="Q85" s="8">
        <v>20.82</v>
      </c>
      <c r="R85" s="8">
        <v>23.37</v>
      </c>
      <c r="S85" s="8">
        <v>27.24</v>
      </c>
      <c r="T85" s="8">
        <v>32.28</v>
      </c>
      <c r="U85" s="8">
        <v>38.33</v>
      </c>
      <c r="V85" s="8">
        <v>40.020000000000003</v>
      </c>
      <c r="W85" s="8">
        <v>43.27</v>
      </c>
      <c r="X85" s="8">
        <v>62.12</v>
      </c>
      <c r="Y85" s="8">
        <v>106.88</v>
      </c>
      <c r="Z85" s="8">
        <v>120.58</v>
      </c>
      <c r="AA85" s="8">
        <v>123.22</v>
      </c>
      <c r="AB85" s="8">
        <v>135.74</v>
      </c>
      <c r="AC85" s="8">
        <v>137.26</v>
      </c>
    </row>
    <row r="86" spans="1:29" x14ac:dyDescent="0.25">
      <c r="A86">
        <v>84</v>
      </c>
      <c r="B86" s="8">
        <v>34.64</v>
      </c>
      <c r="C86" s="8">
        <v>40.79</v>
      </c>
      <c r="D86" s="8">
        <v>49.06</v>
      </c>
      <c r="E86" s="8">
        <v>74.56</v>
      </c>
      <c r="F86" s="8">
        <v>128</v>
      </c>
      <c r="G86" s="8">
        <v>133.16</v>
      </c>
      <c r="H86" s="8">
        <v>135.82</v>
      </c>
      <c r="I86" s="8">
        <v>32.89</v>
      </c>
      <c r="J86" s="8">
        <v>43.97</v>
      </c>
      <c r="K86" s="8">
        <v>52.06</v>
      </c>
      <c r="L86" s="8">
        <v>73.11</v>
      </c>
      <c r="M86" s="8">
        <v>106.49</v>
      </c>
      <c r="N86" s="8">
        <v>124.15</v>
      </c>
      <c r="O86" s="8">
        <v>138.52000000000001</v>
      </c>
      <c r="P86" s="8">
        <v>19.170000000000002</v>
      </c>
      <c r="Q86" s="8">
        <v>21.66</v>
      </c>
      <c r="R86" s="8">
        <v>24.04</v>
      </c>
      <c r="S86" s="8">
        <v>27.5</v>
      </c>
      <c r="T86" s="8">
        <v>33.07</v>
      </c>
      <c r="U86" s="8">
        <v>38.79</v>
      </c>
      <c r="V86" s="8">
        <v>40.06</v>
      </c>
      <c r="W86" s="8">
        <v>43.45</v>
      </c>
      <c r="X86" s="8">
        <v>62.3</v>
      </c>
      <c r="Y86" s="8">
        <v>107.06</v>
      </c>
      <c r="Z86" s="8">
        <v>120.75</v>
      </c>
      <c r="AA86" s="8">
        <v>123.39</v>
      </c>
      <c r="AB86" s="8">
        <v>138.49</v>
      </c>
      <c r="AC86" s="8">
        <v>140.13999999999999</v>
      </c>
    </row>
    <row r="87" spans="1:29" x14ac:dyDescent="0.25">
      <c r="A87">
        <v>85</v>
      </c>
      <c r="B87" s="8">
        <v>36.229999999999997</v>
      </c>
      <c r="C87" s="8">
        <v>41.72</v>
      </c>
      <c r="D87" s="8">
        <v>51.06</v>
      </c>
      <c r="E87" s="8">
        <v>77.61</v>
      </c>
      <c r="F87" s="8">
        <v>128.24</v>
      </c>
      <c r="G87" s="8">
        <v>133.38</v>
      </c>
      <c r="H87" s="8">
        <v>136.05000000000001</v>
      </c>
      <c r="I87" s="8">
        <v>33.04</v>
      </c>
      <c r="J87" s="8">
        <v>43.99</v>
      </c>
      <c r="K87" s="8">
        <v>52.75</v>
      </c>
      <c r="L87" s="8">
        <v>74.72</v>
      </c>
      <c r="M87" s="8">
        <v>109.91</v>
      </c>
      <c r="N87" s="8">
        <v>127.46</v>
      </c>
      <c r="O87" s="8">
        <v>140.66</v>
      </c>
      <c r="P87" s="8">
        <v>19.690000000000001</v>
      </c>
      <c r="Q87" s="8">
        <v>21.65</v>
      </c>
      <c r="R87" s="8">
        <v>24.06</v>
      </c>
      <c r="S87" s="8">
        <v>27.94</v>
      </c>
      <c r="T87" s="8">
        <v>33.270000000000003</v>
      </c>
      <c r="U87" s="8">
        <v>39.200000000000003</v>
      </c>
      <c r="V87" s="8">
        <v>40.49</v>
      </c>
      <c r="W87" s="8">
        <v>43.63</v>
      </c>
      <c r="X87" s="8">
        <v>62.48</v>
      </c>
      <c r="Y87" s="8">
        <v>107.23</v>
      </c>
      <c r="Z87" s="8">
        <v>120.93</v>
      </c>
      <c r="AA87" s="8">
        <v>123.56</v>
      </c>
      <c r="AB87" s="8">
        <v>138.51</v>
      </c>
      <c r="AC87" s="8">
        <v>140.46</v>
      </c>
    </row>
    <row r="88" spans="1:29" x14ac:dyDescent="0.25">
      <c r="A88">
        <v>86</v>
      </c>
      <c r="B88" s="8">
        <v>36.47</v>
      </c>
      <c r="C88" s="8">
        <v>43.01</v>
      </c>
      <c r="D88" s="8">
        <v>51.31</v>
      </c>
      <c r="E88" s="8">
        <v>77.91</v>
      </c>
      <c r="F88" s="8">
        <v>128.47</v>
      </c>
      <c r="G88" s="8">
        <v>133.59</v>
      </c>
      <c r="H88" s="8">
        <v>136.27000000000001</v>
      </c>
      <c r="I88" s="8">
        <v>34.54</v>
      </c>
      <c r="J88" s="8">
        <v>44.64</v>
      </c>
      <c r="K88" s="8">
        <v>53.88</v>
      </c>
      <c r="L88" s="8">
        <v>75.42</v>
      </c>
      <c r="M88" s="8">
        <v>111.53</v>
      </c>
      <c r="N88" s="8">
        <v>128.71</v>
      </c>
      <c r="O88" s="8">
        <v>142.44999999999999</v>
      </c>
      <c r="P88" s="8">
        <v>20.399999999999999</v>
      </c>
      <c r="Q88" s="8">
        <v>22.86</v>
      </c>
      <c r="R88" s="8">
        <v>25</v>
      </c>
      <c r="S88" s="8">
        <v>28.47</v>
      </c>
      <c r="T88" s="8">
        <v>33.99</v>
      </c>
      <c r="U88" s="8">
        <v>40.31</v>
      </c>
      <c r="V88" s="8">
        <v>41.73</v>
      </c>
      <c r="W88" s="8">
        <v>45.57</v>
      </c>
      <c r="X88" s="8">
        <v>64.86</v>
      </c>
      <c r="Y88" s="8">
        <v>107.54</v>
      </c>
      <c r="Z88" s="8">
        <v>122.45</v>
      </c>
      <c r="AA88" s="8">
        <v>123.79</v>
      </c>
      <c r="AB88" s="8">
        <v>138.94999999999999</v>
      </c>
      <c r="AC88" s="8">
        <v>140.63999999999999</v>
      </c>
    </row>
    <row r="89" spans="1:29" x14ac:dyDescent="0.25">
      <c r="A89">
        <v>87</v>
      </c>
      <c r="B89" s="8">
        <v>36.700000000000003</v>
      </c>
      <c r="C89" s="8">
        <v>43.53</v>
      </c>
      <c r="D89" s="8">
        <v>51.54</v>
      </c>
      <c r="E89" s="8">
        <v>78.150000000000006</v>
      </c>
      <c r="F89" s="8">
        <v>128.69999999999999</v>
      </c>
      <c r="G89" s="8">
        <v>134.49</v>
      </c>
      <c r="H89" s="8">
        <v>137.18</v>
      </c>
      <c r="I89" s="8">
        <v>34.94</v>
      </c>
      <c r="J89" s="8">
        <v>46.3</v>
      </c>
      <c r="K89" s="8">
        <v>54.57</v>
      </c>
      <c r="L89" s="8">
        <v>75.989999999999995</v>
      </c>
      <c r="M89" s="8">
        <v>112.04</v>
      </c>
      <c r="N89" s="8">
        <v>131.58000000000001</v>
      </c>
      <c r="O89" s="8">
        <v>144.02000000000001</v>
      </c>
      <c r="P89" s="8">
        <v>20.82</v>
      </c>
      <c r="Q89" s="8">
        <v>22.86</v>
      </c>
      <c r="R89" s="8">
        <v>25</v>
      </c>
      <c r="S89" s="8">
        <v>28.48</v>
      </c>
      <c r="T89" s="8">
        <v>34.43</v>
      </c>
      <c r="U89" s="8">
        <v>40.35</v>
      </c>
      <c r="V89" s="8">
        <v>41.79</v>
      </c>
      <c r="W89" s="8">
        <v>45.81</v>
      </c>
      <c r="X89" s="8">
        <v>65.09</v>
      </c>
      <c r="Y89" s="8">
        <v>111.4</v>
      </c>
      <c r="Z89" s="8">
        <v>123.07</v>
      </c>
      <c r="AA89" s="8">
        <v>124.34</v>
      </c>
      <c r="AB89" s="8">
        <v>139.16999999999999</v>
      </c>
      <c r="AC89" s="8">
        <v>140.86000000000001</v>
      </c>
    </row>
    <row r="90" spans="1:29" x14ac:dyDescent="0.25">
      <c r="A90">
        <v>88</v>
      </c>
      <c r="B90" s="8">
        <v>36.93</v>
      </c>
      <c r="C90" s="8">
        <v>43.89</v>
      </c>
      <c r="D90" s="8">
        <v>51.77</v>
      </c>
      <c r="E90" s="8">
        <v>78.39</v>
      </c>
      <c r="F90" s="8">
        <v>128.94</v>
      </c>
      <c r="G90" s="8">
        <v>135.53</v>
      </c>
      <c r="H90" s="8">
        <v>138.25</v>
      </c>
      <c r="I90" s="8">
        <v>34.97</v>
      </c>
      <c r="J90" s="8">
        <v>46.94</v>
      </c>
      <c r="K90" s="8">
        <v>54.87</v>
      </c>
      <c r="L90" s="8">
        <v>77.03</v>
      </c>
      <c r="M90" s="8">
        <v>112.14</v>
      </c>
      <c r="N90" s="8">
        <v>131.63999999999999</v>
      </c>
      <c r="O90" s="8">
        <v>145.41999999999999</v>
      </c>
      <c r="P90" s="8">
        <v>21.69</v>
      </c>
      <c r="Q90" s="8">
        <v>23.38</v>
      </c>
      <c r="R90" s="8">
        <v>25.79</v>
      </c>
      <c r="S90" s="8">
        <v>29.39</v>
      </c>
      <c r="T90" s="8">
        <v>34.56</v>
      </c>
      <c r="U90" s="8">
        <v>40.39</v>
      </c>
      <c r="V90" s="8">
        <v>42.25</v>
      </c>
      <c r="W90" s="8">
        <v>45.99</v>
      </c>
      <c r="X90" s="8">
        <v>65.23</v>
      </c>
      <c r="Y90" s="8">
        <v>111.78</v>
      </c>
      <c r="Z90" s="8">
        <v>123.24</v>
      </c>
      <c r="AA90" s="8">
        <v>124.66</v>
      </c>
      <c r="AB90" s="8">
        <v>139.69999999999999</v>
      </c>
      <c r="AC90" s="8">
        <v>141.57</v>
      </c>
    </row>
    <row r="91" spans="1:29" x14ac:dyDescent="0.25">
      <c r="A91">
        <v>89</v>
      </c>
      <c r="B91" s="8">
        <v>37.15</v>
      </c>
      <c r="C91" s="8">
        <v>43.94</v>
      </c>
      <c r="D91" s="8">
        <v>52</v>
      </c>
      <c r="E91" s="8">
        <v>78.63</v>
      </c>
      <c r="F91" s="8">
        <v>130.53</v>
      </c>
      <c r="G91" s="8">
        <v>135.76</v>
      </c>
      <c r="H91" s="8">
        <v>138.47999999999999</v>
      </c>
      <c r="I91" s="8">
        <v>34.99</v>
      </c>
      <c r="J91" s="8">
        <v>47.62</v>
      </c>
      <c r="K91" s="8">
        <v>55.41</v>
      </c>
      <c r="L91" s="8">
        <v>77.819999999999993</v>
      </c>
      <c r="M91" s="8">
        <v>113.74</v>
      </c>
      <c r="N91" s="8">
        <v>133.30000000000001</v>
      </c>
      <c r="O91" s="8">
        <v>146.80000000000001</v>
      </c>
      <c r="P91" s="8">
        <v>22.66</v>
      </c>
      <c r="Q91" s="8">
        <v>24.03</v>
      </c>
      <c r="R91" s="8">
        <v>26.31</v>
      </c>
      <c r="S91" s="8">
        <v>29.5</v>
      </c>
      <c r="T91" s="8">
        <v>35.31</v>
      </c>
      <c r="U91" s="8">
        <v>40.799999999999997</v>
      </c>
      <c r="V91" s="8">
        <v>43.14</v>
      </c>
      <c r="W91" s="8">
        <v>46.17</v>
      </c>
      <c r="X91" s="8">
        <v>65.37</v>
      </c>
      <c r="Y91" s="8">
        <v>116.39</v>
      </c>
      <c r="Z91" s="8">
        <v>127.46</v>
      </c>
      <c r="AA91" s="8">
        <v>130.99</v>
      </c>
      <c r="AB91" s="8">
        <v>149.33000000000001</v>
      </c>
      <c r="AC91" s="8">
        <v>155.79</v>
      </c>
    </row>
    <row r="92" spans="1:29" x14ac:dyDescent="0.25">
      <c r="A92">
        <v>90</v>
      </c>
      <c r="B92" s="8">
        <v>37.39</v>
      </c>
      <c r="C92" s="8">
        <v>43.95</v>
      </c>
      <c r="D92" s="8">
        <v>52.23</v>
      </c>
      <c r="E92" s="8">
        <v>78.87</v>
      </c>
      <c r="F92" s="8">
        <v>131.88999999999999</v>
      </c>
      <c r="G92" s="8">
        <v>135.99</v>
      </c>
      <c r="H92" s="8">
        <v>138.71</v>
      </c>
      <c r="I92" s="8">
        <v>35.01</v>
      </c>
      <c r="J92" s="8">
        <v>48.19</v>
      </c>
      <c r="K92" s="8">
        <v>56.17</v>
      </c>
      <c r="L92" s="8">
        <v>78.87</v>
      </c>
      <c r="M92" s="8">
        <v>115.32</v>
      </c>
      <c r="N92" s="8">
        <v>133.85</v>
      </c>
      <c r="O92" s="8">
        <v>148.30000000000001</v>
      </c>
      <c r="P92" s="8">
        <v>24.03</v>
      </c>
      <c r="Q92" s="8">
        <v>25.07</v>
      </c>
      <c r="R92" s="8">
        <v>27.41</v>
      </c>
      <c r="S92" s="8">
        <v>30.36</v>
      </c>
      <c r="T92" s="8">
        <v>35.82</v>
      </c>
      <c r="U92" s="8">
        <v>41.74</v>
      </c>
      <c r="V92" s="8">
        <v>43.99</v>
      </c>
      <c r="W92" s="8">
        <v>46.35</v>
      </c>
      <c r="X92" s="8">
        <v>65.52</v>
      </c>
      <c r="Y92" s="8">
        <v>119.69</v>
      </c>
      <c r="Z92" s="8">
        <v>128.19999999999999</v>
      </c>
      <c r="AA92" s="8">
        <v>132.63</v>
      </c>
      <c r="AB92" s="8">
        <v>155.65</v>
      </c>
      <c r="AC92" s="8">
        <v>158.74</v>
      </c>
    </row>
    <row r="93" spans="1:29" x14ac:dyDescent="0.25">
      <c r="A93">
        <v>91</v>
      </c>
      <c r="B93" s="8">
        <v>37.619999999999997</v>
      </c>
      <c r="C93" s="8">
        <v>44.16</v>
      </c>
      <c r="D93" s="8">
        <v>52.46</v>
      </c>
      <c r="E93" s="8">
        <v>79.099999999999994</v>
      </c>
      <c r="F93" s="8">
        <v>132.12</v>
      </c>
      <c r="G93" s="8">
        <v>136.21</v>
      </c>
      <c r="H93" s="8">
        <v>138.94</v>
      </c>
      <c r="I93" s="8">
        <v>37.590000000000003</v>
      </c>
      <c r="J93" s="8">
        <v>48.53</v>
      </c>
      <c r="K93" s="8">
        <v>56.55</v>
      </c>
      <c r="L93" s="8">
        <v>79.569999999999993</v>
      </c>
      <c r="M93" s="8">
        <v>115.37</v>
      </c>
      <c r="N93" s="8">
        <v>134.52000000000001</v>
      </c>
      <c r="O93" s="8">
        <v>150.74</v>
      </c>
      <c r="P93" s="8">
        <v>24.03</v>
      </c>
      <c r="Q93" s="8">
        <v>25.08</v>
      </c>
      <c r="R93" s="8">
        <v>27.42</v>
      </c>
      <c r="S93" s="8">
        <v>30.39</v>
      </c>
      <c r="T93" s="8">
        <v>35.840000000000003</v>
      </c>
      <c r="U93" s="8">
        <v>41.75</v>
      </c>
      <c r="V93" s="8">
        <v>43.99</v>
      </c>
      <c r="W93" s="8">
        <v>46.58</v>
      </c>
      <c r="X93" s="8">
        <v>65.66</v>
      </c>
      <c r="Y93" s="8">
        <v>120.02</v>
      </c>
      <c r="Z93" s="8">
        <v>128.37</v>
      </c>
      <c r="AA93" s="8">
        <v>132.80000000000001</v>
      </c>
      <c r="AB93" s="8">
        <v>156.28</v>
      </c>
      <c r="AC93" s="8">
        <v>159.04</v>
      </c>
    </row>
    <row r="94" spans="1:29" x14ac:dyDescent="0.25">
      <c r="A94">
        <v>92</v>
      </c>
      <c r="B94" s="8">
        <v>37.85</v>
      </c>
      <c r="C94" s="8">
        <v>44.39</v>
      </c>
      <c r="D94" s="8">
        <v>52.69</v>
      </c>
      <c r="E94" s="8">
        <v>79.34</v>
      </c>
      <c r="F94" s="8">
        <v>132.35</v>
      </c>
      <c r="G94" s="8">
        <v>136.43</v>
      </c>
      <c r="H94" s="8">
        <v>139.16999999999999</v>
      </c>
      <c r="I94" s="8">
        <v>37.68</v>
      </c>
      <c r="J94" s="8">
        <v>48.56</v>
      </c>
      <c r="K94" s="8">
        <v>57.05</v>
      </c>
      <c r="L94" s="8">
        <v>80.62</v>
      </c>
      <c r="M94" s="8">
        <v>115.97</v>
      </c>
      <c r="N94" s="8">
        <v>134.97999999999999</v>
      </c>
      <c r="O94" s="8">
        <v>152.5</v>
      </c>
      <c r="P94" s="8">
        <v>24.56</v>
      </c>
      <c r="Q94" s="8">
        <v>25.29</v>
      </c>
      <c r="R94" s="8">
        <v>27.56</v>
      </c>
      <c r="S94" s="8">
        <v>30.61</v>
      </c>
      <c r="T94" s="8">
        <v>36.21</v>
      </c>
      <c r="U94" s="8">
        <v>41.76</v>
      </c>
      <c r="V94" s="8">
        <v>44.07</v>
      </c>
      <c r="W94" s="8">
        <v>46.73</v>
      </c>
      <c r="X94" s="8">
        <v>65.81</v>
      </c>
      <c r="Y94" s="8">
        <v>120.17</v>
      </c>
      <c r="Z94" s="8">
        <v>128.53</v>
      </c>
      <c r="AA94" s="8">
        <v>133.03</v>
      </c>
      <c r="AB94" s="8">
        <v>156.46</v>
      </c>
      <c r="AC94" s="8">
        <v>159.22999999999999</v>
      </c>
    </row>
    <row r="95" spans="1:29" x14ac:dyDescent="0.25">
      <c r="A95">
        <v>93</v>
      </c>
      <c r="B95" s="8">
        <v>38.08</v>
      </c>
      <c r="C95" s="8">
        <v>44.62</v>
      </c>
      <c r="D95" s="8">
        <v>53.31</v>
      </c>
      <c r="E95" s="8">
        <v>79.58</v>
      </c>
      <c r="F95" s="8">
        <v>132.59</v>
      </c>
      <c r="G95" s="8">
        <v>136.66</v>
      </c>
      <c r="H95" s="8">
        <v>139.38999999999999</v>
      </c>
      <c r="I95" s="8">
        <v>37.75</v>
      </c>
      <c r="J95" s="8">
        <v>48.58</v>
      </c>
      <c r="K95" s="8">
        <v>57.8</v>
      </c>
      <c r="L95" s="8">
        <v>81.19</v>
      </c>
      <c r="M95" s="8">
        <v>116.04</v>
      </c>
      <c r="N95" s="8">
        <v>138.68</v>
      </c>
      <c r="O95" s="8">
        <v>154.18</v>
      </c>
      <c r="P95" s="8">
        <v>24.9</v>
      </c>
      <c r="Q95" s="8">
        <v>25.56</v>
      </c>
      <c r="R95" s="8">
        <v>28.11</v>
      </c>
      <c r="S95" s="8">
        <v>30.69</v>
      </c>
      <c r="T95" s="8">
        <v>36.28</v>
      </c>
      <c r="U95" s="8">
        <v>41.76</v>
      </c>
      <c r="V95" s="8">
        <v>44.13</v>
      </c>
      <c r="W95" s="8">
        <v>46.87</v>
      </c>
      <c r="X95" s="8">
        <v>65.95</v>
      </c>
      <c r="Y95" s="8">
        <v>120.31</v>
      </c>
      <c r="Z95" s="8">
        <v>128.69999999999999</v>
      </c>
      <c r="AA95" s="8">
        <v>133.19999999999999</v>
      </c>
      <c r="AB95" s="8">
        <v>156.63</v>
      </c>
      <c r="AC95" s="8">
        <v>159.41999999999999</v>
      </c>
    </row>
    <row r="96" spans="1:29" x14ac:dyDescent="0.25">
      <c r="A96">
        <v>94</v>
      </c>
      <c r="B96" s="8">
        <v>38.31</v>
      </c>
      <c r="C96" s="8">
        <v>44.85</v>
      </c>
      <c r="D96" s="8">
        <v>53.34</v>
      </c>
      <c r="E96" s="8">
        <v>79.81</v>
      </c>
      <c r="F96" s="8">
        <v>132.82</v>
      </c>
      <c r="G96" s="8">
        <v>136.88999999999999</v>
      </c>
      <c r="H96" s="8">
        <v>139.63</v>
      </c>
      <c r="I96" s="8">
        <v>37.81</v>
      </c>
      <c r="J96" s="8">
        <v>48.64</v>
      </c>
      <c r="K96" s="8">
        <v>58.43</v>
      </c>
      <c r="L96" s="8">
        <v>83.07</v>
      </c>
      <c r="M96" s="8">
        <v>118.61</v>
      </c>
      <c r="N96" s="8">
        <v>139.44999999999999</v>
      </c>
      <c r="O96" s="8">
        <v>156.09</v>
      </c>
      <c r="P96" s="8">
        <v>25.02</v>
      </c>
      <c r="Q96" s="8">
        <v>26.23</v>
      </c>
      <c r="R96" s="8">
        <v>28.24</v>
      </c>
      <c r="S96" s="8">
        <v>31.08</v>
      </c>
      <c r="T96" s="8">
        <v>37.049999999999997</v>
      </c>
      <c r="U96" s="8">
        <v>41.77</v>
      </c>
      <c r="V96" s="8">
        <v>45</v>
      </c>
      <c r="W96" s="8">
        <v>47.02</v>
      </c>
      <c r="X96" s="8">
        <v>66.099999999999994</v>
      </c>
      <c r="Y96" s="8">
        <v>120.46</v>
      </c>
      <c r="Z96" s="8">
        <v>128.86000000000001</v>
      </c>
      <c r="AA96" s="8">
        <v>133.37</v>
      </c>
      <c r="AB96" s="8">
        <v>156.87</v>
      </c>
      <c r="AC96" s="8">
        <v>159.61000000000001</v>
      </c>
    </row>
    <row r="97" spans="1:29" x14ac:dyDescent="0.25">
      <c r="A97">
        <v>95</v>
      </c>
      <c r="B97" s="8">
        <v>38.54</v>
      </c>
      <c r="C97" s="8">
        <v>45.08</v>
      </c>
      <c r="D97" s="8">
        <v>53.54</v>
      </c>
      <c r="E97" s="8">
        <v>80.06</v>
      </c>
      <c r="F97" s="8">
        <v>133.22999999999999</v>
      </c>
      <c r="G97" s="8">
        <v>138.1</v>
      </c>
      <c r="H97" s="8">
        <v>140.87</v>
      </c>
      <c r="I97" s="8">
        <v>37.85</v>
      </c>
      <c r="J97" s="8">
        <v>48.89</v>
      </c>
      <c r="K97" s="8">
        <v>58.82</v>
      </c>
      <c r="L97" s="8">
        <v>84.64</v>
      </c>
      <c r="M97" s="8">
        <v>119.63</v>
      </c>
      <c r="N97" s="8">
        <v>141.26</v>
      </c>
      <c r="O97" s="8">
        <v>165.41</v>
      </c>
      <c r="P97" s="8">
        <v>25.37</v>
      </c>
      <c r="Q97" s="8">
        <v>26.47</v>
      </c>
      <c r="R97" s="8">
        <v>28.44</v>
      </c>
      <c r="S97" s="8">
        <v>31.5</v>
      </c>
      <c r="T97" s="8">
        <v>37.159999999999997</v>
      </c>
      <c r="U97" s="8">
        <v>41.91</v>
      </c>
      <c r="V97" s="8">
        <v>45.48</v>
      </c>
      <c r="W97" s="8">
        <v>47.16</v>
      </c>
      <c r="X97" s="8">
        <v>66.239999999999995</v>
      </c>
      <c r="Y97" s="8">
        <v>120.6</v>
      </c>
      <c r="Z97" s="8">
        <v>129.79</v>
      </c>
      <c r="AA97" s="8">
        <v>133.55000000000001</v>
      </c>
      <c r="AB97" s="8">
        <v>157.04</v>
      </c>
      <c r="AC97" s="8">
        <v>159.80000000000001</v>
      </c>
    </row>
    <row r="98" spans="1:29" x14ac:dyDescent="0.25">
      <c r="A98">
        <v>96</v>
      </c>
      <c r="B98" s="8">
        <v>39.11</v>
      </c>
      <c r="C98" s="8">
        <v>45.29</v>
      </c>
      <c r="D98" s="8">
        <v>54.91</v>
      </c>
      <c r="E98" s="8">
        <v>81.47</v>
      </c>
      <c r="F98" s="8">
        <v>135.61000000000001</v>
      </c>
      <c r="G98" s="8">
        <v>138.33000000000001</v>
      </c>
      <c r="H98" s="8">
        <v>141.1</v>
      </c>
      <c r="I98" s="8">
        <v>37.93</v>
      </c>
      <c r="J98" s="8">
        <v>49.13</v>
      </c>
      <c r="K98" s="8">
        <v>58.84</v>
      </c>
      <c r="L98" s="8">
        <v>86.21</v>
      </c>
      <c r="M98" s="8">
        <v>120.57</v>
      </c>
      <c r="N98" s="8">
        <v>141.33000000000001</v>
      </c>
      <c r="O98" s="8">
        <v>166.31</v>
      </c>
      <c r="P98" s="8">
        <v>26.18</v>
      </c>
      <c r="Q98" s="8">
        <v>26.64</v>
      </c>
      <c r="R98" s="8">
        <v>29.47</v>
      </c>
      <c r="S98" s="8">
        <v>31.85</v>
      </c>
      <c r="T98" s="8">
        <v>37.17</v>
      </c>
      <c r="U98" s="8">
        <v>41.92</v>
      </c>
      <c r="V98" s="8">
        <v>45.93</v>
      </c>
      <c r="W98" s="8">
        <v>47.3</v>
      </c>
      <c r="X98" s="8">
        <v>67.05</v>
      </c>
      <c r="Y98" s="8">
        <v>120.74</v>
      </c>
      <c r="Z98" s="8">
        <v>130.65</v>
      </c>
      <c r="AA98" s="8">
        <v>134.57</v>
      </c>
      <c r="AB98" s="8">
        <v>157.54</v>
      </c>
      <c r="AC98" s="8">
        <v>159.97</v>
      </c>
    </row>
    <row r="99" spans="1:29" x14ac:dyDescent="0.25">
      <c r="A99">
        <v>97</v>
      </c>
      <c r="B99" s="8">
        <v>39.31</v>
      </c>
      <c r="C99" s="8">
        <v>45.54</v>
      </c>
      <c r="D99" s="8">
        <v>56.23</v>
      </c>
      <c r="E99" s="8">
        <v>81.709999999999994</v>
      </c>
      <c r="F99" s="8">
        <v>138.47</v>
      </c>
      <c r="G99" s="8">
        <v>141.24</v>
      </c>
      <c r="H99" s="8">
        <v>144.06</v>
      </c>
      <c r="I99" s="8">
        <v>38.090000000000003</v>
      </c>
      <c r="J99" s="8">
        <v>49.56</v>
      </c>
      <c r="K99" s="8">
        <v>60.48</v>
      </c>
      <c r="L99" s="8">
        <v>87.29</v>
      </c>
      <c r="M99" s="8">
        <v>122</v>
      </c>
      <c r="N99" s="8">
        <v>144.15</v>
      </c>
      <c r="O99" s="8">
        <v>168.99</v>
      </c>
      <c r="P99" s="8">
        <v>27.04</v>
      </c>
      <c r="Q99" s="8">
        <v>27.68</v>
      </c>
      <c r="R99" s="8">
        <v>29.9</v>
      </c>
      <c r="S99" s="8">
        <v>32.33</v>
      </c>
      <c r="T99" s="8">
        <v>37.93</v>
      </c>
      <c r="U99" s="8">
        <v>42.52</v>
      </c>
      <c r="V99" s="8">
        <v>46.85</v>
      </c>
      <c r="W99" s="8">
        <v>47.51</v>
      </c>
      <c r="X99" s="8">
        <v>67.2</v>
      </c>
      <c r="Y99" s="8">
        <v>120.89</v>
      </c>
      <c r="Z99" s="8">
        <v>131.72999999999999</v>
      </c>
      <c r="AA99" s="8">
        <v>135.96</v>
      </c>
      <c r="AB99" s="8">
        <v>157.71</v>
      </c>
      <c r="AC99" s="8">
        <v>160.18</v>
      </c>
    </row>
    <row r="100" spans="1:29" x14ac:dyDescent="0.25">
      <c r="A100">
        <v>98</v>
      </c>
      <c r="B100" s="8">
        <v>39.5</v>
      </c>
      <c r="C100" s="8">
        <v>45.77</v>
      </c>
      <c r="D100" s="8">
        <v>56.46</v>
      </c>
      <c r="E100" s="8">
        <v>81.95</v>
      </c>
      <c r="F100" s="8">
        <v>141.71</v>
      </c>
      <c r="G100" s="8">
        <v>144.55000000000001</v>
      </c>
      <c r="H100" s="8">
        <v>147.41999999999999</v>
      </c>
      <c r="I100" s="8">
        <v>38.299999999999997</v>
      </c>
      <c r="J100" s="8">
        <v>49.62</v>
      </c>
      <c r="K100" s="8">
        <v>60.54</v>
      </c>
      <c r="L100" s="8">
        <v>87.64</v>
      </c>
      <c r="M100" s="8">
        <v>122.09</v>
      </c>
      <c r="N100" s="8">
        <v>146.26</v>
      </c>
      <c r="O100" s="8">
        <v>170.32</v>
      </c>
      <c r="P100" s="8">
        <v>27.4</v>
      </c>
      <c r="Q100" s="8">
        <v>27.86</v>
      </c>
      <c r="R100" s="8">
        <v>29.91</v>
      </c>
      <c r="S100" s="8">
        <v>32.71</v>
      </c>
      <c r="T100" s="8">
        <v>38.36</v>
      </c>
      <c r="U100" s="8">
        <v>42.52</v>
      </c>
      <c r="V100" s="8">
        <v>46.85</v>
      </c>
      <c r="W100" s="8">
        <v>47.63</v>
      </c>
      <c r="X100" s="8">
        <v>67.34</v>
      </c>
      <c r="Y100" s="8">
        <v>121.03</v>
      </c>
      <c r="Z100" s="8">
        <v>132.13</v>
      </c>
      <c r="AA100" s="8">
        <v>138.65</v>
      </c>
      <c r="AB100" s="8">
        <v>158.09</v>
      </c>
      <c r="AC100" s="8">
        <v>160.57</v>
      </c>
    </row>
    <row r="101" spans="1:29" x14ac:dyDescent="0.25">
      <c r="A101">
        <v>99</v>
      </c>
      <c r="B101" s="8">
        <v>39.700000000000003</v>
      </c>
      <c r="C101" s="8">
        <v>46</v>
      </c>
      <c r="D101" s="8">
        <v>57.8</v>
      </c>
      <c r="E101" s="8">
        <v>86.72</v>
      </c>
      <c r="F101" s="8">
        <v>142.72</v>
      </c>
      <c r="G101" s="8">
        <v>149.55000000000001</v>
      </c>
      <c r="H101" s="8">
        <v>155.79</v>
      </c>
      <c r="I101" s="8">
        <v>40.79</v>
      </c>
      <c r="J101" s="8">
        <v>49.94</v>
      </c>
      <c r="K101" s="8">
        <v>62.26</v>
      </c>
      <c r="L101" s="8">
        <v>90.73</v>
      </c>
      <c r="M101" s="8">
        <v>127.96</v>
      </c>
      <c r="N101" s="8">
        <v>150.63</v>
      </c>
      <c r="O101" s="8">
        <v>172.24</v>
      </c>
      <c r="P101" s="8">
        <v>28</v>
      </c>
      <c r="Q101" s="8">
        <v>28.04</v>
      </c>
      <c r="R101" s="8">
        <v>30.75</v>
      </c>
      <c r="S101" s="8">
        <v>33.119999999999997</v>
      </c>
      <c r="T101" s="8">
        <v>38.450000000000003</v>
      </c>
      <c r="U101" s="8">
        <v>42.95</v>
      </c>
      <c r="V101" s="8">
        <v>47.32</v>
      </c>
      <c r="W101" s="8">
        <v>48.02</v>
      </c>
      <c r="X101" s="8">
        <v>67.489999999999995</v>
      </c>
      <c r="Y101" s="8">
        <v>121.18</v>
      </c>
      <c r="Z101" s="8">
        <v>139.32</v>
      </c>
      <c r="AA101" s="8">
        <v>142.80000000000001</v>
      </c>
      <c r="AB101" s="8">
        <v>165.59</v>
      </c>
      <c r="AC101" s="8">
        <v>168.2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103"/>
  <sheetViews>
    <sheetView topLeftCell="A13" workbookViewId="0">
      <selection activeCell="A13" sqref="A1:XFD1048576"/>
    </sheetView>
  </sheetViews>
  <sheetFormatPr defaultColWidth="9.140625" defaultRowHeight="12" x14ac:dyDescent="0.2"/>
  <cols>
    <col min="1" max="1" width="5.42578125" style="2" bestFit="1" customWidth="1"/>
    <col min="2" max="2" width="13.28515625" style="2" bestFit="1" customWidth="1"/>
    <col min="3" max="4" width="9.85546875" style="2" bestFit="1" customWidth="1"/>
    <col min="5" max="6" width="10.85546875" style="2" bestFit="1" customWidth="1"/>
    <col min="7" max="7" width="9.85546875" style="2" bestFit="1" customWidth="1"/>
    <col min="8" max="8" width="10.85546875" style="2" bestFit="1" customWidth="1"/>
    <col min="9" max="11" width="8.5703125" style="2" bestFit="1" customWidth="1"/>
    <col min="12" max="14" width="9.85546875" style="2" bestFit="1" customWidth="1"/>
    <col min="15" max="15" width="10.85546875" style="2" bestFit="1" customWidth="1"/>
    <col min="16" max="16" width="11.85546875" style="5" bestFit="1" customWidth="1"/>
    <col min="17" max="17" width="10.85546875" style="5" bestFit="1" customWidth="1"/>
    <col min="18" max="22" width="11.85546875" style="5" bestFit="1" customWidth="1"/>
    <col min="23" max="29" width="12.28515625" style="2" bestFit="1" customWidth="1"/>
    <col min="30" max="16384" width="9.140625" style="2"/>
  </cols>
  <sheetData>
    <row r="1" spans="1:29" x14ac:dyDescent="0.2">
      <c r="A1" s="2" t="s">
        <v>28</v>
      </c>
      <c r="B1" s="2" t="s">
        <v>3</v>
      </c>
      <c r="C1" s="2" t="s">
        <v>6</v>
      </c>
      <c r="D1" s="2" t="s">
        <v>5</v>
      </c>
      <c r="E1" s="2" t="s">
        <v>1</v>
      </c>
      <c r="F1" s="2" t="s">
        <v>4</v>
      </c>
      <c r="G1" s="2" t="s">
        <v>2</v>
      </c>
      <c r="H1" s="2" t="s">
        <v>0</v>
      </c>
      <c r="I1" s="2" t="s">
        <v>17</v>
      </c>
      <c r="J1" s="2" t="s">
        <v>20</v>
      </c>
      <c r="K1" s="2" t="s">
        <v>16</v>
      </c>
      <c r="L1" s="2" t="s">
        <v>18</v>
      </c>
      <c r="M1" s="2" t="s">
        <v>19</v>
      </c>
      <c r="N1" s="2" t="s">
        <v>14</v>
      </c>
      <c r="O1" s="2" t="s">
        <v>15</v>
      </c>
      <c r="P1" s="5" t="s">
        <v>23</v>
      </c>
      <c r="Q1" s="5" t="s">
        <v>22</v>
      </c>
      <c r="R1" s="5" t="s">
        <v>27</v>
      </c>
      <c r="S1" s="5" t="s">
        <v>25</v>
      </c>
      <c r="T1" s="5" t="s">
        <v>26</v>
      </c>
      <c r="U1" s="5" t="s">
        <v>24</v>
      </c>
      <c r="V1" s="5" t="s">
        <v>21</v>
      </c>
      <c r="W1" s="2" t="s">
        <v>10</v>
      </c>
      <c r="X1" s="2" t="s">
        <v>9</v>
      </c>
      <c r="Y1" s="2" t="s">
        <v>13</v>
      </c>
      <c r="Z1" s="2" t="s">
        <v>11</v>
      </c>
      <c r="AA1" s="2" t="s">
        <v>12</v>
      </c>
      <c r="AB1" s="2" t="s">
        <v>8</v>
      </c>
      <c r="AC1" s="2" t="s">
        <v>7</v>
      </c>
    </row>
    <row r="2" spans="1:29" x14ac:dyDescent="0.2">
      <c r="A2" s="2">
        <v>1</v>
      </c>
      <c r="B2" s="4">
        <f>SUM('TOTAL VOLUME'!B2*'UPS RATES'!B3)</f>
        <v>459.42</v>
      </c>
      <c r="C2" s="4">
        <f>SUM('TOTAL VOLUME'!C2*'UPS RATES'!C3)</f>
        <v>145.08000000000001</v>
      </c>
      <c r="D2" s="4">
        <f>SUM('TOTAL VOLUME'!D2*'UPS RATES'!D3)</f>
        <v>314.34000000000003</v>
      </c>
      <c r="E2" s="4">
        <f>SUM('TOTAL VOLUME'!E2*'UPS RATES'!E3)</f>
        <v>314.34000000000003</v>
      </c>
      <c r="F2" s="4">
        <f>SUM('TOTAL VOLUME'!F2*'UPS RATES'!F3)</f>
        <v>234.60999999999999</v>
      </c>
      <c r="G2" s="4">
        <f>SUM('TOTAL VOLUME'!G2*'UPS RATES'!G3)</f>
        <v>77.67</v>
      </c>
      <c r="H2" s="4">
        <f>SUM('TOTAL VOLUME'!H2*'UPS RATES'!H3)</f>
        <v>299.20000000000005</v>
      </c>
      <c r="I2" s="4">
        <f>SUM('TOTAL VOLUME'!I2*'UPS RATES'!I3)</f>
        <v>74.16</v>
      </c>
      <c r="J2" s="4">
        <f>SUM('TOTAL VOLUME'!J2*'UPS RATES'!J3)</f>
        <v>8.24</v>
      </c>
      <c r="K2" s="4">
        <f>SUM('TOTAL VOLUME'!K2*'UPS RATES'!K3)</f>
        <v>41.2</v>
      </c>
      <c r="L2" s="4">
        <f>SUM('TOTAL VOLUME'!L2*'UPS RATES'!L3)</f>
        <v>57.68</v>
      </c>
      <c r="M2" s="4">
        <f>SUM('TOTAL VOLUME'!M2*'UPS RATES'!M3)</f>
        <v>53.88</v>
      </c>
      <c r="N2" s="4">
        <f>SUM('TOTAL VOLUME'!N2*'UPS RATES'!N3)</f>
        <v>19.739999999999998</v>
      </c>
      <c r="O2" s="4">
        <f>SUM('TOTAL VOLUME'!O2*'UPS RATES'!O3)</f>
        <v>203.29999999999998</v>
      </c>
      <c r="P2" s="4">
        <f>SUM('TOTAL VOLUME'!P2*'UPS RATES'!P3)</f>
        <v>25112.55</v>
      </c>
      <c r="Q2" s="4">
        <f>SUM('TOTAL VOLUME'!Q2*'UPS RATES'!Q3)</f>
        <v>9081.18</v>
      </c>
      <c r="R2" s="4">
        <f>SUM('TOTAL VOLUME'!R2*'UPS RATES'!R3)</f>
        <v>20955.990000000002</v>
      </c>
      <c r="S2" s="4">
        <f>SUM('TOTAL VOLUME'!S2*'UPS RATES'!S3)</f>
        <v>26979.99</v>
      </c>
      <c r="T2" s="4">
        <f>SUM('TOTAL VOLUME'!T2*'UPS RATES'!T3)</f>
        <v>7507.41</v>
      </c>
      <c r="U2" s="4">
        <f>SUM('TOTAL VOLUME'!U2*'UPS RATES'!U3)</f>
        <v>3147.54</v>
      </c>
      <c r="V2" s="4">
        <f>SUM('TOTAL VOLUME'!V2*'UPS RATES'!V3)</f>
        <v>7567.6500000000005</v>
      </c>
      <c r="W2" s="4">
        <f>SUM('TOTAL VOLUME'!W2*'UPS RATES'!W3)</f>
        <v>5075.84</v>
      </c>
      <c r="X2" s="4">
        <f>SUM('TOTAL VOLUME'!X2*'UPS RATES'!X3)</f>
        <v>838.42</v>
      </c>
      <c r="Y2" s="4">
        <f>SUM('TOTAL VOLUME'!Y2*'UPS RATES'!Y3)</f>
        <v>1288.98</v>
      </c>
      <c r="Z2" s="4">
        <f>SUM('TOTAL VOLUME'!Z2*'UPS RATES'!Z3)</f>
        <v>2318.4</v>
      </c>
      <c r="AA2" s="4">
        <f>SUM('TOTAL VOLUME'!AA2*'UPS RATES'!AA3)</f>
        <v>1910.16</v>
      </c>
      <c r="AB2" s="4">
        <f>SUM('TOTAL VOLUME'!AB2*'UPS RATES'!AB3)</f>
        <v>1291.5</v>
      </c>
      <c r="AC2" s="4">
        <f>SUM('TOTAL VOLUME'!AC2*'UPS RATES'!AC3)</f>
        <v>4404.8100000000004</v>
      </c>
    </row>
    <row r="3" spans="1:29" x14ac:dyDescent="0.2">
      <c r="A3" s="2">
        <v>2</v>
      </c>
      <c r="B3" s="4">
        <f>SUM('TOTAL VOLUME'!B3*'UPS RATES'!B4)</f>
        <v>346.58000000000004</v>
      </c>
      <c r="C3" s="4">
        <f>SUM('TOTAL VOLUME'!C3*'UPS RATES'!C4)</f>
        <v>161.20000000000002</v>
      </c>
      <c r="D3" s="4">
        <f>SUM('TOTAL VOLUME'!D3*'UPS RATES'!D4)</f>
        <v>201.5</v>
      </c>
      <c r="E3" s="4">
        <f>SUM('TOTAL VOLUME'!E3*'UPS RATES'!E4)</f>
        <v>241.8</v>
      </c>
      <c r="F3" s="4">
        <f>SUM('TOTAL VOLUME'!F3*'UPS RATES'!F4)</f>
        <v>218.39999999999998</v>
      </c>
      <c r="G3" s="4">
        <f>SUM('TOTAL VOLUME'!G3*'UPS RATES'!G4)</f>
        <v>171.53</v>
      </c>
      <c r="H3" s="4">
        <f>SUM('TOTAL VOLUME'!H3*'UPS RATES'!H4)</f>
        <v>509.76</v>
      </c>
      <c r="I3" s="4">
        <f>SUM('TOTAL VOLUME'!I3*'UPS RATES'!I4)</f>
        <v>16.48</v>
      </c>
      <c r="J3" s="4">
        <f>SUM('TOTAL VOLUME'!J3*'UPS RATES'!J4)</f>
        <v>8.24</v>
      </c>
      <c r="K3" s="4">
        <f>SUM('TOTAL VOLUME'!K3*'UPS RATES'!K4)</f>
        <v>24.72</v>
      </c>
      <c r="L3" s="4">
        <f>SUM('TOTAL VOLUME'!L3*'UPS RATES'!L4)</f>
        <v>41.2</v>
      </c>
      <c r="M3" s="4">
        <f>SUM('TOTAL VOLUME'!M3*'UPS RATES'!M4)</f>
        <v>69.509999999999991</v>
      </c>
      <c r="N3" s="4">
        <f>SUM('TOTAL VOLUME'!N3*'UPS RATES'!N4)</f>
        <v>22.12</v>
      </c>
      <c r="O3" s="4">
        <f>SUM('TOTAL VOLUME'!O3*'UPS RATES'!O4)</f>
        <v>88.06</v>
      </c>
      <c r="P3" s="4">
        <f>SUM('TOTAL VOLUME'!P3*'UPS RATES'!P4)</f>
        <v>30436.260000000002</v>
      </c>
      <c r="Q3" s="4">
        <f>SUM('TOTAL VOLUME'!Q3*'UPS RATES'!Q4)</f>
        <v>8900.4600000000009</v>
      </c>
      <c r="R3" s="4">
        <f>SUM('TOTAL VOLUME'!R3*'UPS RATES'!R4)</f>
        <v>12605.220000000001</v>
      </c>
      <c r="S3" s="4">
        <f>SUM('TOTAL VOLUME'!S3*'UPS RATES'!S4)</f>
        <v>14593.140000000001</v>
      </c>
      <c r="T3" s="4">
        <f>SUM('TOTAL VOLUME'!T3*'UPS RATES'!T4)</f>
        <v>6777</v>
      </c>
      <c r="U3" s="4">
        <f>SUM('TOTAL VOLUME'!U3*'UPS RATES'!U4)</f>
        <v>3224.08</v>
      </c>
      <c r="V3" s="4">
        <f>SUM('TOTAL VOLUME'!V3*'UPS RATES'!V4)</f>
        <v>8565.7800000000007</v>
      </c>
      <c r="W3" s="4">
        <f>SUM('TOTAL VOLUME'!W3*'UPS RATES'!W4)</f>
        <v>5143.82</v>
      </c>
      <c r="X3" s="4">
        <f>SUM('TOTAL VOLUME'!X3*'UPS RATES'!X4)</f>
        <v>895.07</v>
      </c>
      <c r="Y3" s="4">
        <f>SUM('TOTAL VOLUME'!Y3*'UPS RATES'!Y4)</f>
        <v>1181.0900000000001</v>
      </c>
      <c r="Z3" s="4">
        <f>SUM('TOTAL VOLUME'!Z3*'UPS RATES'!Z4)</f>
        <v>2597.2800000000002</v>
      </c>
      <c r="AA3" s="4">
        <f>SUM('TOTAL VOLUME'!AA3*'UPS RATES'!AA4)</f>
        <v>2198.34</v>
      </c>
      <c r="AB3" s="4">
        <f>SUM('TOTAL VOLUME'!AB3*'UPS RATES'!AB4)</f>
        <v>1416.47</v>
      </c>
      <c r="AC3" s="4">
        <f>SUM('TOTAL VOLUME'!AC3*'UPS RATES'!AC4)</f>
        <v>5318.13</v>
      </c>
    </row>
    <row r="4" spans="1:29" x14ac:dyDescent="0.2">
      <c r="A4" s="2">
        <v>3</v>
      </c>
      <c r="B4" s="4">
        <f>SUM('TOTAL VOLUME'!B4*'UPS RATES'!B5)</f>
        <v>467.48</v>
      </c>
      <c r="C4" s="4">
        <f>SUM('TOTAL VOLUME'!C4*'UPS RATES'!C5)</f>
        <v>137.02000000000001</v>
      </c>
      <c r="D4" s="4">
        <f>SUM('TOTAL VOLUME'!D4*'UPS RATES'!D5)</f>
        <v>104.78</v>
      </c>
      <c r="E4" s="4">
        <f>SUM('TOTAL VOLUME'!E4*'UPS RATES'!E5)</f>
        <v>145.08000000000001</v>
      </c>
      <c r="F4" s="4">
        <f>SUM('TOTAL VOLUME'!F4*'UPS RATES'!F5)</f>
        <v>156.9</v>
      </c>
      <c r="G4" s="4">
        <f>SUM('TOTAL VOLUME'!G4*'UPS RATES'!G5)</f>
        <v>269.09999999999997</v>
      </c>
      <c r="H4" s="4">
        <f>SUM('TOTAL VOLUME'!H4*'UPS RATES'!H5)</f>
        <v>596.81999999999994</v>
      </c>
      <c r="I4" s="4">
        <f>SUM('TOTAL VOLUME'!I4*'UPS RATES'!I5)</f>
        <v>16.48</v>
      </c>
      <c r="J4" s="4">
        <f>SUM('TOTAL VOLUME'!J4*'UPS RATES'!J5)</f>
        <v>16.48</v>
      </c>
      <c r="K4" s="4">
        <f>SUM('TOTAL VOLUME'!K4*'UPS RATES'!K5)</f>
        <v>8.24</v>
      </c>
      <c r="L4" s="4">
        <f>SUM('TOTAL VOLUME'!L4*'UPS RATES'!L5)</f>
        <v>44.6</v>
      </c>
      <c r="M4" s="4">
        <f>SUM('TOTAL VOLUME'!M4*'UPS RATES'!M5)</f>
        <v>46.32</v>
      </c>
      <c r="N4" s="4">
        <f>SUM('TOTAL VOLUME'!N4*'UPS RATES'!N5)</f>
        <v>86.589999999999989</v>
      </c>
      <c r="O4" s="4">
        <f>SUM('TOTAL VOLUME'!O4*'UPS RATES'!O5)</f>
        <v>172.2</v>
      </c>
      <c r="P4" s="4">
        <f>SUM('TOTAL VOLUME'!P4*'UPS RATES'!P5)</f>
        <v>10880.85</v>
      </c>
      <c r="Q4" s="4">
        <f>SUM('TOTAL VOLUME'!Q4*'UPS RATES'!Q5)</f>
        <v>3471.33</v>
      </c>
      <c r="R4" s="4">
        <f>SUM('TOTAL VOLUME'!R4*'UPS RATES'!R5)</f>
        <v>3697.23</v>
      </c>
      <c r="S4" s="4">
        <f>SUM('TOTAL VOLUME'!S4*'UPS RATES'!S5)</f>
        <v>4457.04</v>
      </c>
      <c r="T4" s="4">
        <f>SUM('TOTAL VOLUME'!T4*'UPS RATES'!T5)</f>
        <v>2919.2999999999997</v>
      </c>
      <c r="U4" s="4">
        <f>SUM('TOTAL VOLUME'!U4*'UPS RATES'!U5)</f>
        <v>1589.25</v>
      </c>
      <c r="V4" s="4">
        <f>SUM('TOTAL VOLUME'!V4*'UPS RATES'!V5)</f>
        <v>4245.76</v>
      </c>
      <c r="W4" s="4">
        <f>SUM('TOTAL VOLUME'!W4*'UPS RATES'!W5)</f>
        <v>6254.16</v>
      </c>
      <c r="X4" s="4">
        <f>SUM('TOTAL VOLUME'!X4*'UPS RATES'!X5)</f>
        <v>849.75</v>
      </c>
      <c r="Y4" s="4">
        <f>SUM('TOTAL VOLUME'!Y4*'UPS RATES'!Y5)</f>
        <v>1828.16</v>
      </c>
      <c r="Z4" s="4">
        <f>SUM('TOTAL VOLUME'!Z4*'UPS RATES'!Z5)</f>
        <v>4258.47</v>
      </c>
      <c r="AA4" s="4">
        <f>SUM('TOTAL VOLUME'!AA4*'UPS RATES'!AA5)</f>
        <v>3706.9500000000003</v>
      </c>
      <c r="AB4" s="4">
        <f>SUM('TOTAL VOLUME'!AB4*'UPS RATES'!AB5)</f>
        <v>1920.0400000000002</v>
      </c>
      <c r="AC4" s="4">
        <f>SUM('TOTAL VOLUME'!AC4*'UPS RATES'!AC5)</f>
        <v>6180.46</v>
      </c>
    </row>
    <row r="5" spans="1:29" x14ac:dyDescent="0.2">
      <c r="A5" s="2">
        <v>4</v>
      </c>
      <c r="B5" s="4">
        <f>SUM('TOTAL VOLUME'!B5*'UPS RATES'!B6)</f>
        <v>153.14000000000001</v>
      </c>
      <c r="C5" s="4">
        <f>SUM('TOTAL VOLUME'!C5*'UPS RATES'!C6)</f>
        <v>104.78</v>
      </c>
      <c r="D5" s="4">
        <f>SUM('TOTAL VOLUME'!D5*'UPS RATES'!D6)</f>
        <v>96.72</v>
      </c>
      <c r="E5" s="4">
        <f>SUM('TOTAL VOLUME'!E5*'UPS RATES'!E6)</f>
        <v>363.87</v>
      </c>
      <c r="F5" s="4">
        <f>SUM('TOTAL VOLUME'!F5*'UPS RATES'!F6)</f>
        <v>506.52000000000004</v>
      </c>
      <c r="G5" s="4">
        <f>SUM('TOTAL VOLUME'!G5*'UPS RATES'!G6)</f>
        <v>533.20000000000005</v>
      </c>
      <c r="H5" s="4">
        <f>SUM('TOTAL VOLUME'!H5*'UPS RATES'!H6)</f>
        <v>2297.44</v>
      </c>
      <c r="I5" s="4">
        <f>SUM('TOTAL VOLUME'!I5*'UPS RATES'!I6)</f>
        <v>0</v>
      </c>
      <c r="J5" s="4">
        <f>SUM('TOTAL VOLUME'!J5*'UPS RATES'!J6)</f>
        <v>8.24</v>
      </c>
      <c r="K5" s="4">
        <f>SUM('TOTAL VOLUME'!K5*'UPS RATES'!K6)</f>
        <v>8.24</v>
      </c>
      <c r="L5" s="4">
        <f>SUM('TOTAL VOLUME'!L5*'UPS RATES'!L6)</f>
        <v>69.930000000000007</v>
      </c>
      <c r="M5" s="4">
        <f>SUM('TOTAL VOLUME'!M5*'UPS RATES'!M6)</f>
        <v>110.07000000000001</v>
      </c>
      <c r="N5" s="4">
        <f>SUM('TOTAL VOLUME'!N5*'UPS RATES'!N6)</f>
        <v>168.24</v>
      </c>
      <c r="O5" s="4">
        <f>SUM('TOTAL VOLUME'!O5*'UPS RATES'!O6)</f>
        <v>1302.98</v>
      </c>
      <c r="P5" s="4">
        <f>SUM('TOTAL VOLUME'!P5*'UPS RATES'!P6)</f>
        <v>8546.5500000000011</v>
      </c>
      <c r="Q5" s="4">
        <f>SUM('TOTAL VOLUME'!Q5*'UPS RATES'!Q6)</f>
        <v>4239.3900000000003</v>
      </c>
      <c r="R5" s="4">
        <f>SUM('TOTAL VOLUME'!R5*'UPS RATES'!R6)</f>
        <v>6468.27</v>
      </c>
      <c r="S5" s="4">
        <f>SUM('TOTAL VOLUME'!S5*'UPS RATES'!S6)</f>
        <v>12911.84</v>
      </c>
      <c r="T5" s="4">
        <f>SUM('TOTAL VOLUME'!T5*'UPS RATES'!T6)</f>
        <v>18758.04</v>
      </c>
      <c r="U5" s="4">
        <f>SUM('TOTAL VOLUME'!U5*'UPS RATES'!U6)</f>
        <v>13052.4</v>
      </c>
      <c r="V5" s="4">
        <f>SUM('TOTAL VOLUME'!V5*'UPS RATES'!V6)</f>
        <v>28350.2</v>
      </c>
      <c r="W5" s="4">
        <f>SUM('TOTAL VOLUME'!W5*'UPS RATES'!W6)</f>
        <v>5155.1499999999996</v>
      </c>
      <c r="X5" s="4">
        <f>SUM('TOTAL VOLUME'!X5*'UPS RATES'!X6)</f>
        <v>955.07999999999993</v>
      </c>
      <c r="Y5" s="4">
        <f>SUM('TOTAL VOLUME'!Y5*'UPS RATES'!Y6)</f>
        <v>3083.5</v>
      </c>
      <c r="Z5" s="4">
        <f>SUM('TOTAL VOLUME'!Z5*'UPS RATES'!Z6)</f>
        <v>6772.5000000000009</v>
      </c>
      <c r="AA5" s="4">
        <f>SUM('TOTAL VOLUME'!AA5*'UPS RATES'!AA6)</f>
        <v>6298.8399999999992</v>
      </c>
      <c r="AB5" s="4">
        <f>SUM('TOTAL VOLUME'!AB5*'UPS RATES'!AB6)</f>
        <v>3536.5200000000004</v>
      </c>
      <c r="AC5" s="4">
        <f>SUM('TOTAL VOLUME'!AC5*'UPS RATES'!AC6)</f>
        <v>13876.8</v>
      </c>
    </row>
    <row r="6" spans="1:29" x14ac:dyDescent="0.2">
      <c r="A6" s="2">
        <v>5</v>
      </c>
      <c r="B6" s="4">
        <f>SUM('TOTAL VOLUME'!B6*'UPS RATES'!B7)</f>
        <v>48.36</v>
      </c>
      <c r="C6" s="4">
        <f>SUM('TOTAL VOLUME'!C6*'UPS RATES'!C7)</f>
        <v>24.18</v>
      </c>
      <c r="D6" s="4">
        <f>SUM('TOTAL VOLUME'!D6*'UPS RATES'!D7)</f>
        <v>24.18</v>
      </c>
      <c r="E6" s="4">
        <f>SUM('TOTAL VOLUME'!E6*'UPS RATES'!E7)</f>
        <v>258.5</v>
      </c>
      <c r="F6" s="4">
        <f>SUM('TOTAL VOLUME'!F6*'UPS RATES'!F7)</f>
        <v>202.05</v>
      </c>
      <c r="G6" s="4">
        <f>SUM('TOTAL VOLUME'!G6*'UPS RATES'!G7)</f>
        <v>192.66</v>
      </c>
      <c r="H6" s="4">
        <f>SUM('TOTAL VOLUME'!H6*'UPS RATES'!H7)</f>
        <v>816.92000000000007</v>
      </c>
      <c r="I6" s="4">
        <f>SUM('TOTAL VOLUME'!I6*'UPS RATES'!I7)</f>
        <v>16.48</v>
      </c>
      <c r="J6" s="4">
        <f>SUM('TOTAL VOLUME'!J6*'UPS RATES'!J7)</f>
        <v>0</v>
      </c>
      <c r="K6" s="4">
        <f>SUM('TOTAL VOLUME'!K6*'UPS RATES'!K7)</f>
        <v>24.72</v>
      </c>
      <c r="L6" s="4">
        <f>SUM('TOTAL VOLUME'!L6*'UPS RATES'!L7)</f>
        <v>32.76</v>
      </c>
      <c r="M6" s="4">
        <f>SUM('TOTAL VOLUME'!M6*'UPS RATES'!M7)</f>
        <v>68.25</v>
      </c>
      <c r="N6" s="4">
        <f>SUM('TOTAL VOLUME'!N6*'UPS RATES'!N7)</f>
        <v>170.5</v>
      </c>
      <c r="O6" s="4">
        <f>SUM('TOTAL VOLUME'!O6*'UPS RATES'!O7)</f>
        <v>578.81999999999994</v>
      </c>
      <c r="P6" s="4">
        <f>SUM('TOTAL VOLUME'!P6*'UPS RATES'!P7)</f>
        <v>6566.16</v>
      </c>
      <c r="Q6" s="4">
        <f>SUM('TOTAL VOLUME'!Q6*'UPS RATES'!Q7)</f>
        <v>2748.4500000000003</v>
      </c>
      <c r="R6" s="4">
        <f>SUM('TOTAL VOLUME'!R6*'UPS RATES'!R7)</f>
        <v>4204.2</v>
      </c>
      <c r="S6" s="4">
        <f>SUM('TOTAL VOLUME'!S6*'UPS RATES'!S7)</f>
        <v>8992.9499999999989</v>
      </c>
      <c r="T6" s="4">
        <f>SUM('TOTAL VOLUME'!T6*'UPS RATES'!T7)</f>
        <v>8464.06</v>
      </c>
      <c r="U6" s="4">
        <f>SUM('TOTAL VOLUME'!U6*'UPS RATES'!U7)</f>
        <v>4122</v>
      </c>
      <c r="V6" s="4">
        <f>SUM('TOTAL VOLUME'!V6*'UPS RATES'!V7)</f>
        <v>12273.44</v>
      </c>
      <c r="W6" s="4">
        <f>SUM('TOTAL VOLUME'!W6*'UPS RATES'!W7)</f>
        <v>8316.2199999999993</v>
      </c>
      <c r="X6" s="4">
        <f>SUM('TOTAL VOLUME'!X6*'UPS RATES'!X7)</f>
        <v>1337.31</v>
      </c>
      <c r="Y6" s="4">
        <f>SUM('TOTAL VOLUME'!Y6*'UPS RATES'!Y7)</f>
        <v>2842.4199999999996</v>
      </c>
      <c r="Z6" s="4">
        <f>SUM('TOTAL VOLUME'!Z6*'UPS RATES'!Z7)</f>
        <v>7479.9900000000007</v>
      </c>
      <c r="AA6" s="4">
        <f>SUM('TOTAL VOLUME'!AA6*'UPS RATES'!AA7)</f>
        <v>5950.5599999999995</v>
      </c>
      <c r="AB6" s="4">
        <f>SUM('TOTAL VOLUME'!AB6*'UPS RATES'!AB7)</f>
        <v>3535.84</v>
      </c>
      <c r="AC6" s="4">
        <f>SUM('TOTAL VOLUME'!AC6*'UPS RATES'!AC7)</f>
        <v>13109.1</v>
      </c>
    </row>
    <row r="7" spans="1:29" x14ac:dyDescent="0.2">
      <c r="A7" s="2">
        <v>6</v>
      </c>
      <c r="B7" s="4">
        <f>SUM('TOTAL VOLUME'!B7*'UPS RATES'!B8)</f>
        <v>56.42</v>
      </c>
      <c r="C7" s="4">
        <f>SUM('TOTAL VOLUME'!C7*'UPS RATES'!C8)</f>
        <v>32.24</v>
      </c>
      <c r="D7" s="4">
        <f>SUM('TOTAL VOLUME'!D7*'UPS RATES'!D8)</f>
        <v>48.72</v>
      </c>
      <c r="E7" s="4">
        <f>SUM('TOTAL VOLUME'!E7*'UPS RATES'!E8)</f>
        <v>124.19</v>
      </c>
      <c r="F7" s="4">
        <f>SUM('TOTAL VOLUME'!F7*'UPS RATES'!F8)</f>
        <v>74.7</v>
      </c>
      <c r="G7" s="4">
        <f>SUM('TOTAL VOLUME'!G7*'UPS RATES'!G8)</f>
        <v>65.88</v>
      </c>
      <c r="H7" s="4">
        <f>SUM('TOTAL VOLUME'!H7*'UPS RATES'!H8)</f>
        <v>430</v>
      </c>
      <c r="I7" s="4">
        <f>SUM('TOTAL VOLUME'!I7*'UPS RATES'!I8)</f>
        <v>16.48</v>
      </c>
      <c r="J7" s="4">
        <f>SUM('TOTAL VOLUME'!J7*'UPS RATES'!J8)</f>
        <v>16.48</v>
      </c>
      <c r="K7" s="4">
        <f>SUM('TOTAL VOLUME'!K7*'UPS RATES'!K8)</f>
        <v>0</v>
      </c>
      <c r="L7" s="4">
        <f>SUM('TOTAL VOLUME'!L7*'UPS RATES'!L8)</f>
        <v>47.72</v>
      </c>
      <c r="M7" s="4">
        <f>SUM('TOTAL VOLUME'!M7*'UPS RATES'!M8)</f>
        <v>78.349999999999994</v>
      </c>
      <c r="N7" s="4">
        <f>SUM('TOTAL VOLUME'!N7*'UPS RATES'!N8)</f>
        <v>17.2</v>
      </c>
      <c r="O7" s="4">
        <f>SUM('TOTAL VOLUME'!O7*'UPS RATES'!O8)</f>
        <v>170.91</v>
      </c>
      <c r="P7" s="4">
        <f>SUM('TOTAL VOLUME'!P7*'UPS RATES'!P8)</f>
        <v>7989.33</v>
      </c>
      <c r="Q7" s="4">
        <f>SUM('TOTAL VOLUME'!Q7*'UPS RATES'!Q8)</f>
        <v>3411.09</v>
      </c>
      <c r="R7" s="4">
        <f>SUM('TOTAL VOLUME'!R7*'UPS RATES'!R8)</f>
        <v>2138.52</v>
      </c>
      <c r="S7" s="4">
        <f>SUM('TOTAL VOLUME'!S7*'UPS RATES'!S8)</f>
        <v>3244.1400000000003</v>
      </c>
      <c r="T7" s="4">
        <f>SUM('TOTAL VOLUME'!T7*'UPS RATES'!T8)</f>
        <v>2466.1999999999998</v>
      </c>
      <c r="U7" s="4">
        <f>SUM('TOTAL VOLUME'!U7*'UPS RATES'!U8)</f>
        <v>1031.94</v>
      </c>
      <c r="V7" s="4">
        <f>SUM('TOTAL VOLUME'!V7*'UPS RATES'!V8)</f>
        <v>5497.8</v>
      </c>
      <c r="W7" s="4">
        <f>SUM('TOTAL VOLUME'!W7*'UPS RATES'!W8)</f>
        <v>5347.76</v>
      </c>
      <c r="X7" s="4">
        <f>SUM('TOTAL VOLUME'!X7*'UPS RATES'!X8)</f>
        <v>984.3599999999999</v>
      </c>
      <c r="Y7" s="4">
        <f>SUM('TOTAL VOLUME'!Y7*'UPS RATES'!Y8)</f>
        <v>1112.6500000000001</v>
      </c>
      <c r="Z7" s="4">
        <f>SUM('TOTAL VOLUME'!Z7*'UPS RATES'!Z8)</f>
        <v>3814.28</v>
      </c>
      <c r="AA7" s="4">
        <f>SUM('TOTAL VOLUME'!AA7*'UPS RATES'!AA8)</f>
        <v>2365.11</v>
      </c>
      <c r="AB7" s="4">
        <f>SUM('TOTAL VOLUME'!AB7*'UPS RATES'!AB8)</f>
        <v>1792.48</v>
      </c>
      <c r="AC7" s="4">
        <f>SUM('TOTAL VOLUME'!AC7*'UPS RATES'!AC8)</f>
        <v>6625.0899999999992</v>
      </c>
    </row>
    <row r="8" spans="1:29" x14ac:dyDescent="0.2">
      <c r="A8" s="2">
        <v>7</v>
      </c>
      <c r="B8" s="4">
        <f>SUM('TOTAL VOLUME'!B8*'UPS RATES'!B9)</f>
        <v>16.12</v>
      </c>
      <c r="C8" s="4">
        <f>SUM('TOTAL VOLUME'!C8*'UPS RATES'!C9)</f>
        <v>0</v>
      </c>
      <c r="D8" s="4">
        <f>SUM('TOTAL VOLUME'!D8*'UPS RATES'!D9)</f>
        <v>17.600000000000001</v>
      </c>
      <c r="E8" s="4">
        <f>SUM('TOTAL VOLUME'!E8*'UPS RATES'!E9)</f>
        <v>271.48</v>
      </c>
      <c r="F8" s="4">
        <f>SUM('TOTAL VOLUME'!F8*'UPS RATES'!F9)</f>
        <v>168.1</v>
      </c>
      <c r="G8" s="4">
        <f>SUM('TOTAL VOLUME'!G8*'UPS RATES'!G9)</f>
        <v>236.73000000000002</v>
      </c>
      <c r="H8" s="4">
        <f>SUM('TOTAL VOLUME'!H8*'UPS RATES'!H9)</f>
        <v>699.67</v>
      </c>
      <c r="I8" s="4">
        <f>SUM('TOTAL VOLUME'!I8*'UPS RATES'!I9)</f>
        <v>8.24</v>
      </c>
      <c r="J8" s="4">
        <f>SUM('TOTAL VOLUME'!J8*'UPS RATES'!J9)</f>
        <v>0</v>
      </c>
      <c r="K8" s="4">
        <f>SUM('TOTAL VOLUME'!K8*'UPS RATES'!K9)</f>
        <v>9.39</v>
      </c>
      <c r="L8" s="4">
        <f>SUM('TOTAL VOLUME'!L8*'UPS RATES'!L9)</f>
        <v>50.84</v>
      </c>
      <c r="M8" s="4">
        <f>SUM('TOTAL VOLUME'!M8*'UPS RATES'!M9)</f>
        <v>33.94</v>
      </c>
      <c r="N8" s="4">
        <f>SUM('TOTAL VOLUME'!N8*'UPS RATES'!N9)</f>
        <v>77.72</v>
      </c>
      <c r="O8" s="4">
        <f>SUM('TOTAL VOLUME'!O8*'UPS RATES'!O9)</f>
        <v>292.46000000000004</v>
      </c>
      <c r="P8" s="4">
        <f>SUM('TOTAL VOLUME'!P8*'UPS RATES'!P9)</f>
        <v>3802.65</v>
      </c>
      <c r="Q8" s="4">
        <f>SUM('TOTAL VOLUME'!Q8*'UPS RATES'!Q9)</f>
        <v>1099.3800000000001</v>
      </c>
      <c r="R8" s="4">
        <f>SUM('TOTAL VOLUME'!R8*'UPS RATES'!R9)</f>
        <v>2745.86</v>
      </c>
      <c r="S8" s="4">
        <f>SUM('TOTAL VOLUME'!S8*'UPS RATES'!S9)</f>
        <v>8638.2100000000009</v>
      </c>
      <c r="T8" s="4">
        <f>SUM('TOTAL VOLUME'!T8*'UPS RATES'!T9)</f>
        <v>6338.88</v>
      </c>
      <c r="U8" s="4">
        <f>SUM('TOTAL VOLUME'!U8*'UPS RATES'!U9)</f>
        <v>3448.05</v>
      </c>
      <c r="V8" s="4">
        <f>SUM('TOTAL VOLUME'!V8*'UPS RATES'!V9)</f>
        <v>8245</v>
      </c>
      <c r="W8" s="4">
        <f>SUM('TOTAL VOLUME'!W8*'UPS RATES'!W9)</f>
        <v>1812.8</v>
      </c>
      <c r="X8" s="4">
        <f>SUM('TOTAL VOLUME'!X8*'UPS RATES'!X9)</f>
        <v>398.09999999999997</v>
      </c>
      <c r="Y8" s="4">
        <f>SUM('TOTAL VOLUME'!Y8*'UPS RATES'!Y9)</f>
        <v>1458.66</v>
      </c>
      <c r="Z8" s="4">
        <f>SUM('TOTAL VOLUME'!Z8*'UPS RATES'!Z9)</f>
        <v>4696.16</v>
      </c>
      <c r="AA8" s="4">
        <f>SUM('TOTAL VOLUME'!AA8*'UPS RATES'!AA9)</f>
        <v>4377.12</v>
      </c>
      <c r="AB8" s="4">
        <f>SUM('TOTAL VOLUME'!AB8*'UPS RATES'!AB9)</f>
        <v>2668.4700000000003</v>
      </c>
      <c r="AC8" s="4">
        <f>SUM('TOTAL VOLUME'!AC8*'UPS RATES'!AC9)</f>
        <v>7225.02</v>
      </c>
    </row>
    <row r="9" spans="1:29" x14ac:dyDescent="0.2">
      <c r="A9" s="2">
        <v>8</v>
      </c>
      <c r="B9" s="4">
        <f>SUM('TOTAL VOLUME'!B9*'UPS RATES'!B10)</f>
        <v>24.18</v>
      </c>
      <c r="C9" s="4">
        <f>SUM('TOTAL VOLUME'!C9*'UPS RATES'!C10)</f>
        <v>8.06</v>
      </c>
      <c r="D9" s="4">
        <f>SUM('TOTAL VOLUME'!D9*'UPS RATES'!D10)</f>
        <v>94.1</v>
      </c>
      <c r="E9" s="4">
        <f>SUM('TOTAL VOLUME'!E9*'UPS RATES'!E10)</f>
        <v>309.58000000000004</v>
      </c>
      <c r="F9" s="4">
        <f>SUM('TOTAL VOLUME'!F9*'UPS RATES'!F10)</f>
        <v>315.52</v>
      </c>
      <c r="G9" s="4">
        <f>SUM('TOTAL VOLUME'!G9*'UPS RATES'!G10)</f>
        <v>260.77999999999997</v>
      </c>
      <c r="H9" s="4">
        <f>SUM('TOTAL VOLUME'!H9*'UPS RATES'!H10)</f>
        <v>1290.8399999999999</v>
      </c>
      <c r="I9" s="4">
        <f>SUM('TOTAL VOLUME'!I9*'UPS RATES'!I10)</f>
        <v>41.2</v>
      </c>
      <c r="J9" s="4">
        <f>SUM('TOTAL VOLUME'!J9*'UPS RATES'!J10)</f>
        <v>0</v>
      </c>
      <c r="K9" s="4">
        <f>SUM('TOTAL VOLUME'!K9*'UPS RATES'!K10)</f>
        <v>20.28</v>
      </c>
      <c r="L9" s="4">
        <f>SUM('TOTAL VOLUME'!L9*'UPS RATES'!L10)</f>
        <v>54.44</v>
      </c>
      <c r="M9" s="4">
        <f>SUM('TOTAL VOLUME'!M9*'UPS RATES'!M10)</f>
        <v>127.61</v>
      </c>
      <c r="N9" s="4">
        <f>SUM('TOTAL VOLUME'!N9*'UPS RATES'!N10)</f>
        <v>146.01999999999998</v>
      </c>
      <c r="O9" s="4">
        <f>SUM('TOTAL VOLUME'!O9*'UPS RATES'!O10)</f>
        <v>364</v>
      </c>
      <c r="P9" s="4">
        <f>SUM('TOTAL VOLUME'!P9*'UPS RATES'!P10)</f>
        <v>1942.74</v>
      </c>
      <c r="Q9" s="4">
        <f>SUM('TOTAL VOLUME'!Q9*'UPS RATES'!Q10)</f>
        <v>1332.81</v>
      </c>
      <c r="R9" s="4">
        <f>SUM('TOTAL VOLUME'!R9*'UPS RATES'!R10)</f>
        <v>3160.1200000000003</v>
      </c>
      <c r="S9" s="4">
        <f>SUM('TOTAL VOLUME'!S9*'UPS RATES'!S10)</f>
        <v>14723.2</v>
      </c>
      <c r="T9" s="4">
        <f>SUM('TOTAL VOLUME'!T9*'UPS RATES'!T10)</f>
        <v>9861.1799999999985</v>
      </c>
      <c r="U9" s="4">
        <f>SUM('TOTAL VOLUME'!U9*'UPS RATES'!U10)</f>
        <v>5859.24</v>
      </c>
      <c r="V9" s="4">
        <f>SUM('TOTAL VOLUME'!V9*'UPS RATES'!V10)</f>
        <v>12950.91</v>
      </c>
      <c r="W9" s="4">
        <f>SUM('TOTAL VOLUME'!W9*'UPS RATES'!W10)</f>
        <v>1223.6400000000001</v>
      </c>
      <c r="X9" s="4">
        <f>SUM('TOTAL VOLUME'!X9*'UPS RATES'!X10)</f>
        <v>373.52</v>
      </c>
      <c r="Y9" s="4">
        <f>SUM('TOTAL VOLUME'!Y9*'UPS RATES'!Y10)</f>
        <v>1623.5600000000002</v>
      </c>
      <c r="Z9" s="4">
        <f>SUM('TOTAL VOLUME'!Z9*'UPS RATES'!Z10)</f>
        <v>3584.16</v>
      </c>
      <c r="AA9" s="4">
        <f>SUM('TOTAL VOLUME'!AA9*'UPS RATES'!AA10)</f>
        <v>2708.16</v>
      </c>
      <c r="AB9" s="4">
        <f>SUM('TOTAL VOLUME'!AB9*'UPS RATES'!AB10)</f>
        <v>1980.84</v>
      </c>
      <c r="AC9" s="4">
        <f>SUM('TOTAL VOLUME'!AC9*'UPS RATES'!AC10)</f>
        <v>6267.96</v>
      </c>
    </row>
    <row r="10" spans="1:29" x14ac:dyDescent="0.2">
      <c r="A10" s="2">
        <v>9</v>
      </c>
      <c r="B10" s="4">
        <f>SUM('TOTAL VOLUME'!B10*'UPS RATES'!B11)</f>
        <v>0</v>
      </c>
      <c r="C10" s="4">
        <f>SUM('TOTAL VOLUME'!C10*'UPS RATES'!C11)</f>
        <v>24.599999999999998</v>
      </c>
      <c r="D10" s="4">
        <f>SUM('TOTAL VOLUME'!D10*'UPS RATES'!D11)</f>
        <v>193.23</v>
      </c>
      <c r="E10" s="4">
        <f>SUM('TOTAL VOLUME'!E10*'UPS RATES'!E11)</f>
        <v>650.25</v>
      </c>
      <c r="F10" s="4">
        <f>SUM('TOTAL VOLUME'!F10*'UPS RATES'!F11)</f>
        <v>645.12</v>
      </c>
      <c r="G10" s="4">
        <f>SUM('TOTAL VOLUME'!G10*'UPS RATES'!G11)</f>
        <v>440</v>
      </c>
      <c r="H10" s="4">
        <f>SUM('TOTAL VOLUME'!H10*'UPS RATES'!H11)</f>
        <v>2259.1799999999998</v>
      </c>
      <c r="I10" s="4">
        <f>SUM('TOTAL VOLUME'!I10*'UPS RATES'!I11)</f>
        <v>0</v>
      </c>
      <c r="J10" s="4">
        <f>SUM('TOTAL VOLUME'!J10*'UPS RATES'!J11)</f>
        <v>0</v>
      </c>
      <c r="K10" s="4">
        <f>SUM('TOTAL VOLUME'!K10*'UPS RATES'!K11)</f>
        <v>43.12</v>
      </c>
      <c r="L10" s="4">
        <f>SUM('TOTAL VOLUME'!L10*'UPS RATES'!L11)</f>
        <v>69.349999999999994</v>
      </c>
      <c r="M10" s="4">
        <f>SUM('TOTAL VOLUME'!M10*'UPS RATES'!M11)</f>
        <v>131.95000000000002</v>
      </c>
      <c r="N10" s="4">
        <f>SUM('TOTAL VOLUME'!N10*'UPS RATES'!N11)</f>
        <v>199.79999999999998</v>
      </c>
      <c r="O10" s="4">
        <f>SUM('TOTAL VOLUME'!O10*'UPS RATES'!O11)</f>
        <v>1101.5999999999999</v>
      </c>
      <c r="P10" s="4">
        <f>SUM('TOTAL VOLUME'!P10*'UPS RATES'!P11)</f>
        <v>2191.23</v>
      </c>
      <c r="Q10" s="4">
        <f>SUM('TOTAL VOLUME'!Q10*'UPS RATES'!Q11)</f>
        <v>2545.14</v>
      </c>
      <c r="R10" s="4">
        <f>SUM('TOTAL VOLUME'!R10*'UPS RATES'!R11)</f>
        <v>7858.42</v>
      </c>
      <c r="S10" s="4">
        <f>SUM('TOTAL VOLUME'!S10*'UPS RATES'!S11)</f>
        <v>19396.800000000003</v>
      </c>
      <c r="T10" s="4">
        <f>SUM('TOTAL VOLUME'!T10*'UPS RATES'!T11)</f>
        <v>13638.35</v>
      </c>
      <c r="U10" s="4">
        <f>SUM('TOTAL VOLUME'!U10*'UPS RATES'!U11)</f>
        <v>8887.86</v>
      </c>
      <c r="V10" s="4">
        <f>SUM('TOTAL VOLUME'!V10*'UPS RATES'!V11)</f>
        <v>17742.900000000001</v>
      </c>
      <c r="W10" s="4">
        <f>SUM('TOTAL VOLUME'!W10*'UPS RATES'!W11)</f>
        <v>1133</v>
      </c>
      <c r="X10" s="4">
        <f>SUM('TOTAL VOLUME'!X10*'UPS RATES'!X11)</f>
        <v>739.19999999999993</v>
      </c>
      <c r="Y10" s="4">
        <f>SUM('TOTAL VOLUME'!Y10*'UPS RATES'!Y11)</f>
        <v>2855</v>
      </c>
      <c r="Z10" s="4">
        <f>SUM('TOTAL VOLUME'!Z10*'UPS RATES'!Z11)</f>
        <v>5672.73</v>
      </c>
      <c r="AA10" s="4">
        <f>SUM('TOTAL VOLUME'!AA10*'UPS RATES'!AA11)</f>
        <v>3243.84</v>
      </c>
      <c r="AB10" s="4">
        <f>SUM('TOTAL VOLUME'!AB10*'UPS RATES'!AB11)</f>
        <v>2842.1</v>
      </c>
      <c r="AC10" s="4">
        <f>SUM('TOTAL VOLUME'!AC10*'UPS RATES'!AC11)</f>
        <v>10025.4</v>
      </c>
    </row>
    <row r="11" spans="1:29" x14ac:dyDescent="0.2">
      <c r="A11" s="2">
        <v>10</v>
      </c>
      <c r="B11" s="4">
        <f>SUM('TOTAL VOLUME'!B11*'UPS RATES'!B12)</f>
        <v>16.12</v>
      </c>
      <c r="C11" s="4">
        <f>SUM('TOTAL VOLUME'!C11*'UPS RATES'!C12)</f>
        <v>0</v>
      </c>
      <c r="D11" s="4">
        <f>SUM('TOTAL VOLUME'!D11*'UPS RATES'!D12)</f>
        <v>21.9</v>
      </c>
      <c r="E11" s="4">
        <f>SUM('TOTAL VOLUME'!E11*'UPS RATES'!E12)</f>
        <v>138.96</v>
      </c>
      <c r="F11" s="4">
        <f>SUM('TOTAL VOLUME'!F11*'UPS RATES'!F12)</f>
        <v>216</v>
      </c>
      <c r="G11" s="4">
        <f>SUM('TOTAL VOLUME'!G11*'UPS RATES'!G12)</f>
        <v>215.37</v>
      </c>
      <c r="H11" s="4">
        <f>SUM('TOTAL VOLUME'!H11*'UPS RATES'!H12)</f>
        <v>494.20000000000005</v>
      </c>
      <c r="I11" s="4">
        <f>SUM('TOTAL VOLUME'!I11*'UPS RATES'!I12)</f>
        <v>16.48</v>
      </c>
      <c r="J11" s="4">
        <f>SUM('TOTAL VOLUME'!J11*'UPS RATES'!J12)</f>
        <v>9.7100000000000009</v>
      </c>
      <c r="K11" s="4">
        <f>SUM('TOTAL VOLUME'!K11*'UPS RATES'!K12)</f>
        <v>32.97</v>
      </c>
      <c r="L11" s="4">
        <f>SUM('TOTAL VOLUME'!L11*'UPS RATES'!L12)</f>
        <v>0</v>
      </c>
      <c r="M11" s="4">
        <f>SUM('TOTAL VOLUME'!M11*'UPS RATES'!M12)</f>
        <v>39.64</v>
      </c>
      <c r="N11" s="4">
        <f>SUM('TOTAL VOLUME'!N11*'UPS RATES'!N12)</f>
        <v>71.699999999999989</v>
      </c>
      <c r="O11" s="4">
        <f>SUM('TOTAL VOLUME'!O11*'UPS RATES'!O12)</f>
        <v>577.28</v>
      </c>
      <c r="P11" s="4">
        <f>SUM('TOTAL VOLUME'!P11*'UPS RATES'!P12)</f>
        <v>10722.720000000001</v>
      </c>
      <c r="Q11" s="4">
        <f>SUM('TOTAL VOLUME'!Q11*'UPS RATES'!Q12)</f>
        <v>1965.3300000000002</v>
      </c>
      <c r="R11" s="4">
        <f>SUM('TOTAL VOLUME'!R11*'UPS RATES'!R12)</f>
        <v>3308.55</v>
      </c>
      <c r="S11" s="4">
        <f>SUM('TOTAL VOLUME'!S11*'UPS RATES'!S12)</f>
        <v>14496.3</v>
      </c>
      <c r="T11" s="4">
        <f>SUM('TOTAL VOLUME'!T11*'UPS RATES'!T12)</f>
        <v>3843</v>
      </c>
      <c r="U11" s="4">
        <f>SUM('TOTAL VOLUME'!U11*'UPS RATES'!U12)</f>
        <v>6188.5599999999995</v>
      </c>
      <c r="V11" s="4">
        <f>SUM('TOTAL VOLUME'!V11*'UPS RATES'!V12)</f>
        <v>12008.3</v>
      </c>
      <c r="W11" s="4">
        <f>SUM('TOTAL VOLUME'!W11*'UPS RATES'!W12)</f>
        <v>1031.03</v>
      </c>
      <c r="X11" s="4">
        <f>SUM('TOTAL VOLUME'!X11*'UPS RATES'!X12)</f>
        <v>952.69999999999993</v>
      </c>
      <c r="Y11" s="4">
        <f>SUM('TOTAL VOLUME'!Y11*'UPS RATES'!Y12)</f>
        <v>2863.16</v>
      </c>
      <c r="Z11" s="4">
        <f>SUM('TOTAL VOLUME'!Z11*'UPS RATES'!Z12)</f>
        <v>5621.83</v>
      </c>
      <c r="AA11" s="4">
        <f>SUM('TOTAL VOLUME'!AA11*'UPS RATES'!AA12)</f>
        <v>3845.4</v>
      </c>
      <c r="AB11" s="4">
        <f>SUM('TOTAL VOLUME'!AB11*'UPS RATES'!AB12)</f>
        <v>2248.08</v>
      </c>
      <c r="AC11" s="4">
        <f>SUM('TOTAL VOLUME'!AC11*'UPS RATES'!AC12)</f>
        <v>10111.200000000001</v>
      </c>
    </row>
    <row r="12" spans="1:29" x14ac:dyDescent="0.2">
      <c r="A12" s="2">
        <v>11</v>
      </c>
      <c r="B12" s="4">
        <f>SUM('TOTAL VOLUME'!B12*'UPS RATES'!B13)</f>
        <v>24.18</v>
      </c>
      <c r="C12" s="4">
        <f>SUM('TOTAL VOLUME'!C12*'UPS RATES'!C13)</f>
        <v>0</v>
      </c>
      <c r="D12" s="4">
        <f>SUM('TOTAL VOLUME'!D12*'UPS RATES'!D13)</f>
        <v>57.300000000000004</v>
      </c>
      <c r="E12" s="4">
        <f>SUM('TOTAL VOLUME'!E12*'UPS RATES'!E13)</f>
        <v>297.18</v>
      </c>
      <c r="F12" s="4">
        <f>SUM('TOTAL VOLUME'!F12*'UPS RATES'!F13)</f>
        <v>116.35</v>
      </c>
      <c r="G12" s="4">
        <f>SUM('TOTAL VOLUME'!G12*'UPS RATES'!G13)</f>
        <v>462.42</v>
      </c>
      <c r="H12" s="4">
        <f>SUM('TOTAL VOLUME'!H12*'UPS RATES'!H13)</f>
        <v>561.75</v>
      </c>
      <c r="I12" s="4">
        <f>SUM('TOTAL VOLUME'!I12*'UPS RATES'!I13)</f>
        <v>0</v>
      </c>
      <c r="J12" s="4">
        <f>SUM('TOTAL VOLUME'!J12*'UPS RATES'!J13)</f>
        <v>0</v>
      </c>
      <c r="K12" s="4">
        <f>SUM('TOTAL VOLUME'!K12*'UPS RATES'!K13)</f>
        <v>0</v>
      </c>
      <c r="L12" s="4">
        <f>SUM('TOTAL VOLUME'!L12*'UPS RATES'!L13)</f>
        <v>15.42</v>
      </c>
      <c r="M12" s="4">
        <f>SUM('TOTAL VOLUME'!M12*'UPS RATES'!M13)</f>
        <v>21.87</v>
      </c>
      <c r="N12" s="4">
        <f>SUM('TOTAL VOLUME'!N12*'UPS RATES'!N13)</f>
        <v>75.510000000000005</v>
      </c>
      <c r="O12" s="4">
        <f>SUM('TOTAL VOLUME'!O12*'UPS RATES'!O13)</f>
        <v>250.38</v>
      </c>
      <c r="P12" s="4">
        <f>SUM('TOTAL VOLUME'!P12*'UPS RATES'!P13)</f>
        <v>13508.82</v>
      </c>
      <c r="Q12" s="4">
        <f>SUM('TOTAL VOLUME'!Q12*'UPS RATES'!Q13)</f>
        <v>5790.5700000000006</v>
      </c>
      <c r="R12" s="4">
        <f>SUM('TOTAL VOLUME'!R12*'UPS RATES'!R13)</f>
        <v>4228.2</v>
      </c>
      <c r="S12" s="4">
        <f>SUM('TOTAL VOLUME'!S12*'UPS RATES'!S13)</f>
        <v>13657.56</v>
      </c>
      <c r="T12" s="4">
        <f>SUM('TOTAL VOLUME'!T12*'UPS RATES'!T13)</f>
        <v>4811.34</v>
      </c>
      <c r="U12" s="4">
        <f>SUM('TOTAL VOLUME'!U12*'UPS RATES'!U13)</f>
        <v>8272.98</v>
      </c>
      <c r="V12" s="4">
        <f>SUM('TOTAL VOLUME'!V12*'UPS RATES'!V13)</f>
        <v>19001.439999999999</v>
      </c>
      <c r="W12" s="4">
        <f>SUM('TOTAL VOLUME'!W12*'UPS RATES'!W13)</f>
        <v>830.01</v>
      </c>
      <c r="X12" s="4">
        <f>SUM('TOTAL VOLUME'!X12*'UPS RATES'!X13)</f>
        <v>1025.28</v>
      </c>
      <c r="Y12" s="4">
        <f>SUM('TOTAL VOLUME'!Y12*'UPS RATES'!Y13)</f>
        <v>2140.16</v>
      </c>
      <c r="Z12" s="4">
        <f>SUM('TOTAL VOLUME'!Z12*'UPS RATES'!Z13)</f>
        <v>6493.9699999999993</v>
      </c>
      <c r="AA12" s="4">
        <f>SUM('TOTAL VOLUME'!AA12*'UPS RATES'!AA13)</f>
        <v>4572.32</v>
      </c>
      <c r="AB12" s="4">
        <f>SUM('TOTAL VOLUME'!AB12*'UPS RATES'!AB13)</f>
        <v>3594.48</v>
      </c>
      <c r="AC12" s="4">
        <f>SUM('TOTAL VOLUME'!AC12*'UPS RATES'!AC13)</f>
        <v>12219.599999999999</v>
      </c>
    </row>
    <row r="13" spans="1:29" x14ac:dyDescent="0.2">
      <c r="A13" s="2">
        <v>12</v>
      </c>
      <c r="B13" s="4">
        <f>SUM('TOTAL VOLUME'!B13*'UPS RATES'!B14)</f>
        <v>24.240000000000002</v>
      </c>
      <c r="C13" s="4">
        <f>SUM('TOTAL VOLUME'!C13*'UPS RATES'!C14)</f>
        <v>48.8</v>
      </c>
      <c r="D13" s="4">
        <f>SUM('TOTAL VOLUME'!D13*'UPS RATES'!D14)</f>
        <v>96.72</v>
      </c>
      <c r="E13" s="4">
        <f>SUM('TOTAL VOLUME'!E13*'UPS RATES'!E14)</f>
        <v>209.28000000000003</v>
      </c>
      <c r="F13" s="4">
        <f>SUM('TOTAL VOLUME'!F13*'UPS RATES'!F14)</f>
        <v>401.12</v>
      </c>
      <c r="G13" s="4">
        <f>SUM('TOTAL VOLUME'!G13*'UPS RATES'!G14)</f>
        <v>303.05</v>
      </c>
      <c r="H13" s="4">
        <f>SUM('TOTAL VOLUME'!H13*'UPS RATES'!H14)</f>
        <v>764.37</v>
      </c>
      <c r="I13" s="4">
        <f>SUM('TOTAL VOLUME'!I13*'UPS RATES'!I14)</f>
        <v>8.75</v>
      </c>
      <c r="J13" s="4">
        <f>SUM('TOTAL VOLUME'!J13*'UPS RATES'!J14)</f>
        <v>0</v>
      </c>
      <c r="K13" s="4">
        <f>SUM('TOTAL VOLUME'!K13*'UPS RATES'!K14)</f>
        <v>0</v>
      </c>
      <c r="L13" s="4">
        <f>SUM('TOTAL VOLUME'!L13*'UPS RATES'!L14)</f>
        <v>0</v>
      </c>
      <c r="M13" s="4">
        <f>SUM('TOTAL VOLUME'!M13*'UPS RATES'!M14)</f>
        <v>139.74</v>
      </c>
      <c r="N13" s="4">
        <f>SUM('TOTAL VOLUME'!N13*'UPS RATES'!N14)</f>
        <v>158.39999999999998</v>
      </c>
      <c r="O13" s="4">
        <f>SUM('TOTAL VOLUME'!O13*'UPS RATES'!O14)</f>
        <v>265.59000000000003</v>
      </c>
      <c r="P13" s="4">
        <f>SUM('TOTAL VOLUME'!P13*'UPS RATES'!P14)</f>
        <v>4834.26</v>
      </c>
      <c r="Q13" s="4">
        <f>SUM('TOTAL VOLUME'!Q13*'UPS RATES'!Q14)</f>
        <v>858.42000000000007</v>
      </c>
      <c r="R13" s="4">
        <f>SUM('TOTAL VOLUME'!R13*'UPS RATES'!R14)</f>
        <v>2491.65</v>
      </c>
      <c r="S13" s="4">
        <f>SUM('TOTAL VOLUME'!S13*'UPS RATES'!S14)</f>
        <v>6861.5199999999995</v>
      </c>
      <c r="T13" s="4">
        <f>SUM('TOTAL VOLUME'!T13*'UPS RATES'!T14)</f>
        <v>2519.1</v>
      </c>
      <c r="U13" s="4">
        <f>SUM('TOTAL VOLUME'!U13*'UPS RATES'!U14)</f>
        <v>2704.7999999999997</v>
      </c>
      <c r="V13" s="4">
        <f>SUM('TOTAL VOLUME'!V13*'UPS RATES'!V14)</f>
        <v>8461.07</v>
      </c>
      <c r="W13" s="4">
        <f>SUM('TOTAL VOLUME'!W13*'UPS RATES'!W14)</f>
        <v>1129.0800000000002</v>
      </c>
      <c r="X13" s="4">
        <f>SUM('TOTAL VOLUME'!X13*'UPS RATES'!X14)</f>
        <v>612.35</v>
      </c>
      <c r="Y13" s="4">
        <f>SUM('TOTAL VOLUME'!Y13*'UPS RATES'!Y14)</f>
        <v>1987.2</v>
      </c>
      <c r="Z13" s="4">
        <f>SUM('TOTAL VOLUME'!Z13*'UPS RATES'!Z14)</f>
        <v>4990.01</v>
      </c>
      <c r="AA13" s="4">
        <f>SUM('TOTAL VOLUME'!AA13*'UPS RATES'!AA14)</f>
        <v>5905.2</v>
      </c>
      <c r="AB13" s="4">
        <f>SUM('TOTAL VOLUME'!AB13*'UPS RATES'!AB14)</f>
        <v>2877.6</v>
      </c>
      <c r="AC13" s="4">
        <f>SUM('TOTAL VOLUME'!AC13*'UPS RATES'!AC14)</f>
        <v>9578.7000000000007</v>
      </c>
    </row>
    <row r="14" spans="1:29" x14ac:dyDescent="0.2">
      <c r="A14" s="2">
        <v>13</v>
      </c>
      <c r="B14" s="4">
        <f>SUM('TOTAL VOLUME'!B14*'UPS RATES'!B15)</f>
        <v>8.65</v>
      </c>
      <c r="C14" s="4">
        <f>SUM('TOTAL VOLUME'!C14*'UPS RATES'!C15)</f>
        <v>10.27</v>
      </c>
      <c r="D14" s="4">
        <f>SUM('TOTAL VOLUME'!D14*'UPS RATES'!D15)</f>
        <v>75.36</v>
      </c>
      <c r="E14" s="4">
        <f>SUM('TOTAL VOLUME'!E14*'UPS RATES'!E15)</f>
        <v>332.82</v>
      </c>
      <c r="F14" s="4">
        <f>SUM('TOTAL VOLUME'!F14*'UPS RATES'!F15)</f>
        <v>213.68</v>
      </c>
      <c r="G14" s="4">
        <f>SUM('TOTAL VOLUME'!G14*'UPS RATES'!G15)</f>
        <v>115.56</v>
      </c>
      <c r="H14" s="4">
        <f>SUM('TOTAL VOLUME'!H14*'UPS RATES'!H15)</f>
        <v>484.32</v>
      </c>
      <c r="I14" s="4">
        <f>SUM('TOTAL VOLUME'!I14*'UPS RATES'!I15)</f>
        <v>0</v>
      </c>
      <c r="J14" s="4">
        <f>SUM('TOTAL VOLUME'!J14*'UPS RATES'!J15)</f>
        <v>0</v>
      </c>
      <c r="K14" s="4">
        <f>SUM('TOTAL VOLUME'!K14*'UPS RATES'!K15)</f>
        <v>0</v>
      </c>
      <c r="L14" s="4">
        <f>SUM('TOTAL VOLUME'!L14*'UPS RATES'!L15)</f>
        <v>0</v>
      </c>
      <c r="M14" s="4">
        <f>SUM('TOTAL VOLUME'!M14*'UPS RATES'!M15)</f>
        <v>0</v>
      </c>
      <c r="N14" s="4">
        <f>SUM('TOTAL VOLUME'!N14*'UPS RATES'!N15)</f>
        <v>53.36</v>
      </c>
      <c r="O14" s="4">
        <f>SUM('TOTAL VOLUME'!O14*'UPS RATES'!O15)</f>
        <v>156.80000000000001</v>
      </c>
      <c r="P14" s="4">
        <f>SUM('TOTAL VOLUME'!P14*'UPS RATES'!P15)</f>
        <v>3885.48</v>
      </c>
      <c r="Q14" s="4">
        <f>SUM('TOTAL VOLUME'!Q14*'UPS RATES'!Q15)</f>
        <v>805.71</v>
      </c>
      <c r="R14" s="4">
        <f>SUM('TOTAL VOLUME'!R14*'UPS RATES'!R15)</f>
        <v>1952</v>
      </c>
      <c r="S14" s="4">
        <f>SUM('TOTAL VOLUME'!S14*'UPS RATES'!S15)</f>
        <v>4843.29</v>
      </c>
      <c r="T14" s="4">
        <f>SUM('TOTAL VOLUME'!T14*'UPS RATES'!T15)</f>
        <v>4290.5199999999995</v>
      </c>
      <c r="U14" s="4">
        <f>SUM('TOTAL VOLUME'!U14*'UPS RATES'!U15)</f>
        <v>1163.25</v>
      </c>
      <c r="V14" s="4">
        <f>SUM('TOTAL VOLUME'!V14*'UPS RATES'!V15)</f>
        <v>8171.9000000000005</v>
      </c>
      <c r="W14" s="4">
        <f>SUM('TOTAL VOLUME'!W14*'UPS RATES'!W15)</f>
        <v>852.64</v>
      </c>
      <c r="X14" s="4">
        <f>SUM('TOTAL VOLUME'!X14*'UPS RATES'!X15)</f>
        <v>334.20000000000005</v>
      </c>
      <c r="Y14" s="4">
        <f>SUM('TOTAL VOLUME'!Y14*'UPS RATES'!Y15)</f>
        <v>1497.36</v>
      </c>
      <c r="Z14" s="4">
        <f>SUM('TOTAL VOLUME'!Z14*'UPS RATES'!Z15)</f>
        <v>2870.14</v>
      </c>
      <c r="AA14" s="4">
        <f>SUM('TOTAL VOLUME'!AA14*'UPS RATES'!AA15)</f>
        <v>1623.8</v>
      </c>
      <c r="AB14" s="4">
        <f>SUM('TOTAL VOLUME'!AB14*'UPS RATES'!AB15)</f>
        <v>1762.65</v>
      </c>
      <c r="AC14" s="4">
        <f>SUM('TOTAL VOLUME'!AC14*'UPS RATES'!AC15)</f>
        <v>5474.52</v>
      </c>
    </row>
    <row r="15" spans="1:29" x14ac:dyDescent="0.2">
      <c r="A15" s="2">
        <v>14</v>
      </c>
      <c r="B15" s="4">
        <f>SUM('TOTAL VOLUME'!B15*'UPS RATES'!B16)</f>
        <v>18.16</v>
      </c>
      <c r="C15" s="4">
        <f>SUM('TOTAL VOLUME'!C15*'UPS RATES'!C16)</f>
        <v>10.8</v>
      </c>
      <c r="D15" s="4">
        <f>SUM('TOTAL VOLUME'!D15*'UPS RATES'!D16)</f>
        <v>160.44</v>
      </c>
      <c r="E15" s="4">
        <f>SUM('TOTAL VOLUME'!E15*'UPS RATES'!E16)</f>
        <v>293.25</v>
      </c>
      <c r="F15" s="4">
        <f>SUM('TOTAL VOLUME'!F15*'UPS RATES'!F16)</f>
        <v>141.69999999999999</v>
      </c>
      <c r="G15" s="4">
        <f>SUM('TOTAL VOLUME'!G15*'UPS RATES'!G16)</f>
        <v>212.51999999999998</v>
      </c>
      <c r="H15" s="4">
        <f>SUM('TOTAL VOLUME'!H15*'UPS RATES'!H16)</f>
        <v>379.44</v>
      </c>
      <c r="I15" s="4">
        <f>SUM('TOTAL VOLUME'!I15*'UPS RATES'!I16)</f>
        <v>18.940000000000001</v>
      </c>
      <c r="J15" s="4">
        <f>SUM('TOTAL VOLUME'!J15*'UPS RATES'!J16)</f>
        <v>12.2</v>
      </c>
      <c r="K15" s="4">
        <f>SUM('TOTAL VOLUME'!K15*'UPS RATES'!K16)</f>
        <v>0</v>
      </c>
      <c r="L15" s="4">
        <f>SUM('TOTAL VOLUME'!L15*'UPS RATES'!L16)</f>
        <v>89.5</v>
      </c>
      <c r="M15" s="4">
        <f>SUM('TOTAL VOLUME'!M15*'UPS RATES'!M16)</f>
        <v>24.81</v>
      </c>
      <c r="N15" s="4">
        <f>SUM('TOTAL VOLUME'!N15*'UPS RATES'!N16)</f>
        <v>112.08</v>
      </c>
      <c r="O15" s="4">
        <f>SUM('TOTAL VOLUME'!O15*'UPS RATES'!O16)</f>
        <v>131.84</v>
      </c>
      <c r="P15" s="4">
        <f>SUM('TOTAL VOLUME'!P15*'UPS RATES'!P16)</f>
        <v>16475.64</v>
      </c>
      <c r="Q15" s="4">
        <f>SUM('TOTAL VOLUME'!Q15*'UPS RATES'!Q16)</f>
        <v>4852.3900000000003</v>
      </c>
      <c r="R15" s="4">
        <f>SUM('TOTAL VOLUME'!R15*'UPS RATES'!R16)</f>
        <v>10334.32</v>
      </c>
      <c r="S15" s="4">
        <f>SUM('TOTAL VOLUME'!S15*'UPS RATES'!S16)</f>
        <v>14724</v>
      </c>
      <c r="T15" s="4">
        <f>SUM('TOTAL VOLUME'!T15*'UPS RATES'!T16)</f>
        <v>14316.949999999999</v>
      </c>
      <c r="U15" s="4">
        <f>SUM('TOTAL VOLUME'!U15*'UPS RATES'!U16)</f>
        <v>6169.6799999999994</v>
      </c>
      <c r="V15" s="4">
        <f>SUM('TOTAL VOLUME'!V15*'UPS RATES'!V16)</f>
        <v>38017.129999999997</v>
      </c>
      <c r="W15" s="4">
        <f>SUM('TOTAL VOLUME'!W15*'UPS RATES'!W16)</f>
        <v>1406.56</v>
      </c>
      <c r="X15" s="4">
        <f>SUM('TOTAL VOLUME'!X15*'UPS RATES'!X16)</f>
        <v>304.56000000000006</v>
      </c>
      <c r="Y15" s="4">
        <f>SUM('TOTAL VOLUME'!Y15*'UPS RATES'!Y16)</f>
        <v>1593.28</v>
      </c>
      <c r="Z15" s="4">
        <f>SUM('TOTAL VOLUME'!Z15*'UPS RATES'!Z16)</f>
        <v>3742.2</v>
      </c>
      <c r="AA15" s="4">
        <f>SUM('TOTAL VOLUME'!AA15*'UPS RATES'!AA16)</f>
        <v>1908.9</v>
      </c>
      <c r="AB15" s="4">
        <f>SUM('TOTAL VOLUME'!AB15*'UPS RATES'!AB16)</f>
        <v>1974.5</v>
      </c>
      <c r="AC15" s="4">
        <f>SUM('TOTAL VOLUME'!AC15*'UPS RATES'!AC16)</f>
        <v>4028</v>
      </c>
    </row>
    <row r="16" spans="1:29" x14ac:dyDescent="0.2">
      <c r="A16" s="2">
        <v>15</v>
      </c>
      <c r="B16" s="4">
        <f>SUM('TOTAL VOLUME'!B16*'UPS RATES'!B17)</f>
        <v>0</v>
      </c>
      <c r="C16" s="4">
        <f>SUM('TOTAL VOLUME'!C16*'UPS RATES'!C17)</f>
        <v>11.05</v>
      </c>
      <c r="D16" s="4">
        <f>SUM('TOTAL VOLUME'!D16*'UPS RATES'!D17)</f>
        <v>0</v>
      </c>
      <c r="E16" s="4">
        <f>SUM('TOTAL VOLUME'!E16*'UPS RATES'!E17)</f>
        <v>142.1</v>
      </c>
      <c r="F16" s="4">
        <f>SUM('TOTAL VOLUME'!F16*'UPS RATES'!F17)</f>
        <v>298.39999999999998</v>
      </c>
      <c r="G16" s="4">
        <f>SUM('TOTAL VOLUME'!G16*'UPS RATES'!G17)</f>
        <v>95.1</v>
      </c>
      <c r="H16" s="4">
        <f>SUM('TOTAL VOLUME'!H16*'UPS RATES'!H17)</f>
        <v>363.54999999999995</v>
      </c>
      <c r="I16" s="4">
        <f>SUM('TOTAL VOLUME'!I16*'UPS RATES'!I17)</f>
        <v>0</v>
      </c>
      <c r="J16" s="4">
        <f>SUM('TOTAL VOLUME'!J16*'UPS RATES'!J17)</f>
        <v>0</v>
      </c>
      <c r="K16" s="4">
        <f>SUM('TOTAL VOLUME'!K16*'UPS RATES'!K17)</f>
        <v>0</v>
      </c>
      <c r="L16" s="4">
        <f>SUM('TOTAL VOLUME'!L16*'UPS RATES'!L17)</f>
        <v>0</v>
      </c>
      <c r="M16" s="4">
        <f>SUM('TOTAL VOLUME'!M16*'UPS RATES'!M17)</f>
        <v>52.34</v>
      </c>
      <c r="N16" s="4">
        <f>SUM('TOTAL VOLUME'!N16*'UPS RATES'!N17)</f>
        <v>153.55000000000001</v>
      </c>
      <c r="O16" s="4">
        <f>SUM('TOTAL VOLUME'!O16*'UPS RATES'!O17)</f>
        <v>209.04000000000002</v>
      </c>
      <c r="P16" s="4">
        <f>SUM('TOTAL VOLUME'!P16*'UPS RATES'!P17)</f>
        <v>1829.79</v>
      </c>
      <c r="Q16" s="4">
        <f>SUM('TOTAL VOLUME'!Q16*'UPS RATES'!Q17)</f>
        <v>369.42</v>
      </c>
      <c r="R16" s="4">
        <f>SUM('TOTAL VOLUME'!R16*'UPS RATES'!R17)</f>
        <v>1680.9999999999998</v>
      </c>
      <c r="S16" s="4">
        <f>SUM('TOTAL VOLUME'!S16*'UPS RATES'!S17)</f>
        <v>4259.24</v>
      </c>
      <c r="T16" s="4">
        <f>SUM('TOTAL VOLUME'!T16*'UPS RATES'!T17)</f>
        <v>2945.5</v>
      </c>
      <c r="U16" s="4">
        <f>SUM('TOTAL VOLUME'!U16*'UPS RATES'!U17)</f>
        <v>1358.7</v>
      </c>
      <c r="V16" s="4">
        <f>SUM('TOTAL VOLUME'!V16*'UPS RATES'!V17)</f>
        <v>8053.46</v>
      </c>
      <c r="W16" s="4">
        <f>SUM('TOTAL VOLUME'!W16*'UPS RATES'!W17)</f>
        <v>646.38</v>
      </c>
      <c r="X16" s="4">
        <f>SUM('TOTAL VOLUME'!X16*'UPS RATES'!X17)</f>
        <v>629.74</v>
      </c>
      <c r="Y16" s="4">
        <f>SUM('TOTAL VOLUME'!Y16*'UPS RATES'!Y17)</f>
        <v>1741.04</v>
      </c>
      <c r="Z16" s="4">
        <f>SUM('TOTAL VOLUME'!Z16*'UPS RATES'!Z17)</f>
        <v>4637.71</v>
      </c>
      <c r="AA16" s="4">
        <f>SUM('TOTAL VOLUME'!AA16*'UPS RATES'!AA17)</f>
        <v>2738.89</v>
      </c>
      <c r="AB16" s="4">
        <f>SUM('TOTAL VOLUME'!AB16*'UPS RATES'!AB17)</f>
        <v>2262.33</v>
      </c>
      <c r="AC16" s="4">
        <f>SUM('TOTAL VOLUME'!AC16*'UPS RATES'!AC17)</f>
        <v>8624.3700000000008</v>
      </c>
    </row>
    <row r="17" spans="1:29" x14ac:dyDescent="0.2">
      <c r="A17" s="2">
        <v>16</v>
      </c>
      <c r="B17" s="4">
        <f>SUM('TOTAL VOLUME'!B17*'UPS RATES'!B18)</f>
        <v>38.56</v>
      </c>
      <c r="C17" s="4">
        <f>SUM('TOTAL VOLUME'!C17*'UPS RATES'!C18)</f>
        <v>11.41</v>
      </c>
      <c r="D17" s="4">
        <f>SUM('TOTAL VOLUME'!D17*'UPS RATES'!D18)</f>
        <v>58.4</v>
      </c>
      <c r="E17" s="4">
        <f>SUM('TOTAL VOLUME'!E17*'UPS RATES'!E18)</f>
        <v>209.7</v>
      </c>
      <c r="F17" s="4">
        <f>SUM('TOTAL VOLUME'!F17*'UPS RATES'!F18)</f>
        <v>435.26</v>
      </c>
      <c r="G17" s="4">
        <f>SUM('TOTAL VOLUME'!G17*'UPS RATES'!G18)</f>
        <v>66.66</v>
      </c>
      <c r="H17" s="4">
        <f>SUM('TOTAL VOLUME'!H17*'UPS RATES'!H18)</f>
        <v>310.05</v>
      </c>
      <c r="I17" s="4">
        <f>SUM('TOTAL VOLUME'!I17*'UPS RATES'!I18)</f>
        <v>0</v>
      </c>
      <c r="J17" s="4">
        <f>SUM('TOTAL VOLUME'!J17*'UPS RATES'!J18)</f>
        <v>0</v>
      </c>
      <c r="K17" s="4">
        <f>SUM('TOTAL VOLUME'!K17*'UPS RATES'!K18)</f>
        <v>0</v>
      </c>
      <c r="L17" s="4">
        <f>SUM('TOTAL VOLUME'!L17*'UPS RATES'!L18)</f>
        <v>39.18</v>
      </c>
      <c r="M17" s="4">
        <f>SUM('TOTAL VOLUME'!M17*'UPS RATES'!M18)</f>
        <v>0</v>
      </c>
      <c r="N17" s="4">
        <f>SUM('TOTAL VOLUME'!N17*'UPS RATES'!N18)</f>
        <v>258.39999999999998</v>
      </c>
      <c r="O17" s="4">
        <f>SUM('TOTAL VOLUME'!O17*'UPS RATES'!O18)</f>
        <v>145.12</v>
      </c>
      <c r="P17" s="4">
        <f>SUM('TOTAL VOLUME'!P17*'UPS RATES'!P18)</f>
        <v>1197.27</v>
      </c>
      <c r="Q17" s="4">
        <f>SUM('TOTAL VOLUME'!Q17*'UPS RATES'!Q18)</f>
        <v>638.32000000000005</v>
      </c>
      <c r="R17" s="4">
        <f>SUM('TOTAL VOLUME'!R17*'UPS RATES'!R18)</f>
        <v>1110.55</v>
      </c>
      <c r="S17" s="4">
        <f>SUM('TOTAL VOLUME'!S17*'UPS RATES'!S18)</f>
        <v>2682.84</v>
      </c>
      <c r="T17" s="4">
        <f>SUM('TOTAL VOLUME'!T17*'UPS RATES'!T18)</f>
        <v>2530.7999999999997</v>
      </c>
      <c r="U17" s="4">
        <f>SUM('TOTAL VOLUME'!U17*'UPS RATES'!U18)</f>
        <v>1415.44</v>
      </c>
      <c r="V17" s="4">
        <f>SUM('TOTAL VOLUME'!V17*'UPS RATES'!V18)</f>
        <v>8168.1600000000008</v>
      </c>
      <c r="W17" s="4">
        <f>SUM('TOTAL VOLUME'!W17*'UPS RATES'!W18)</f>
        <v>1732.64</v>
      </c>
      <c r="X17" s="4">
        <f>SUM('TOTAL VOLUME'!X17*'UPS RATES'!X18)</f>
        <v>2153.7799999999997</v>
      </c>
      <c r="Y17" s="4">
        <f>SUM('TOTAL VOLUME'!Y17*'UPS RATES'!Y18)</f>
        <v>4137.88</v>
      </c>
      <c r="Z17" s="4">
        <f>SUM('TOTAL VOLUME'!Z17*'UPS RATES'!Z18)</f>
        <v>11613.06</v>
      </c>
      <c r="AA17" s="4">
        <f>SUM('TOTAL VOLUME'!AA17*'UPS RATES'!AA18)</f>
        <v>8117.97</v>
      </c>
      <c r="AB17" s="4">
        <f>SUM('TOTAL VOLUME'!AB17*'UPS RATES'!AB18)</f>
        <v>5114.07</v>
      </c>
      <c r="AC17" s="4">
        <f>SUM('TOTAL VOLUME'!AC17*'UPS RATES'!AC18)</f>
        <v>23939.46</v>
      </c>
    </row>
    <row r="18" spans="1:29" x14ac:dyDescent="0.2">
      <c r="A18" s="2">
        <v>17</v>
      </c>
      <c r="B18" s="4">
        <f>SUM('TOTAL VOLUME'!B18*'UPS RATES'!B19)</f>
        <v>49.699999999999996</v>
      </c>
      <c r="C18" s="4">
        <f>SUM('TOTAL VOLUME'!C18*'UPS RATES'!C19)</f>
        <v>11.76</v>
      </c>
      <c r="D18" s="4">
        <f>SUM('TOTAL VOLUME'!D18*'UPS RATES'!D19)</f>
        <v>76</v>
      </c>
      <c r="E18" s="4">
        <f>SUM('TOTAL VOLUME'!E18*'UPS RATES'!E19)</f>
        <v>109.85</v>
      </c>
      <c r="F18" s="4">
        <f>SUM('TOTAL VOLUME'!F18*'UPS RATES'!F19)</f>
        <v>64.98</v>
      </c>
      <c r="G18" s="4">
        <f>SUM('TOTAL VOLUME'!G18*'UPS RATES'!G19)</f>
        <v>70.22</v>
      </c>
      <c r="H18" s="4">
        <f>SUM('TOTAL VOLUME'!H18*'UPS RATES'!H19)</f>
        <v>288.48</v>
      </c>
      <c r="I18" s="4">
        <f>SUM('TOTAL VOLUME'!I18*'UPS RATES'!I19)</f>
        <v>0</v>
      </c>
      <c r="J18" s="4">
        <f>SUM('TOTAL VOLUME'!J18*'UPS RATES'!J19)</f>
        <v>12.72</v>
      </c>
      <c r="K18" s="4">
        <f>SUM('TOTAL VOLUME'!K18*'UPS RATES'!K19)</f>
        <v>0</v>
      </c>
      <c r="L18" s="4">
        <f>SUM('TOTAL VOLUME'!L18*'UPS RATES'!L19)</f>
        <v>19.8</v>
      </c>
      <c r="M18" s="4">
        <f>SUM('TOTAL VOLUME'!M18*'UPS RATES'!M19)</f>
        <v>0</v>
      </c>
      <c r="N18" s="4">
        <f>SUM('TOTAL VOLUME'!N18*'UPS RATES'!N19)</f>
        <v>0</v>
      </c>
      <c r="O18" s="4">
        <f>SUM('TOTAL VOLUME'!O18*'UPS RATES'!O19)</f>
        <v>493.48</v>
      </c>
      <c r="P18" s="4">
        <f>SUM('TOTAL VOLUME'!P18*'UPS RATES'!P19)</f>
        <v>828.30000000000007</v>
      </c>
      <c r="Q18" s="4">
        <f>SUM('TOTAL VOLUME'!Q18*'UPS RATES'!Q19)</f>
        <v>486.16</v>
      </c>
      <c r="R18" s="4">
        <f>SUM('TOTAL VOLUME'!R18*'UPS RATES'!R19)</f>
        <v>869.31999999999994</v>
      </c>
      <c r="S18" s="4">
        <f>SUM('TOTAL VOLUME'!S18*'UPS RATES'!S19)</f>
        <v>2973.75</v>
      </c>
      <c r="T18" s="4">
        <f>SUM('TOTAL VOLUME'!T18*'UPS RATES'!T19)</f>
        <v>2254.2000000000003</v>
      </c>
      <c r="U18" s="4">
        <f>SUM('TOTAL VOLUME'!U18*'UPS RATES'!U19)</f>
        <v>1588.41</v>
      </c>
      <c r="V18" s="4">
        <f>SUM('TOTAL VOLUME'!V18*'UPS RATES'!V19)</f>
        <v>3760</v>
      </c>
      <c r="W18" s="4">
        <f>SUM('TOTAL VOLUME'!W18*'UPS RATES'!W19)</f>
        <v>2811.0499999999997</v>
      </c>
      <c r="X18" s="4">
        <f>SUM('TOTAL VOLUME'!X18*'UPS RATES'!X19)</f>
        <v>1617.8400000000001</v>
      </c>
      <c r="Y18" s="4">
        <f>SUM('TOTAL VOLUME'!Y18*'UPS RATES'!Y19)</f>
        <v>4509.4399999999996</v>
      </c>
      <c r="Z18" s="4">
        <f>SUM('TOTAL VOLUME'!Z18*'UPS RATES'!Z19)</f>
        <v>11822.46</v>
      </c>
      <c r="AA18" s="4">
        <f>SUM('TOTAL VOLUME'!AA18*'UPS RATES'!AA19)</f>
        <v>7564.1500000000005</v>
      </c>
      <c r="AB18" s="4">
        <f>SUM('TOTAL VOLUME'!AB18*'UPS RATES'!AB19)</f>
        <v>5381.42</v>
      </c>
      <c r="AC18" s="4">
        <f>SUM('TOTAL VOLUME'!AC18*'UPS RATES'!AC19)</f>
        <v>21600</v>
      </c>
    </row>
    <row r="19" spans="1:29" x14ac:dyDescent="0.2">
      <c r="A19" s="2">
        <v>18</v>
      </c>
      <c r="B19" s="4">
        <f>SUM('TOTAL VOLUME'!B19*'UPS RATES'!B20)</f>
        <v>61.62</v>
      </c>
      <c r="C19" s="4">
        <f>SUM('TOTAL VOLUME'!C19*'UPS RATES'!C20)</f>
        <v>72.900000000000006</v>
      </c>
      <c r="D19" s="4">
        <f>SUM('TOTAL VOLUME'!D19*'UPS RATES'!D20)</f>
        <v>15.79</v>
      </c>
      <c r="E19" s="4">
        <f>SUM('TOTAL VOLUME'!E19*'UPS RATES'!E20)</f>
        <v>204.57</v>
      </c>
      <c r="F19" s="4">
        <f>SUM('TOTAL VOLUME'!F19*'UPS RATES'!F20)</f>
        <v>101.52000000000001</v>
      </c>
      <c r="G19" s="4">
        <f>SUM('TOTAL VOLUME'!G19*'UPS RATES'!G20)</f>
        <v>293.27999999999997</v>
      </c>
      <c r="H19" s="4">
        <f>SUM('TOTAL VOLUME'!H19*'UPS RATES'!H20)</f>
        <v>1020.5999999999999</v>
      </c>
      <c r="I19" s="4">
        <f>SUM('TOTAL VOLUME'!I19*'UPS RATES'!I20)</f>
        <v>10.51</v>
      </c>
      <c r="J19" s="4">
        <f>SUM('TOTAL VOLUME'!J19*'UPS RATES'!J20)</f>
        <v>0</v>
      </c>
      <c r="K19" s="4">
        <f>SUM('TOTAL VOLUME'!K19*'UPS RATES'!K20)</f>
        <v>0</v>
      </c>
      <c r="L19" s="4">
        <f>SUM('TOTAL VOLUME'!L19*'UPS RATES'!L20)</f>
        <v>0</v>
      </c>
      <c r="M19" s="4">
        <f>SUM('TOTAL VOLUME'!M19*'UPS RATES'!M20)</f>
        <v>117.44</v>
      </c>
      <c r="N19" s="4">
        <f>SUM('TOTAL VOLUME'!N19*'UPS RATES'!N20)</f>
        <v>105.44999999999999</v>
      </c>
      <c r="O19" s="4">
        <f>SUM('TOTAL VOLUME'!O19*'UPS RATES'!O20)</f>
        <v>981</v>
      </c>
      <c r="P19" s="4">
        <f>SUM('TOTAL VOLUME'!P19*'UPS RATES'!P20)</f>
        <v>1010.8</v>
      </c>
      <c r="Q19" s="4">
        <f>SUM('TOTAL VOLUME'!Q19*'UPS RATES'!Q20)</f>
        <v>770.04</v>
      </c>
      <c r="R19" s="4">
        <f>SUM('TOTAL VOLUME'!R19*'UPS RATES'!R20)</f>
        <v>1663.35</v>
      </c>
      <c r="S19" s="4">
        <f>SUM('TOTAL VOLUME'!S19*'UPS RATES'!S20)</f>
        <v>3951.2700000000004</v>
      </c>
      <c r="T19" s="4">
        <f>SUM('TOTAL VOLUME'!T19*'UPS RATES'!T20)</f>
        <v>3115.52</v>
      </c>
      <c r="U19" s="4">
        <f>SUM('TOTAL VOLUME'!U19*'UPS RATES'!U20)</f>
        <v>2242</v>
      </c>
      <c r="V19" s="4">
        <f>SUM('TOTAL VOLUME'!V19*'UPS RATES'!V20)</f>
        <v>6114.94</v>
      </c>
      <c r="W19" s="4">
        <f>SUM('TOTAL VOLUME'!W19*'UPS RATES'!W20)</f>
        <v>1815.7</v>
      </c>
      <c r="X19" s="4">
        <f>SUM('TOTAL VOLUME'!X19*'UPS RATES'!X20)</f>
        <v>1355.9</v>
      </c>
      <c r="Y19" s="4">
        <f>SUM('TOTAL VOLUME'!Y19*'UPS RATES'!Y20)</f>
        <v>2091.5500000000002</v>
      </c>
      <c r="Z19" s="4">
        <f>SUM('TOTAL VOLUME'!Z19*'UPS RATES'!Z20)</f>
        <v>7007.43</v>
      </c>
      <c r="AA19" s="4">
        <f>SUM('TOTAL VOLUME'!AA19*'UPS RATES'!AA20)</f>
        <v>5103</v>
      </c>
      <c r="AB19" s="4">
        <f>SUM('TOTAL VOLUME'!AB19*'UPS RATES'!AB20)</f>
        <v>2295.7999999999997</v>
      </c>
      <c r="AC19" s="4">
        <f>SUM('TOTAL VOLUME'!AC19*'UPS RATES'!AC20)</f>
        <v>11710.4</v>
      </c>
    </row>
    <row r="20" spans="1:29" x14ac:dyDescent="0.2">
      <c r="A20" s="2">
        <v>19</v>
      </c>
      <c r="B20" s="4">
        <f>SUM('TOTAL VOLUME'!B20*'UPS RATES'!B21)</f>
        <v>21.36</v>
      </c>
      <c r="C20" s="4">
        <f>SUM('TOTAL VOLUME'!C20*'UPS RATES'!C21)</f>
        <v>37.44</v>
      </c>
      <c r="D20" s="4">
        <f>SUM('TOTAL VOLUME'!D20*'UPS RATES'!D21)</f>
        <v>32.44</v>
      </c>
      <c r="E20" s="4">
        <f>SUM('TOTAL VOLUME'!E20*'UPS RATES'!E21)</f>
        <v>378.56</v>
      </c>
      <c r="F20" s="4">
        <f>SUM('TOTAL VOLUME'!F20*'UPS RATES'!F21)</f>
        <v>140.24</v>
      </c>
      <c r="G20" s="4">
        <f>SUM('TOTAL VOLUME'!G20*'UPS RATES'!G21)</f>
        <v>191.70000000000002</v>
      </c>
      <c r="H20" s="4">
        <f>SUM('TOTAL VOLUME'!H20*'UPS RATES'!H21)</f>
        <v>197.2</v>
      </c>
      <c r="I20" s="4">
        <f>SUM('TOTAL VOLUME'!I20*'UPS RATES'!I21)</f>
        <v>0</v>
      </c>
      <c r="J20" s="4">
        <f>SUM('TOTAL VOLUME'!J20*'UPS RATES'!J21)</f>
        <v>0</v>
      </c>
      <c r="K20" s="4">
        <f>SUM('TOTAL VOLUME'!K20*'UPS RATES'!K21)</f>
        <v>0</v>
      </c>
      <c r="L20" s="4">
        <f>SUM('TOTAL VOLUME'!L20*'UPS RATES'!L21)</f>
        <v>0</v>
      </c>
      <c r="M20" s="4">
        <f>SUM('TOTAL VOLUME'!M20*'UPS RATES'!M21)</f>
        <v>30.3</v>
      </c>
      <c r="N20" s="4">
        <f>SUM('TOTAL VOLUME'!N20*'UPS RATES'!N21)</f>
        <v>71.900000000000006</v>
      </c>
      <c r="O20" s="4">
        <f>SUM('TOTAL VOLUME'!O20*'UPS RATES'!O21)</f>
        <v>487.56000000000006</v>
      </c>
      <c r="P20" s="4">
        <f>SUM('TOTAL VOLUME'!P20*'UPS RATES'!P21)</f>
        <v>817.95</v>
      </c>
      <c r="Q20" s="4">
        <f>SUM('TOTAL VOLUME'!Q20*'UPS RATES'!Q21)</f>
        <v>384.56</v>
      </c>
      <c r="R20" s="4">
        <f>SUM('TOTAL VOLUME'!R20*'UPS RATES'!R21)</f>
        <v>958.72000000000014</v>
      </c>
      <c r="S20" s="4">
        <f>SUM('TOTAL VOLUME'!S20*'UPS RATES'!S21)</f>
        <v>2675.66</v>
      </c>
      <c r="T20" s="4">
        <f>SUM('TOTAL VOLUME'!T20*'UPS RATES'!T21)</f>
        <v>1822.0800000000002</v>
      </c>
      <c r="U20" s="4">
        <f>SUM('TOTAL VOLUME'!U20*'UPS RATES'!U21)</f>
        <v>1090.8</v>
      </c>
      <c r="V20" s="4">
        <f>SUM('TOTAL VOLUME'!V20*'UPS RATES'!V21)</f>
        <v>2903.3599999999997</v>
      </c>
      <c r="W20" s="4">
        <f>SUM('TOTAL VOLUME'!W20*'UPS RATES'!W21)</f>
        <v>872.96</v>
      </c>
      <c r="X20" s="4">
        <f>SUM('TOTAL VOLUME'!X20*'UPS RATES'!X21)</f>
        <v>679.35</v>
      </c>
      <c r="Y20" s="4">
        <f>SUM('TOTAL VOLUME'!Y20*'UPS RATES'!Y21)</f>
        <v>1348.2399999999998</v>
      </c>
      <c r="Z20" s="4">
        <f>SUM('TOTAL VOLUME'!Z20*'UPS RATES'!Z21)</f>
        <v>3604.5099999999998</v>
      </c>
      <c r="AA20" s="4">
        <f>SUM('TOTAL VOLUME'!AA20*'UPS RATES'!AA21)</f>
        <v>2432.4</v>
      </c>
      <c r="AB20" s="4">
        <f>SUM('TOTAL VOLUME'!AB20*'UPS RATES'!AB21)</f>
        <v>1458.27</v>
      </c>
      <c r="AC20" s="4">
        <f>SUM('TOTAL VOLUME'!AC20*'UPS RATES'!AC21)</f>
        <v>5274.36</v>
      </c>
    </row>
    <row r="21" spans="1:29" x14ac:dyDescent="0.2">
      <c r="A21" s="2">
        <v>20</v>
      </c>
      <c r="B21" s="4">
        <f>SUM('TOTAL VOLUME'!B21*'UPS RATES'!B22)</f>
        <v>44.2</v>
      </c>
      <c r="C21" s="4">
        <f>SUM('TOTAL VOLUME'!C21*'UPS RATES'!C22)</f>
        <v>26.04</v>
      </c>
      <c r="D21" s="4">
        <f>SUM('TOTAL VOLUME'!D21*'UPS RATES'!D22)</f>
        <v>33.700000000000003</v>
      </c>
      <c r="E21" s="4">
        <f>SUM('TOTAL VOLUME'!E21*'UPS RATES'!E22)</f>
        <v>198.08</v>
      </c>
      <c r="F21" s="4">
        <f>SUM('TOTAL VOLUME'!F21*'UPS RATES'!F22)</f>
        <v>181.5</v>
      </c>
      <c r="G21" s="4">
        <f>SUM('TOTAL VOLUME'!G21*'UPS RATES'!G22)</f>
        <v>158.63999999999999</v>
      </c>
      <c r="H21" s="4">
        <f>SUM('TOTAL VOLUME'!H21*'UPS RATES'!H22)</f>
        <v>286.3</v>
      </c>
      <c r="I21" s="4">
        <f>SUM('TOTAL VOLUME'!I21*'UPS RATES'!I22)</f>
        <v>0</v>
      </c>
      <c r="J21" s="4">
        <f>SUM('TOTAL VOLUME'!J21*'UPS RATES'!J22)</f>
        <v>0</v>
      </c>
      <c r="K21" s="4">
        <f>SUM('TOTAL VOLUME'!K21*'UPS RATES'!K22)</f>
        <v>0</v>
      </c>
      <c r="L21" s="4">
        <f>SUM('TOTAL VOLUME'!L21*'UPS RATES'!L22)</f>
        <v>0</v>
      </c>
      <c r="M21" s="4">
        <f>SUM('TOTAL VOLUME'!M21*'UPS RATES'!M22)</f>
        <v>31.38</v>
      </c>
      <c r="N21" s="4">
        <f>SUM('TOTAL VOLUME'!N21*'UPS RATES'!N22)</f>
        <v>108.14999999999999</v>
      </c>
      <c r="O21" s="4">
        <f>SUM('TOTAL VOLUME'!O21*'UPS RATES'!O22)</f>
        <v>420.79999999999995</v>
      </c>
      <c r="P21" s="4">
        <f>SUM('TOTAL VOLUME'!P21*'UPS RATES'!P22)</f>
        <v>1332.8</v>
      </c>
      <c r="Q21" s="4">
        <f>SUM('TOTAL VOLUME'!Q21*'UPS RATES'!Q22)</f>
        <v>582.12</v>
      </c>
      <c r="R21" s="4">
        <f>SUM('TOTAL VOLUME'!R21*'UPS RATES'!R22)</f>
        <v>945</v>
      </c>
      <c r="S21" s="4">
        <f>SUM('TOTAL VOLUME'!S21*'UPS RATES'!S22)</f>
        <v>3468.04</v>
      </c>
      <c r="T21" s="4">
        <f>SUM('TOTAL VOLUME'!T21*'UPS RATES'!T22)</f>
        <v>2866.02</v>
      </c>
      <c r="U21" s="4">
        <f>SUM('TOTAL VOLUME'!U21*'UPS RATES'!U22)</f>
        <v>1884</v>
      </c>
      <c r="V21" s="4">
        <f>SUM('TOTAL VOLUME'!V21*'UPS RATES'!V22)</f>
        <v>4422.62</v>
      </c>
      <c r="W21" s="4">
        <f>SUM('TOTAL VOLUME'!W21*'UPS RATES'!W22)</f>
        <v>658.08</v>
      </c>
      <c r="X21" s="4">
        <f>SUM('TOTAL VOLUME'!X21*'UPS RATES'!X22)</f>
        <v>292.34999999999997</v>
      </c>
      <c r="Y21" s="4">
        <f>SUM('TOTAL VOLUME'!Y21*'UPS RATES'!Y22)</f>
        <v>923</v>
      </c>
      <c r="Z21" s="4">
        <f>SUM('TOTAL VOLUME'!Z21*'UPS RATES'!Z22)</f>
        <v>2389.1999999999998</v>
      </c>
      <c r="AA21" s="4">
        <f>SUM('TOTAL VOLUME'!AA21*'UPS RATES'!AA22)</f>
        <v>1585.7399999999998</v>
      </c>
      <c r="AB21" s="4">
        <f>SUM('TOTAL VOLUME'!AB21*'UPS RATES'!AB22)</f>
        <v>1240.96</v>
      </c>
      <c r="AC21" s="4">
        <f>SUM('TOTAL VOLUME'!AC21*'UPS RATES'!AC22)</f>
        <v>3655.53</v>
      </c>
    </row>
    <row r="22" spans="1:29" x14ac:dyDescent="0.2">
      <c r="A22" s="2">
        <v>21</v>
      </c>
      <c r="B22" s="4">
        <f>SUM('TOTAL VOLUME'!B22*'UPS RATES'!B23)</f>
        <v>57.800000000000004</v>
      </c>
      <c r="C22" s="4">
        <f>SUM('TOTAL VOLUME'!C22*'UPS RATES'!C23)</f>
        <v>13.52</v>
      </c>
      <c r="D22" s="4">
        <f>SUM('TOTAL VOLUME'!D22*'UPS RATES'!D23)</f>
        <v>122.36</v>
      </c>
      <c r="E22" s="4">
        <f>SUM('TOTAL VOLUME'!E22*'UPS RATES'!E23)</f>
        <v>307.20000000000005</v>
      </c>
      <c r="F22" s="4">
        <f>SUM('TOTAL VOLUME'!F22*'UPS RATES'!F23)</f>
        <v>400.84</v>
      </c>
      <c r="G22" s="4">
        <f>SUM('TOTAL VOLUME'!G22*'UPS RATES'!G23)</f>
        <v>246.12</v>
      </c>
      <c r="H22" s="4">
        <f>SUM('TOTAL VOLUME'!H22*'UPS RATES'!H23)</f>
        <v>803.8900000000001</v>
      </c>
      <c r="I22" s="4">
        <f>SUM('TOTAL VOLUME'!I22*'UPS RATES'!I23)</f>
        <v>0</v>
      </c>
      <c r="J22" s="4">
        <f>SUM('TOTAL VOLUME'!J22*'UPS RATES'!J23)</f>
        <v>14.68</v>
      </c>
      <c r="K22" s="4">
        <f>SUM('TOTAL VOLUME'!K22*'UPS RATES'!K23)</f>
        <v>34.200000000000003</v>
      </c>
      <c r="L22" s="4">
        <f>SUM('TOTAL VOLUME'!L22*'UPS RATES'!L23)</f>
        <v>69.300000000000011</v>
      </c>
      <c r="M22" s="4">
        <f>SUM('TOTAL VOLUME'!M22*'UPS RATES'!M23)</f>
        <v>160.19999999999999</v>
      </c>
      <c r="N22" s="4">
        <f>SUM('TOTAL VOLUME'!N22*'UPS RATES'!N23)</f>
        <v>154</v>
      </c>
      <c r="O22" s="4">
        <f>SUM('TOTAL VOLUME'!O22*'UPS RATES'!O23)</f>
        <v>522.48</v>
      </c>
      <c r="P22" s="4">
        <f>SUM('TOTAL VOLUME'!P22*'UPS RATES'!P23)</f>
        <v>1682.64</v>
      </c>
      <c r="Q22" s="4">
        <f>SUM('TOTAL VOLUME'!Q22*'UPS RATES'!Q23)</f>
        <v>1028.4299999999998</v>
      </c>
      <c r="R22" s="4">
        <f>SUM('TOTAL VOLUME'!R22*'UPS RATES'!R23)</f>
        <v>2029.3</v>
      </c>
      <c r="S22" s="4">
        <f>SUM('TOTAL VOLUME'!S22*'UPS RATES'!S23)</f>
        <v>5020.25</v>
      </c>
      <c r="T22" s="4">
        <f>SUM('TOTAL VOLUME'!T22*'UPS RATES'!T23)</f>
        <v>4240.5</v>
      </c>
      <c r="U22" s="4">
        <f>SUM('TOTAL VOLUME'!U22*'UPS RATES'!U23)</f>
        <v>2788.82</v>
      </c>
      <c r="V22" s="4">
        <f>SUM('TOTAL VOLUME'!V22*'UPS RATES'!V23)</f>
        <v>6998.82</v>
      </c>
      <c r="W22" s="4">
        <f>SUM('TOTAL VOLUME'!W22*'UPS RATES'!W23)</f>
        <v>816.24</v>
      </c>
      <c r="X22" s="4">
        <f>SUM('TOTAL VOLUME'!X22*'UPS RATES'!X23)</f>
        <v>591.02</v>
      </c>
      <c r="Y22" s="4">
        <f>SUM('TOTAL VOLUME'!Y22*'UPS RATES'!Y23)</f>
        <v>1236.1600000000001</v>
      </c>
      <c r="Z22" s="4">
        <f>SUM('TOTAL VOLUME'!Z22*'UPS RATES'!Z23)</f>
        <v>3320.19</v>
      </c>
      <c r="AA22" s="4">
        <f>SUM('TOTAL VOLUME'!AA22*'UPS RATES'!AA23)</f>
        <v>4099.25</v>
      </c>
      <c r="AB22" s="4">
        <f>SUM('TOTAL VOLUME'!AB22*'UPS RATES'!AB23)</f>
        <v>2291.2399999999998</v>
      </c>
      <c r="AC22" s="4">
        <f>SUM('TOTAL VOLUME'!AC22*'UPS RATES'!AC23)</f>
        <v>4856.88</v>
      </c>
    </row>
    <row r="23" spans="1:29" x14ac:dyDescent="0.2">
      <c r="A23" s="2">
        <v>22</v>
      </c>
      <c r="B23" s="4">
        <f>SUM('TOTAL VOLUME'!B23*'UPS RATES'!B24)</f>
        <v>35.76</v>
      </c>
      <c r="C23" s="4">
        <f>SUM('TOTAL VOLUME'!C23*'UPS RATES'!C24)</f>
        <v>28.34</v>
      </c>
      <c r="D23" s="4">
        <f>SUM('TOTAL VOLUME'!D23*'UPS RATES'!D24)</f>
        <v>161.64000000000001</v>
      </c>
      <c r="E23" s="4">
        <f>SUM('TOTAL VOLUME'!E23*'UPS RATES'!E24)</f>
        <v>342.16</v>
      </c>
      <c r="F23" s="4">
        <f>SUM('TOTAL VOLUME'!F23*'UPS RATES'!F24)</f>
        <v>388.2</v>
      </c>
      <c r="G23" s="4">
        <f>SUM('TOTAL VOLUME'!G23*'UPS RATES'!G24)</f>
        <v>255.54000000000002</v>
      </c>
      <c r="H23" s="4">
        <f>SUM('TOTAL VOLUME'!H23*'UPS RATES'!H24)</f>
        <v>1142.7</v>
      </c>
      <c r="I23" s="4">
        <f>SUM('TOTAL VOLUME'!I23*'UPS RATES'!I24)</f>
        <v>11.86</v>
      </c>
      <c r="J23" s="4">
        <f>SUM('TOTAL VOLUME'!J23*'UPS RATES'!J24)</f>
        <v>0</v>
      </c>
      <c r="K23" s="4">
        <f>SUM('TOTAL VOLUME'!K23*'UPS RATES'!K24)</f>
        <v>0</v>
      </c>
      <c r="L23" s="4">
        <f>SUM('TOTAL VOLUME'!L23*'UPS RATES'!L24)</f>
        <v>118.65</v>
      </c>
      <c r="M23" s="4">
        <f>SUM('TOTAL VOLUME'!M23*'UPS RATES'!M24)</f>
        <v>33.5</v>
      </c>
      <c r="N23" s="4">
        <f>SUM('TOTAL VOLUME'!N23*'UPS RATES'!N24)</f>
        <v>154.72</v>
      </c>
      <c r="O23" s="4">
        <f>SUM('TOTAL VOLUME'!O23*'UPS RATES'!O24)</f>
        <v>315.98</v>
      </c>
      <c r="P23" s="4">
        <f>SUM('TOTAL VOLUME'!P23*'UPS RATES'!P24)</f>
        <v>2604.06</v>
      </c>
      <c r="Q23" s="4">
        <f>SUM('TOTAL VOLUME'!Q23*'UPS RATES'!Q24)</f>
        <v>1250.6699999999998</v>
      </c>
      <c r="R23" s="4">
        <f>SUM('TOTAL VOLUME'!R23*'UPS RATES'!R24)</f>
        <v>2767.6</v>
      </c>
      <c r="S23" s="4">
        <f>SUM('TOTAL VOLUME'!S23*'UPS RATES'!S24)</f>
        <v>6916.6399999999994</v>
      </c>
      <c r="T23" s="4">
        <f>SUM('TOTAL VOLUME'!T23*'UPS RATES'!T24)</f>
        <v>6382.26</v>
      </c>
      <c r="U23" s="4">
        <f>SUM('TOTAL VOLUME'!U23*'UPS RATES'!U24)</f>
        <v>3474.4</v>
      </c>
      <c r="V23" s="4">
        <f>SUM('TOTAL VOLUME'!V23*'UPS RATES'!V24)</f>
        <v>9357.5500000000011</v>
      </c>
      <c r="W23" s="4">
        <f>SUM('TOTAL VOLUME'!W23*'UPS RATES'!W24)</f>
        <v>823.35</v>
      </c>
      <c r="X23" s="4">
        <f>SUM('TOTAL VOLUME'!X23*'UPS RATES'!X24)</f>
        <v>322.65000000000003</v>
      </c>
      <c r="Y23" s="4">
        <f>SUM('TOTAL VOLUME'!Y23*'UPS RATES'!Y24)</f>
        <v>2069.08</v>
      </c>
      <c r="Z23" s="4">
        <f>SUM('TOTAL VOLUME'!Z23*'UPS RATES'!Z24)</f>
        <v>4169.8999999999996</v>
      </c>
      <c r="AA23" s="4">
        <f>SUM('TOTAL VOLUME'!AA23*'UPS RATES'!AA24)</f>
        <v>3128.4</v>
      </c>
      <c r="AB23" s="4">
        <f>SUM('TOTAL VOLUME'!AB23*'UPS RATES'!AB24)</f>
        <v>2360.16</v>
      </c>
      <c r="AC23" s="4">
        <f>SUM('TOTAL VOLUME'!AC23*'UPS RATES'!AC24)</f>
        <v>5709.84</v>
      </c>
    </row>
    <row r="24" spans="1:29" x14ac:dyDescent="0.2">
      <c r="A24" s="2">
        <v>23</v>
      </c>
      <c r="B24" s="4">
        <f>SUM('TOTAL VOLUME'!B24*'UPS RATES'!B25)</f>
        <v>48.84</v>
      </c>
      <c r="C24" s="4">
        <f>SUM('TOTAL VOLUME'!C24*'UPS RATES'!C25)</f>
        <v>43.47</v>
      </c>
      <c r="D24" s="4">
        <f>SUM('TOTAL VOLUME'!D24*'UPS RATES'!D25)</f>
        <v>37.22</v>
      </c>
      <c r="E24" s="4">
        <f>SUM('TOTAL VOLUME'!E24*'UPS RATES'!E25)</f>
        <v>216.56</v>
      </c>
      <c r="F24" s="4">
        <f>SUM('TOTAL VOLUME'!F24*'UPS RATES'!F25)</f>
        <v>241.32</v>
      </c>
      <c r="G24" s="4">
        <f>SUM('TOTAL VOLUME'!G24*'UPS RATES'!G25)</f>
        <v>219.95000000000002</v>
      </c>
      <c r="H24" s="4">
        <f>SUM('TOTAL VOLUME'!H24*'UPS RATES'!H25)</f>
        <v>1136.25</v>
      </c>
      <c r="I24" s="4">
        <f>SUM('TOTAL VOLUME'!I24*'UPS RATES'!I25)</f>
        <v>0</v>
      </c>
      <c r="J24" s="4">
        <f>SUM('TOTAL VOLUME'!J24*'UPS RATES'!J25)</f>
        <v>0</v>
      </c>
      <c r="K24" s="4">
        <f>SUM('TOTAL VOLUME'!K24*'UPS RATES'!K25)</f>
        <v>18.68</v>
      </c>
      <c r="L24" s="4">
        <f>SUM('TOTAL VOLUME'!L24*'UPS RATES'!L25)</f>
        <v>0</v>
      </c>
      <c r="M24" s="4">
        <f>SUM('TOTAL VOLUME'!M24*'UPS RATES'!M25)</f>
        <v>68.959999999999994</v>
      </c>
      <c r="N24" s="4">
        <f>SUM('TOTAL VOLUME'!N24*'UPS RATES'!N25)</f>
        <v>125.58</v>
      </c>
      <c r="O24" s="4">
        <f>SUM('TOTAL VOLUME'!O24*'UPS RATES'!O25)</f>
        <v>559.68000000000006</v>
      </c>
      <c r="P24" s="4">
        <f>SUM('TOTAL VOLUME'!P24*'UPS RATES'!P25)</f>
        <v>2017.4499999999998</v>
      </c>
      <c r="Q24" s="4">
        <f>SUM('TOTAL VOLUME'!Q24*'UPS RATES'!Q25)</f>
        <v>1556.6000000000001</v>
      </c>
      <c r="R24" s="4">
        <f>SUM('TOTAL VOLUME'!R24*'UPS RATES'!R25)</f>
        <v>1510.34</v>
      </c>
      <c r="S24" s="4">
        <f>SUM('TOTAL VOLUME'!S24*'UPS RATES'!S25)</f>
        <v>4894.5600000000004</v>
      </c>
      <c r="T24" s="4">
        <f>SUM('TOTAL VOLUME'!T24*'UPS RATES'!T25)</f>
        <v>4275.04</v>
      </c>
      <c r="U24" s="4">
        <f>SUM('TOTAL VOLUME'!U24*'UPS RATES'!U25)</f>
        <v>2184.6</v>
      </c>
      <c r="V24" s="4">
        <f>SUM('TOTAL VOLUME'!V24*'UPS RATES'!V25)</f>
        <v>7367.1</v>
      </c>
      <c r="W24" s="4">
        <f>SUM('TOTAL VOLUME'!W24*'UPS RATES'!W25)</f>
        <v>903</v>
      </c>
      <c r="X24" s="4">
        <f>SUM('TOTAL VOLUME'!X24*'UPS RATES'!X25)</f>
        <v>281.19</v>
      </c>
      <c r="Y24" s="4">
        <f>SUM('TOTAL VOLUME'!Y24*'UPS RATES'!Y25)</f>
        <v>778.43</v>
      </c>
      <c r="Z24" s="4">
        <f>SUM('TOTAL VOLUME'!Z24*'UPS RATES'!Z25)</f>
        <v>2310.36</v>
      </c>
      <c r="AA24" s="4">
        <f>SUM('TOTAL VOLUME'!AA24*'UPS RATES'!AA25)</f>
        <v>1690.2</v>
      </c>
      <c r="AB24" s="4">
        <f>SUM('TOTAL VOLUME'!AB24*'UPS RATES'!AB25)</f>
        <v>1296.5</v>
      </c>
      <c r="AC24" s="4">
        <f>SUM('TOTAL VOLUME'!AC24*'UPS RATES'!AC25)</f>
        <v>5660.3</v>
      </c>
    </row>
    <row r="25" spans="1:29" x14ac:dyDescent="0.2">
      <c r="A25" s="2">
        <v>24</v>
      </c>
      <c r="B25" s="4">
        <f>SUM('TOTAL VOLUME'!B25*'UPS RATES'!B26)</f>
        <v>12.49</v>
      </c>
      <c r="C25" s="4">
        <f>SUM('TOTAL VOLUME'!C25*'UPS RATES'!C26)</f>
        <v>30.12</v>
      </c>
      <c r="D25" s="4">
        <f>SUM('TOTAL VOLUME'!D25*'UPS RATES'!D26)</f>
        <v>19.2</v>
      </c>
      <c r="E25" s="4">
        <f>SUM('TOTAL VOLUME'!E25*'UPS RATES'!E26)</f>
        <v>253.08</v>
      </c>
      <c r="F25" s="4">
        <f>SUM('TOTAL VOLUME'!F25*'UPS RATES'!F26)</f>
        <v>166.76</v>
      </c>
      <c r="G25" s="4">
        <f>SUM('TOTAL VOLUME'!G25*'UPS RATES'!G26)</f>
        <v>90.06</v>
      </c>
      <c r="H25" s="4">
        <f>SUM('TOTAL VOLUME'!H25*'UPS RATES'!H26)</f>
        <v>734.88</v>
      </c>
      <c r="I25" s="4">
        <f>SUM('TOTAL VOLUME'!I25*'UPS RATES'!I26)</f>
        <v>0</v>
      </c>
      <c r="J25" s="4">
        <f>SUM('TOTAL VOLUME'!J25*'UPS RATES'!J26)</f>
        <v>0</v>
      </c>
      <c r="K25" s="4">
        <f>SUM('TOTAL VOLUME'!K25*'UPS RATES'!K26)</f>
        <v>0</v>
      </c>
      <c r="L25" s="4">
        <f>SUM('TOTAL VOLUME'!L25*'UPS RATES'!L26)</f>
        <v>0</v>
      </c>
      <c r="M25" s="4">
        <f>SUM('TOTAL VOLUME'!M25*'UPS RATES'!M26)</f>
        <v>106.97999999999999</v>
      </c>
      <c r="N25" s="4">
        <f>SUM('TOTAL VOLUME'!N25*'UPS RATES'!N26)</f>
        <v>0</v>
      </c>
      <c r="O25" s="4">
        <f>SUM('TOTAL VOLUME'!O25*'UPS RATES'!O26)</f>
        <v>240.55</v>
      </c>
      <c r="P25" s="4">
        <f>SUM('TOTAL VOLUME'!P25*'UPS RATES'!P26)</f>
        <v>1080.04</v>
      </c>
      <c r="Q25" s="4">
        <f>SUM('TOTAL VOLUME'!Q25*'UPS RATES'!Q26)</f>
        <v>508.14</v>
      </c>
      <c r="R25" s="4">
        <f>SUM('TOTAL VOLUME'!R25*'UPS RATES'!R26)</f>
        <v>1094.3599999999999</v>
      </c>
      <c r="S25" s="4">
        <f>SUM('TOTAL VOLUME'!S25*'UPS RATES'!S26)</f>
        <v>3495.49</v>
      </c>
      <c r="T25" s="4">
        <f>SUM('TOTAL VOLUME'!T25*'UPS RATES'!T26)</f>
        <v>2937.08</v>
      </c>
      <c r="U25" s="4">
        <f>SUM('TOTAL VOLUME'!U25*'UPS RATES'!U26)</f>
        <v>1573.2</v>
      </c>
      <c r="V25" s="4">
        <f>SUM('TOTAL VOLUME'!V25*'UPS RATES'!V26)</f>
        <v>5674.32</v>
      </c>
      <c r="W25" s="4">
        <f>SUM('TOTAL VOLUME'!W25*'UPS RATES'!W26)</f>
        <v>1004.25</v>
      </c>
      <c r="X25" s="4">
        <f>SUM('TOTAL VOLUME'!X25*'UPS RATES'!X26)</f>
        <v>564.72</v>
      </c>
      <c r="Y25" s="4">
        <f>SUM('TOTAL VOLUME'!Y25*'UPS RATES'!Y26)</f>
        <v>748.08</v>
      </c>
      <c r="Z25" s="4">
        <f>SUM('TOTAL VOLUME'!Z25*'UPS RATES'!Z26)</f>
        <v>3744.6299999999997</v>
      </c>
      <c r="AA25" s="4">
        <f>SUM('TOTAL VOLUME'!AA25*'UPS RATES'!AA26)</f>
        <v>2743.98</v>
      </c>
      <c r="AB25" s="4">
        <f>SUM('TOTAL VOLUME'!AB25*'UPS RATES'!AB26)</f>
        <v>2272.1200000000003</v>
      </c>
      <c r="AC25" s="4">
        <f>SUM('TOTAL VOLUME'!AC25*'UPS RATES'!AC26)</f>
        <v>5882.73</v>
      </c>
    </row>
    <row r="26" spans="1:29" x14ac:dyDescent="0.2">
      <c r="A26" s="2">
        <v>25</v>
      </c>
      <c r="B26" s="4">
        <f>SUM('TOTAL VOLUME'!B26*'UPS RATES'!B27)</f>
        <v>12.9</v>
      </c>
      <c r="C26" s="4">
        <f>SUM('TOTAL VOLUME'!C26*'UPS RATES'!C27)</f>
        <v>15.49</v>
      </c>
      <c r="D26" s="4">
        <f>SUM('TOTAL VOLUME'!D26*'UPS RATES'!D27)</f>
        <v>39.119999999999997</v>
      </c>
      <c r="E26" s="4">
        <f>SUM('TOTAL VOLUME'!E26*'UPS RATES'!E27)</f>
        <v>436.35</v>
      </c>
      <c r="F26" s="4">
        <f>SUM('TOTAL VOLUME'!F26*'UPS RATES'!F27)</f>
        <v>86.08</v>
      </c>
      <c r="G26" s="4">
        <f>SUM('TOTAL VOLUME'!G26*'UPS RATES'!G27)</f>
        <v>189.28</v>
      </c>
      <c r="H26" s="4">
        <f>SUM('TOTAL VOLUME'!H26*'UPS RATES'!H27)</f>
        <v>345.09999999999997</v>
      </c>
      <c r="I26" s="4">
        <f>SUM('TOTAL VOLUME'!I26*'UPS RATES'!I27)</f>
        <v>0</v>
      </c>
      <c r="J26" s="4">
        <f>SUM('TOTAL VOLUME'!J26*'UPS RATES'!J27)</f>
        <v>0</v>
      </c>
      <c r="K26" s="4">
        <f>SUM('TOTAL VOLUME'!K26*'UPS RATES'!K27)</f>
        <v>0</v>
      </c>
      <c r="L26" s="4">
        <f>SUM('TOTAL VOLUME'!L26*'UPS RATES'!L27)</f>
        <v>0</v>
      </c>
      <c r="M26" s="4">
        <f>SUM('TOTAL VOLUME'!M26*'UPS RATES'!M27)</f>
        <v>73.22</v>
      </c>
      <c r="N26" s="4">
        <f>SUM('TOTAL VOLUME'!N26*'UPS RATES'!N27)</f>
        <v>0</v>
      </c>
      <c r="O26" s="4">
        <f>SUM('TOTAL VOLUME'!O26*'UPS RATES'!O27)</f>
        <v>248.5</v>
      </c>
      <c r="P26" s="4">
        <f>SUM('TOTAL VOLUME'!P26*'UPS RATES'!P27)</f>
        <v>1139.28</v>
      </c>
      <c r="Q26" s="4">
        <f>SUM('TOTAL VOLUME'!Q26*'UPS RATES'!Q27)</f>
        <v>425.24999999999994</v>
      </c>
      <c r="R26" s="4">
        <f>SUM('TOTAL VOLUME'!R26*'UPS RATES'!R27)</f>
        <v>716.39</v>
      </c>
      <c r="S26" s="4">
        <f>SUM('TOTAL VOLUME'!S26*'UPS RATES'!S27)</f>
        <v>2065.6799999999998</v>
      </c>
      <c r="T26" s="4">
        <f>SUM('TOTAL VOLUME'!T26*'UPS RATES'!T27)</f>
        <v>1721.5500000000002</v>
      </c>
      <c r="U26" s="4">
        <f>SUM('TOTAL VOLUME'!U26*'UPS RATES'!U27)</f>
        <v>1805</v>
      </c>
      <c r="V26" s="4">
        <f>SUM('TOTAL VOLUME'!V26*'UPS RATES'!V27)</f>
        <v>4097.41</v>
      </c>
      <c r="W26" s="4">
        <f>SUM('TOTAL VOLUME'!W26*'UPS RATES'!W27)</f>
        <v>714.38</v>
      </c>
      <c r="X26" s="4">
        <f>SUM('TOTAL VOLUME'!X26*'UPS RATES'!X27)</f>
        <v>348.96</v>
      </c>
      <c r="Y26" s="4">
        <f>SUM('TOTAL VOLUME'!Y26*'UPS RATES'!Y27)</f>
        <v>730.66</v>
      </c>
      <c r="Z26" s="4">
        <f>SUM('TOTAL VOLUME'!Z26*'UPS RATES'!Z27)</f>
        <v>1392.3</v>
      </c>
      <c r="AA26" s="4">
        <f>SUM('TOTAL VOLUME'!AA26*'UPS RATES'!AA27)</f>
        <v>1398.6699999999998</v>
      </c>
      <c r="AB26" s="4">
        <f>SUM('TOTAL VOLUME'!AB26*'UPS RATES'!AB27)</f>
        <v>1114.05</v>
      </c>
      <c r="AC26" s="4">
        <f>SUM('TOTAL VOLUME'!AC26*'UPS RATES'!AC27)</f>
        <v>1677.1000000000001</v>
      </c>
    </row>
    <row r="27" spans="1:29" x14ac:dyDescent="0.2">
      <c r="A27" s="2">
        <v>26</v>
      </c>
      <c r="B27" s="4">
        <f>SUM('TOTAL VOLUME'!B27*'UPS RATES'!B28)</f>
        <v>39.839999999999996</v>
      </c>
      <c r="C27" s="4">
        <f>SUM('TOTAL VOLUME'!C27*'UPS RATES'!C28)</f>
        <v>15.92</v>
      </c>
      <c r="D27" s="4">
        <f>SUM('TOTAL VOLUME'!D27*'UPS RATES'!D28)</f>
        <v>20.29</v>
      </c>
      <c r="E27" s="4">
        <f>SUM('TOTAL VOLUME'!E27*'UPS RATES'!E28)</f>
        <v>600.79999999999995</v>
      </c>
      <c r="F27" s="4">
        <f>SUM('TOTAL VOLUME'!F27*'UPS RATES'!F28)</f>
        <v>400.5</v>
      </c>
      <c r="G27" s="4">
        <f>SUM('TOTAL VOLUME'!G27*'UPS RATES'!G28)</f>
        <v>146.85000000000002</v>
      </c>
      <c r="H27" s="4">
        <f>SUM('TOTAL VOLUME'!H27*'UPS RATES'!H28)</f>
        <v>253.29999999999998</v>
      </c>
      <c r="I27" s="4">
        <f>SUM('TOTAL VOLUME'!I27*'UPS RATES'!I28)</f>
        <v>0</v>
      </c>
      <c r="J27" s="4">
        <f>SUM('TOTAL VOLUME'!J27*'UPS RATES'!J28)</f>
        <v>0</v>
      </c>
      <c r="K27" s="4">
        <f>SUM('TOTAL VOLUME'!K27*'UPS RATES'!K28)</f>
        <v>0</v>
      </c>
      <c r="L27" s="4">
        <f>SUM('TOTAL VOLUME'!L27*'UPS RATES'!L28)</f>
        <v>26.85</v>
      </c>
      <c r="M27" s="4">
        <f>SUM('TOTAL VOLUME'!M27*'UPS RATES'!M28)</f>
        <v>37.71</v>
      </c>
      <c r="N27" s="4">
        <f>SUM('TOTAL VOLUME'!N27*'UPS RATES'!N28)</f>
        <v>92.66</v>
      </c>
      <c r="O27" s="4">
        <f>SUM('TOTAL VOLUME'!O27*'UPS RATES'!O28)</f>
        <v>153.57</v>
      </c>
      <c r="P27" s="4">
        <f>SUM('TOTAL VOLUME'!P27*'UPS RATES'!P28)</f>
        <v>686.88</v>
      </c>
      <c r="Q27" s="4">
        <f>SUM('TOTAL VOLUME'!Q27*'UPS RATES'!Q28)</f>
        <v>977</v>
      </c>
      <c r="R27" s="4">
        <f>SUM('TOTAL VOLUME'!R27*'UPS RATES'!R28)</f>
        <v>1534.46</v>
      </c>
      <c r="S27" s="4">
        <f>SUM('TOTAL VOLUME'!S27*'UPS RATES'!S28)</f>
        <v>4340.1000000000004</v>
      </c>
      <c r="T27" s="4">
        <f>SUM('TOTAL VOLUME'!T27*'UPS RATES'!T28)</f>
        <v>1644.06</v>
      </c>
      <c r="U27" s="4">
        <f>SUM('TOTAL VOLUME'!U27*'UPS RATES'!U28)</f>
        <v>5615.22</v>
      </c>
      <c r="V27" s="4">
        <f>SUM('TOTAL VOLUME'!V27*'UPS RATES'!V28)</f>
        <v>20046.400000000001</v>
      </c>
      <c r="W27" s="4">
        <f>SUM('TOTAL VOLUME'!W27*'UPS RATES'!W28)</f>
        <v>428.48</v>
      </c>
      <c r="X27" s="4">
        <f>SUM('TOTAL VOLUME'!X27*'UPS RATES'!X28)</f>
        <v>494.34</v>
      </c>
      <c r="Y27" s="4">
        <f>SUM('TOTAL VOLUME'!Y27*'UPS RATES'!Y28)</f>
        <v>500.16999999999996</v>
      </c>
      <c r="Z27" s="4">
        <f>SUM('TOTAL VOLUME'!Z27*'UPS RATES'!Z28)</f>
        <v>1339.47</v>
      </c>
      <c r="AA27" s="4">
        <f>SUM('TOTAL VOLUME'!AA27*'UPS RATES'!AA28)</f>
        <v>1041</v>
      </c>
      <c r="AB27" s="4">
        <f>SUM('TOTAL VOLUME'!AB27*'UPS RATES'!AB28)</f>
        <v>815.55</v>
      </c>
      <c r="AC27" s="4">
        <f>SUM('TOTAL VOLUME'!AC27*'UPS RATES'!AC28)</f>
        <v>2272</v>
      </c>
    </row>
    <row r="28" spans="1:29" x14ac:dyDescent="0.2">
      <c r="A28" s="2">
        <v>27</v>
      </c>
      <c r="B28" s="4">
        <f>SUM('TOTAL VOLUME'!B28*'UPS RATES'!B29)</f>
        <v>13.71</v>
      </c>
      <c r="C28" s="4">
        <f>SUM('TOTAL VOLUME'!C28*'UPS RATES'!C29)</f>
        <v>65.52</v>
      </c>
      <c r="D28" s="4">
        <f>SUM('TOTAL VOLUME'!D28*'UPS RATES'!D29)</f>
        <v>0</v>
      </c>
      <c r="E28" s="4">
        <f>SUM('TOTAL VOLUME'!E28*'UPS RATES'!E29)</f>
        <v>248.8</v>
      </c>
      <c r="F28" s="4">
        <f>SUM('TOTAL VOLUME'!F28*'UPS RATES'!F29)</f>
        <v>92.02</v>
      </c>
      <c r="G28" s="4">
        <f>SUM('TOTAL VOLUME'!G28*'UPS RATES'!G29)</f>
        <v>50.59</v>
      </c>
      <c r="H28" s="4">
        <f>SUM('TOTAL VOLUME'!H28*'UPS RATES'!H29)</f>
        <v>104.5</v>
      </c>
      <c r="I28" s="4">
        <f>SUM('TOTAL VOLUME'!I28*'UPS RATES'!I29)</f>
        <v>13.96</v>
      </c>
      <c r="J28" s="4">
        <f>SUM('TOTAL VOLUME'!J28*'UPS RATES'!J29)</f>
        <v>0</v>
      </c>
      <c r="K28" s="4">
        <f>SUM('TOTAL VOLUME'!K28*'UPS RATES'!K29)</f>
        <v>0</v>
      </c>
      <c r="L28" s="4">
        <f>SUM('TOTAL VOLUME'!L28*'UPS RATES'!L29)</f>
        <v>141.85</v>
      </c>
      <c r="M28" s="4">
        <f>SUM('TOTAL VOLUME'!M28*'UPS RATES'!M29)</f>
        <v>0</v>
      </c>
      <c r="N28" s="4">
        <f>SUM('TOTAL VOLUME'!N28*'UPS RATES'!N29)</f>
        <v>95.92</v>
      </c>
      <c r="O28" s="4">
        <f>SUM('TOTAL VOLUME'!O28*'UPS RATES'!O29)</f>
        <v>264.7</v>
      </c>
      <c r="P28" s="4">
        <f>SUM('TOTAL VOLUME'!P28*'UPS RATES'!P29)</f>
        <v>801.32</v>
      </c>
      <c r="Q28" s="4">
        <f>SUM('TOTAL VOLUME'!Q28*'UPS RATES'!Q29)</f>
        <v>1210</v>
      </c>
      <c r="R28" s="4">
        <f>SUM('TOTAL VOLUME'!R28*'UPS RATES'!R29)</f>
        <v>2379.84</v>
      </c>
      <c r="S28" s="4">
        <f>SUM('TOTAL VOLUME'!S28*'UPS RATES'!S29)</f>
        <v>5610.42</v>
      </c>
      <c r="T28" s="4">
        <f>SUM('TOTAL VOLUME'!T28*'UPS RATES'!T29)</f>
        <v>1872.24</v>
      </c>
      <c r="U28" s="4">
        <f>SUM('TOTAL VOLUME'!U28*'UPS RATES'!U29)</f>
        <v>3424.27</v>
      </c>
      <c r="V28" s="4">
        <f>SUM('TOTAL VOLUME'!V28*'UPS RATES'!V29)</f>
        <v>14606</v>
      </c>
      <c r="W28" s="4">
        <f>SUM('TOTAL VOLUME'!W28*'UPS RATES'!W29)</f>
        <v>678.14</v>
      </c>
      <c r="X28" s="4">
        <f>SUM('TOTAL VOLUME'!X28*'UPS RATES'!X29)</f>
        <v>237.10000000000002</v>
      </c>
      <c r="Y28" s="4">
        <f>SUM('TOTAL VOLUME'!Y28*'UPS RATES'!Y29)</f>
        <v>372</v>
      </c>
      <c r="Z28" s="4">
        <f>SUM('TOTAL VOLUME'!Z28*'UPS RATES'!Z29)</f>
        <v>897.12000000000012</v>
      </c>
      <c r="AA28" s="4">
        <f>SUM('TOTAL VOLUME'!AA28*'UPS RATES'!AA29)</f>
        <v>1489.04</v>
      </c>
      <c r="AB28" s="4">
        <f>SUM('TOTAL VOLUME'!AB28*'UPS RATES'!AB29)</f>
        <v>334.20000000000005</v>
      </c>
      <c r="AC28" s="4">
        <f>SUM('TOTAL VOLUME'!AC28*'UPS RATES'!AC29)</f>
        <v>2195.58</v>
      </c>
    </row>
    <row r="29" spans="1:29" x14ac:dyDescent="0.2">
      <c r="A29" s="2">
        <v>28</v>
      </c>
      <c r="B29" s="4">
        <f>SUM('TOTAL VOLUME'!B29*'UPS RATES'!B30)</f>
        <v>14.15</v>
      </c>
      <c r="C29" s="4">
        <f>SUM('TOTAL VOLUME'!C29*'UPS RATES'!C30)</f>
        <v>33.840000000000003</v>
      </c>
      <c r="D29" s="4">
        <f>SUM('TOTAL VOLUME'!D29*'UPS RATES'!D30)</f>
        <v>0</v>
      </c>
      <c r="E29" s="4">
        <f>SUM('TOTAL VOLUME'!E29*'UPS RATES'!E30)</f>
        <v>127.36</v>
      </c>
      <c r="F29" s="4">
        <f>SUM('TOTAL VOLUME'!F29*'UPS RATES'!F30)</f>
        <v>47.19</v>
      </c>
      <c r="G29" s="4">
        <f>SUM('TOTAL VOLUME'!G29*'UPS RATES'!G30)</f>
        <v>0</v>
      </c>
      <c r="H29" s="4">
        <f>SUM('TOTAL VOLUME'!H29*'UPS RATES'!H30)</f>
        <v>214.04</v>
      </c>
      <c r="I29" s="4">
        <f>SUM('TOTAL VOLUME'!I29*'UPS RATES'!I30)</f>
        <v>0</v>
      </c>
      <c r="J29" s="4">
        <f>SUM('TOTAL VOLUME'!J29*'UPS RATES'!J30)</f>
        <v>0</v>
      </c>
      <c r="K29" s="4">
        <f>SUM('TOTAL VOLUME'!K29*'UPS RATES'!K30)</f>
        <v>0</v>
      </c>
      <c r="L29" s="4">
        <f>SUM('TOTAL VOLUME'!L29*'UPS RATES'!L30)</f>
        <v>28.43</v>
      </c>
      <c r="M29" s="4">
        <f>SUM('TOTAL VOLUME'!M29*'UPS RATES'!M30)</f>
        <v>0</v>
      </c>
      <c r="N29" s="4">
        <f>SUM('TOTAL VOLUME'!N29*'UPS RATES'!N30)</f>
        <v>0</v>
      </c>
      <c r="O29" s="4">
        <f>SUM('TOTAL VOLUME'!O29*'UPS RATES'!O30)</f>
        <v>163.44</v>
      </c>
      <c r="P29" s="4">
        <f>SUM('TOTAL VOLUME'!P29*'UPS RATES'!P30)</f>
        <v>596.97</v>
      </c>
      <c r="Q29" s="4">
        <f>SUM('TOTAL VOLUME'!Q29*'UPS RATES'!Q30)</f>
        <v>481.28000000000003</v>
      </c>
      <c r="R29" s="4">
        <f>SUM('TOTAL VOLUME'!R29*'UPS RATES'!R30)</f>
        <v>1210.68</v>
      </c>
      <c r="S29" s="4">
        <f>SUM('TOTAL VOLUME'!S29*'UPS RATES'!S30)</f>
        <v>1713.6</v>
      </c>
      <c r="T29" s="4">
        <f>SUM('TOTAL VOLUME'!T29*'UPS RATES'!T30)</f>
        <v>1049.0400000000002</v>
      </c>
      <c r="U29" s="4">
        <f>SUM('TOTAL VOLUME'!U29*'UPS RATES'!U30)</f>
        <v>839.57999999999993</v>
      </c>
      <c r="V29" s="4">
        <f>SUM('TOTAL VOLUME'!V29*'UPS RATES'!V30)</f>
        <v>4593.8899999999994</v>
      </c>
      <c r="W29" s="4">
        <f>SUM('TOTAL VOLUME'!W29*'UPS RATES'!W30)</f>
        <v>557.37</v>
      </c>
      <c r="X29" s="4">
        <f>SUM('TOTAL VOLUME'!X29*'UPS RATES'!X30)</f>
        <v>166.6</v>
      </c>
      <c r="Y29" s="4">
        <f>SUM('TOTAL VOLUME'!Y29*'UPS RATES'!Y30)</f>
        <v>238.75</v>
      </c>
      <c r="Z29" s="4">
        <f>SUM('TOTAL VOLUME'!Z29*'UPS RATES'!Z30)</f>
        <v>1077.3</v>
      </c>
      <c r="AA29" s="4">
        <f>SUM('TOTAL VOLUME'!AA29*'UPS RATES'!AA30)</f>
        <v>747.46</v>
      </c>
      <c r="AB29" s="4">
        <f>SUM('TOTAL VOLUME'!AB29*'UPS RATES'!AB30)</f>
        <v>455.52</v>
      </c>
      <c r="AC29" s="4">
        <f>SUM('TOTAL VOLUME'!AC29*'UPS RATES'!AC30)</f>
        <v>2128.35</v>
      </c>
    </row>
    <row r="30" spans="1:29" x14ac:dyDescent="0.2">
      <c r="A30" s="2">
        <v>29</v>
      </c>
      <c r="B30" s="4">
        <f>SUM('TOTAL VOLUME'!B30*'UPS RATES'!B31)</f>
        <v>14.51</v>
      </c>
      <c r="C30" s="4">
        <f>SUM('TOTAL VOLUME'!C30*'UPS RATES'!C31)</f>
        <v>51.69</v>
      </c>
      <c r="D30" s="4">
        <f>SUM('TOTAL VOLUME'!D30*'UPS RATES'!D31)</f>
        <v>0</v>
      </c>
      <c r="E30" s="4">
        <f>SUM('TOTAL VOLUME'!E30*'UPS RATES'!E31)</f>
        <v>0</v>
      </c>
      <c r="F30" s="4">
        <f>SUM('TOTAL VOLUME'!F30*'UPS RATES'!F31)</f>
        <v>48.46</v>
      </c>
      <c r="G30" s="4">
        <f>SUM('TOTAL VOLUME'!G30*'UPS RATES'!G31)</f>
        <v>53.2</v>
      </c>
      <c r="H30" s="4">
        <f>SUM('TOTAL VOLUME'!H30*'UPS RATES'!H31)</f>
        <v>165.3</v>
      </c>
      <c r="I30" s="4">
        <f>SUM('TOTAL VOLUME'!I30*'UPS RATES'!I31)</f>
        <v>0</v>
      </c>
      <c r="J30" s="4">
        <f>SUM('TOTAL VOLUME'!J30*'UPS RATES'!J31)</f>
        <v>0</v>
      </c>
      <c r="K30" s="4">
        <f>SUM('TOTAL VOLUME'!K30*'UPS RATES'!K31)</f>
        <v>0</v>
      </c>
      <c r="L30" s="4">
        <f>SUM('TOTAL VOLUME'!L30*'UPS RATES'!L31)</f>
        <v>0</v>
      </c>
      <c r="M30" s="4">
        <f>SUM('TOTAL VOLUME'!M30*'UPS RATES'!M31)</f>
        <v>83.32</v>
      </c>
      <c r="N30" s="4">
        <f>SUM('TOTAL VOLUME'!N30*'UPS RATES'!N31)</f>
        <v>50.89</v>
      </c>
      <c r="O30" s="4">
        <f>SUM('TOTAL VOLUME'!O30*'UPS RATES'!O31)</f>
        <v>56.39</v>
      </c>
      <c r="P30" s="4">
        <f>SUM('TOTAL VOLUME'!P30*'UPS RATES'!P31)</f>
        <v>348.27</v>
      </c>
      <c r="Q30" s="4">
        <f>SUM('TOTAL VOLUME'!Q30*'UPS RATES'!Q31)</f>
        <v>146.01999999999998</v>
      </c>
      <c r="R30" s="4">
        <f>SUM('TOTAL VOLUME'!R30*'UPS RATES'!R31)</f>
        <v>399</v>
      </c>
      <c r="S30" s="4">
        <f>SUM('TOTAL VOLUME'!S30*'UPS RATES'!S31)</f>
        <v>858.69</v>
      </c>
      <c r="T30" s="4">
        <f>SUM('TOTAL VOLUME'!T30*'UPS RATES'!T31)</f>
        <v>817.8</v>
      </c>
      <c r="U30" s="4">
        <f>SUM('TOTAL VOLUME'!U30*'UPS RATES'!U31)</f>
        <v>367.92</v>
      </c>
      <c r="V30" s="4">
        <f>SUM('TOTAL VOLUME'!V30*'UPS RATES'!V31)</f>
        <v>1742.9999999999998</v>
      </c>
      <c r="W30" s="4">
        <f>SUM('TOTAL VOLUME'!W30*'UPS RATES'!W31)</f>
        <v>594.30000000000007</v>
      </c>
      <c r="X30" s="4">
        <f>SUM('TOTAL VOLUME'!X30*'UPS RATES'!X31)</f>
        <v>95.64</v>
      </c>
      <c r="Y30" s="4">
        <f>SUM('TOTAL VOLUME'!Y30*'UPS RATES'!Y31)</f>
        <v>683.76</v>
      </c>
      <c r="Z30" s="4">
        <f>SUM('TOTAL VOLUME'!Z30*'UPS RATES'!Z31)</f>
        <v>1286.25</v>
      </c>
      <c r="AA30" s="4">
        <f>SUM('TOTAL VOLUME'!AA30*'UPS RATES'!AA31)</f>
        <v>1070</v>
      </c>
      <c r="AB30" s="4">
        <f>SUM('TOTAL VOLUME'!AB30*'UPS RATES'!AB31)</f>
        <v>875.7</v>
      </c>
      <c r="AC30" s="4">
        <f>SUM('TOTAL VOLUME'!AC30*'UPS RATES'!AC31)</f>
        <v>2384.0700000000002</v>
      </c>
    </row>
    <row r="31" spans="1:29" x14ac:dyDescent="0.2">
      <c r="A31" s="2">
        <v>30</v>
      </c>
      <c r="B31" s="4">
        <f>SUM('TOTAL VOLUME'!B31*'UPS RATES'!B32)</f>
        <v>14.57</v>
      </c>
      <c r="C31" s="4">
        <f>SUM('TOTAL VOLUME'!C31*'UPS RATES'!C32)</f>
        <v>0</v>
      </c>
      <c r="D31" s="4">
        <f>SUM('TOTAL VOLUME'!D31*'UPS RATES'!D32)</f>
        <v>0</v>
      </c>
      <c r="E31" s="4">
        <f>SUM('TOTAL VOLUME'!E31*'UPS RATES'!E32)</f>
        <v>100.97999999999999</v>
      </c>
      <c r="F31" s="4">
        <f>SUM('TOTAL VOLUME'!F31*'UPS RATES'!F32)</f>
        <v>149.37</v>
      </c>
      <c r="G31" s="4">
        <f>SUM('TOTAL VOLUME'!G31*'UPS RATES'!G32)</f>
        <v>109.26</v>
      </c>
      <c r="H31" s="4">
        <f>SUM('TOTAL VOLUME'!H31*'UPS RATES'!H32)</f>
        <v>339</v>
      </c>
      <c r="I31" s="4">
        <f>SUM('TOTAL VOLUME'!I31*'UPS RATES'!I32)</f>
        <v>0</v>
      </c>
      <c r="J31" s="4">
        <f>SUM('TOTAL VOLUME'!J31*'UPS RATES'!J32)</f>
        <v>0</v>
      </c>
      <c r="K31" s="4">
        <f>SUM('TOTAL VOLUME'!K31*'UPS RATES'!K32)</f>
        <v>0</v>
      </c>
      <c r="L31" s="4">
        <f>SUM('TOTAL VOLUME'!L31*'UPS RATES'!L32)</f>
        <v>30.07</v>
      </c>
      <c r="M31" s="4">
        <f>SUM('TOTAL VOLUME'!M31*'UPS RATES'!M32)</f>
        <v>43.04</v>
      </c>
      <c r="N31" s="4">
        <f>SUM('TOTAL VOLUME'!N31*'UPS RATES'!N32)</f>
        <v>0</v>
      </c>
      <c r="O31" s="4">
        <f>SUM('TOTAL VOLUME'!O31*'UPS RATES'!O32)</f>
        <v>289.10000000000002</v>
      </c>
      <c r="P31" s="4">
        <f>SUM('TOTAL VOLUME'!P31*'UPS RATES'!P32)</f>
        <v>481.24</v>
      </c>
      <c r="Q31" s="4">
        <f>SUM('TOTAL VOLUME'!Q31*'UPS RATES'!Q32)</f>
        <v>320.7</v>
      </c>
      <c r="R31" s="4">
        <f>SUM('TOTAL VOLUME'!R31*'UPS RATES'!R32)</f>
        <v>354.9</v>
      </c>
      <c r="S31" s="4">
        <f>SUM('TOTAL VOLUME'!S31*'UPS RATES'!S32)</f>
        <v>1615.3799999999999</v>
      </c>
      <c r="T31" s="4">
        <f>SUM('TOTAL VOLUME'!T31*'UPS RATES'!T32)</f>
        <v>1414.4</v>
      </c>
      <c r="U31" s="4">
        <f>SUM('TOTAL VOLUME'!U31*'UPS RATES'!U32)</f>
        <v>924.75</v>
      </c>
      <c r="V31" s="4">
        <f>SUM('TOTAL VOLUME'!V31*'UPS RATES'!V32)</f>
        <v>1815.75</v>
      </c>
      <c r="W31" s="4">
        <f>SUM('TOTAL VOLUME'!W31*'UPS RATES'!W32)</f>
        <v>1108.25</v>
      </c>
      <c r="X31" s="4">
        <f>SUM('TOTAL VOLUME'!X31*'UPS RATES'!X32)</f>
        <v>527.12</v>
      </c>
      <c r="Y31" s="4">
        <f>SUM('TOTAL VOLUME'!Y31*'UPS RATES'!Y32)</f>
        <v>783.2</v>
      </c>
      <c r="Z31" s="4">
        <f>SUM('TOTAL VOLUME'!Z31*'UPS RATES'!Z32)</f>
        <v>2439.2999999999997</v>
      </c>
      <c r="AA31" s="4">
        <f>SUM('TOTAL VOLUME'!AA31*'UPS RATES'!AA32)</f>
        <v>1503.04</v>
      </c>
      <c r="AB31" s="4">
        <f>SUM('TOTAL VOLUME'!AB31*'UPS RATES'!AB32)</f>
        <v>1114.1600000000001</v>
      </c>
      <c r="AC31" s="4">
        <f>SUM('TOTAL VOLUME'!AC31*'UPS RATES'!AC32)</f>
        <v>5074.62</v>
      </c>
    </row>
    <row r="32" spans="1:29" x14ac:dyDescent="0.2">
      <c r="A32" s="2">
        <v>31</v>
      </c>
      <c r="B32" s="4">
        <f>SUM('TOTAL VOLUME'!B32*'UPS RATES'!B33)</f>
        <v>14.63</v>
      </c>
      <c r="C32" s="4">
        <f>SUM('TOTAL VOLUME'!C32*'UPS RATES'!C33)</f>
        <v>0</v>
      </c>
      <c r="D32" s="4">
        <f>SUM('TOTAL VOLUME'!D32*'UPS RATES'!D33)</f>
        <v>46.56</v>
      </c>
      <c r="E32" s="4">
        <f>SUM('TOTAL VOLUME'!E32*'UPS RATES'!E33)</f>
        <v>206.52</v>
      </c>
      <c r="F32" s="4">
        <f>SUM('TOTAL VOLUME'!F32*'UPS RATES'!F33)</f>
        <v>305.52</v>
      </c>
      <c r="G32" s="4">
        <f>SUM('TOTAL VOLUME'!G32*'UPS RATES'!G33)</f>
        <v>111.64</v>
      </c>
      <c r="H32" s="4">
        <f>SUM('TOTAL VOLUME'!H32*'UPS RATES'!H33)</f>
        <v>754.13</v>
      </c>
      <c r="I32" s="4">
        <f>SUM('TOTAL VOLUME'!I32*'UPS RATES'!I33)</f>
        <v>0</v>
      </c>
      <c r="J32" s="4">
        <f>SUM('TOTAL VOLUME'!J32*'UPS RATES'!J33)</f>
        <v>0</v>
      </c>
      <c r="K32" s="4">
        <f>SUM('TOTAL VOLUME'!K32*'UPS RATES'!K33)</f>
        <v>0</v>
      </c>
      <c r="L32" s="4">
        <f>SUM('TOTAL VOLUME'!L32*'UPS RATES'!L33)</f>
        <v>0</v>
      </c>
      <c r="M32" s="4">
        <f>SUM('TOTAL VOLUME'!M32*'UPS RATES'!M33)</f>
        <v>0</v>
      </c>
      <c r="N32" s="4">
        <f>SUM('TOTAL VOLUME'!N32*'UPS RATES'!N33)</f>
        <v>0</v>
      </c>
      <c r="O32" s="4">
        <f>SUM('TOTAL VOLUME'!O32*'UPS RATES'!O33)</f>
        <v>1009.9699999999999</v>
      </c>
      <c r="P32" s="4">
        <f>SUM('TOTAL VOLUME'!P32*'UPS RATES'!P33)</f>
        <v>802.78</v>
      </c>
      <c r="Q32" s="4">
        <f>SUM('TOTAL VOLUME'!Q32*'UPS RATES'!Q33)</f>
        <v>335.04</v>
      </c>
      <c r="R32" s="4">
        <f>SUM('TOTAL VOLUME'!R32*'UPS RATES'!R33)</f>
        <v>643.44000000000005</v>
      </c>
      <c r="S32" s="4">
        <f>SUM('TOTAL VOLUME'!S32*'UPS RATES'!S33)</f>
        <v>1775.8</v>
      </c>
      <c r="T32" s="4">
        <f>SUM('TOTAL VOLUME'!T32*'UPS RATES'!T33)</f>
        <v>1924.74</v>
      </c>
      <c r="U32" s="4">
        <f>SUM('TOTAL VOLUME'!U32*'UPS RATES'!U33)</f>
        <v>1020.5</v>
      </c>
      <c r="V32" s="4">
        <f>SUM('TOTAL VOLUME'!V32*'UPS RATES'!V33)</f>
        <v>3250.3999999999996</v>
      </c>
      <c r="W32" s="4">
        <f>SUM('TOTAL VOLUME'!W32*'UPS RATES'!W33)</f>
        <v>1064.3999999999999</v>
      </c>
      <c r="X32" s="4">
        <f>SUM('TOTAL VOLUME'!X32*'UPS RATES'!X33)</f>
        <v>270.93</v>
      </c>
      <c r="Y32" s="4">
        <f>SUM('TOTAL VOLUME'!Y32*'UPS RATES'!Y33)</f>
        <v>1377.81</v>
      </c>
      <c r="Z32" s="4">
        <f>SUM('TOTAL VOLUME'!Z32*'UPS RATES'!Z33)</f>
        <v>3036.3199999999997</v>
      </c>
      <c r="AA32" s="4">
        <f>SUM('TOTAL VOLUME'!AA32*'UPS RATES'!AA33)</f>
        <v>1918.2900000000002</v>
      </c>
      <c r="AB32" s="4">
        <f>SUM('TOTAL VOLUME'!AB32*'UPS RATES'!AB33)</f>
        <v>973.44</v>
      </c>
      <c r="AC32" s="4">
        <f>SUM('TOTAL VOLUME'!AC32*'UPS RATES'!AC33)</f>
        <v>8383.32</v>
      </c>
    </row>
    <row r="33" spans="1:29" x14ac:dyDescent="0.2">
      <c r="A33" s="2">
        <v>32</v>
      </c>
      <c r="B33" s="4">
        <f>SUM('TOTAL VOLUME'!B33*'UPS RATES'!B34)</f>
        <v>0</v>
      </c>
      <c r="C33" s="4">
        <f>SUM('TOTAL VOLUME'!C33*'UPS RATES'!C34)</f>
        <v>0</v>
      </c>
      <c r="D33" s="4">
        <f>SUM('TOTAL VOLUME'!D33*'UPS RATES'!D34)</f>
        <v>23.95</v>
      </c>
      <c r="E33" s="4">
        <f>SUM('TOTAL VOLUME'!E33*'UPS RATES'!E34)</f>
        <v>211.5</v>
      </c>
      <c r="F33" s="4">
        <f>SUM('TOTAL VOLUME'!F33*'UPS RATES'!F34)</f>
        <v>209.68</v>
      </c>
      <c r="G33" s="4">
        <f>SUM('TOTAL VOLUME'!G33*'UPS RATES'!G34)</f>
        <v>57.37</v>
      </c>
      <c r="H33" s="4">
        <f>SUM('TOTAL VOLUME'!H33*'UPS RATES'!H34)</f>
        <v>831.74</v>
      </c>
      <c r="I33" s="4">
        <f>SUM('TOTAL VOLUME'!I33*'UPS RATES'!I34)</f>
        <v>0</v>
      </c>
      <c r="J33" s="4">
        <f>SUM('TOTAL VOLUME'!J33*'UPS RATES'!J34)</f>
        <v>0</v>
      </c>
      <c r="K33" s="4">
        <f>SUM('TOTAL VOLUME'!K33*'UPS RATES'!K34)</f>
        <v>0</v>
      </c>
      <c r="L33" s="4">
        <f>SUM('TOTAL VOLUME'!L33*'UPS RATES'!L34)</f>
        <v>63.1</v>
      </c>
      <c r="M33" s="4">
        <f>SUM('TOTAL VOLUME'!M33*'UPS RATES'!M34)</f>
        <v>45.43</v>
      </c>
      <c r="N33" s="4">
        <f>SUM('TOTAL VOLUME'!N33*'UPS RATES'!N34)</f>
        <v>107.58</v>
      </c>
      <c r="O33" s="4">
        <f>SUM('TOTAL VOLUME'!O33*'UPS RATES'!O34)</f>
        <v>1013.37</v>
      </c>
      <c r="P33" s="4">
        <f>SUM('TOTAL VOLUME'!P33*'UPS RATES'!P34)</f>
        <v>2058.8399999999997</v>
      </c>
      <c r="Q33" s="4">
        <f>SUM('TOTAL VOLUME'!Q33*'UPS RATES'!Q34)</f>
        <v>806.96</v>
      </c>
      <c r="R33" s="4">
        <f>SUM('TOTAL VOLUME'!R33*'UPS RATES'!R34)</f>
        <v>1414.5</v>
      </c>
      <c r="S33" s="4">
        <f>SUM('TOTAL VOLUME'!S33*'UPS RATES'!S34)</f>
        <v>3100.82</v>
      </c>
      <c r="T33" s="4">
        <f>SUM('TOTAL VOLUME'!T33*'UPS RATES'!T34)</f>
        <v>3241.98</v>
      </c>
      <c r="U33" s="4">
        <f>SUM('TOTAL VOLUME'!U33*'UPS RATES'!U34)</f>
        <v>1835.9999999999998</v>
      </c>
      <c r="V33" s="4">
        <f>SUM('TOTAL VOLUME'!V33*'UPS RATES'!V34)</f>
        <v>4108.9000000000005</v>
      </c>
      <c r="W33" s="4">
        <f>SUM('TOTAL VOLUME'!W33*'UPS RATES'!W34)</f>
        <v>965.13</v>
      </c>
      <c r="X33" s="4">
        <f>SUM('TOTAL VOLUME'!X33*'UPS RATES'!X34)</f>
        <v>655.72</v>
      </c>
      <c r="Y33" s="4">
        <f>SUM('TOTAL VOLUME'!Y33*'UPS RATES'!Y34)</f>
        <v>1511.19</v>
      </c>
      <c r="Z33" s="4">
        <f>SUM('TOTAL VOLUME'!Z33*'UPS RATES'!Z34)</f>
        <v>4472.28</v>
      </c>
      <c r="AA33" s="4">
        <f>SUM('TOTAL VOLUME'!AA33*'UPS RATES'!AA34)</f>
        <v>3052.92</v>
      </c>
      <c r="AB33" s="4">
        <f>SUM('TOTAL VOLUME'!AB33*'UPS RATES'!AB34)</f>
        <v>2567.88</v>
      </c>
      <c r="AC33" s="4">
        <f>SUM('TOTAL VOLUME'!AC33*'UPS RATES'!AC34)</f>
        <v>9053.6099999999988</v>
      </c>
    </row>
    <row r="34" spans="1:29" x14ac:dyDescent="0.2">
      <c r="A34" s="2">
        <v>33</v>
      </c>
      <c r="B34" s="4">
        <f>SUM('TOTAL VOLUME'!B34*'UPS RATES'!B35)</f>
        <v>31.82</v>
      </c>
      <c r="C34" s="4">
        <f>SUM('TOTAL VOLUME'!C34*'UPS RATES'!C35)</f>
        <v>0</v>
      </c>
      <c r="D34" s="4">
        <f>SUM('TOTAL VOLUME'!D34*'UPS RATES'!D35)</f>
        <v>98.48</v>
      </c>
      <c r="E34" s="4">
        <f>SUM('TOTAL VOLUME'!E34*'UPS RATES'!E35)</f>
        <v>108.03</v>
      </c>
      <c r="F34" s="4">
        <f>SUM('TOTAL VOLUME'!F34*'UPS RATES'!F35)</f>
        <v>107.64</v>
      </c>
      <c r="G34" s="4">
        <f>SUM('TOTAL VOLUME'!G34*'UPS RATES'!G35)</f>
        <v>117.38</v>
      </c>
      <c r="H34" s="4">
        <f>SUM('TOTAL VOLUME'!H34*'UPS RATES'!H35)</f>
        <v>670.23</v>
      </c>
      <c r="I34" s="4">
        <f>SUM('TOTAL VOLUME'!I34*'UPS RATES'!I35)</f>
        <v>15.7</v>
      </c>
      <c r="J34" s="4">
        <f>SUM('TOTAL VOLUME'!J34*'UPS RATES'!J35)</f>
        <v>0</v>
      </c>
      <c r="K34" s="4">
        <f>SUM('TOTAL VOLUME'!K34*'UPS RATES'!K35)</f>
        <v>0</v>
      </c>
      <c r="L34" s="4">
        <f>SUM('TOTAL VOLUME'!L34*'UPS RATES'!L35)</f>
        <v>0</v>
      </c>
      <c r="M34" s="4">
        <f>SUM('TOTAL VOLUME'!M34*'UPS RATES'!M35)</f>
        <v>0</v>
      </c>
      <c r="N34" s="4">
        <f>SUM('TOTAL VOLUME'!N34*'UPS RATES'!N35)</f>
        <v>53.82</v>
      </c>
      <c r="O34" s="4">
        <f>SUM('TOTAL VOLUME'!O34*'UPS RATES'!O35)</f>
        <v>357.78000000000003</v>
      </c>
      <c r="P34" s="4">
        <f>SUM('TOTAL VOLUME'!P34*'UPS RATES'!P35)</f>
        <v>1663.47</v>
      </c>
      <c r="Q34" s="4">
        <f>SUM('TOTAL VOLUME'!Q34*'UPS RATES'!Q35)</f>
        <v>595.28000000000009</v>
      </c>
      <c r="R34" s="4">
        <f>SUM('TOTAL VOLUME'!R34*'UPS RATES'!R35)</f>
        <v>877.45999999999992</v>
      </c>
      <c r="S34" s="4">
        <f>SUM('TOTAL VOLUME'!S34*'UPS RATES'!S35)</f>
        <v>2590.11</v>
      </c>
      <c r="T34" s="4">
        <f>SUM('TOTAL VOLUME'!T34*'UPS RATES'!T35)</f>
        <v>3039.3</v>
      </c>
      <c r="U34" s="4">
        <f>SUM('TOTAL VOLUME'!U34*'UPS RATES'!U35)</f>
        <v>1349.12</v>
      </c>
      <c r="V34" s="4">
        <f>SUM('TOTAL VOLUME'!V34*'UPS RATES'!V35)</f>
        <v>4070.48</v>
      </c>
      <c r="W34" s="4">
        <f>SUM('TOTAL VOLUME'!W34*'UPS RATES'!W35)</f>
        <v>1248.8800000000001</v>
      </c>
      <c r="X34" s="4">
        <f>SUM('TOTAL VOLUME'!X34*'UPS RATES'!X35)</f>
        <v>346.45</v>
      </c>
      <c r="Y34" s="4">
        <f>SUM('TOTAL VOLUME'!Y34*'UPS RATES'!Y35)</f>
        <v>1857.1000000000001</v>
      </c>
      <c r="Z34" s="4">
        <f>SUM('TOTAL VOLUME'!Z34*'UPS RATES'!Z35)</f>
        <v>4914.7</v>
      </c>
      <c r="AA34" s="4">
        <f>SUM('TOTAL VOLUME'!AA34*'UPS RATES'!AA35)</f>
        <v>3470.14</v>
      </c>
      <c r="AB34" s="4">
        <f>SUM('TOTAL VOLUME'!AB34*'UPS RATES'!AB35)</f>
        <v>1032.32</v>
      </c>
      <c r="AC34" s="4">
        <f>SUM('TOTAL VOLUME'!AC34*'UPS RATES'!AC35)</f>
        <v>9717.9</v>
      </c>
    </row>
    <row r="35" spans="1:29" x14ac:dyDescent="0.2">
      <c r="A35" s="2">
        <v>34</v>
      </c>
      <c r="B35" s="4">
        <f>SUM('TOTAL VOLUME'!B35*'UPS RATES'!B36)</f>
        <v>49.199999999999996</v>
      </c>
      <c r="C35" s="4">
        <f>SUM('TOTAL VOLUME'!C35*'UPS RATES'!C36)</f>
        <v>0</v>
      </c>
      <c r="D35" s="4">
        <f>SUM('TOTAL VOLUME'!D35*'UPS RATES'!D36)</f>
        <v>0</v>
      </c>
      <c r="E35" s="4">
        <f>SUM('TOTAL VOLUME'!E35*'UPS RATES'!E36)</f>
        <v>149.08000000000001</v>
      </c>
      <c r="F35" s="4">
        <f>SUM('TOTAL VOLUME'!F35*'UPS RATES'!F36)</f>
        <v>0</v>
      </c>
      <c r="G35" s="4">
        <f>SUM('TOTAL VOLUME'!G35*'UPS RATES'!G36)</f>
        <v>240.6</v>
      </c>
      <c r="H35" s="4">
        <f>SUM('TOTAL VOLUME'!H35*'UPS RATES'!H36)</f>
        <v>436.94</v>
      </c>
      <c r="I35" s="4">
        <f>SUM('TOTAL VOLUME'!I35*'UPS RATES'!I36)</f>
        <v>0</v>
      </c>
      <c r="J35" s="4">
        <f>SUM('TOTAL VOLUME'!J35*'UPS RATES'!J36)</f>
        <v>0</v>
      </c>
      <c r="K35" s="4">
        <f>SUM('TOTAL VOLUME'!K35*'UPS RATES'!K36)</f>
        <v>0</v>
      </c>
      <c r="L35" s="4">
        <f>SUM('TOTAL VOLUME'!L35*'UPS RATES'!L36)</f>
        <v>0</v>
      </c>
      <c r="M35" s="4">
        <f>SUM('TOTAL VOLUME'!M35*'UPS RATES'!M36)</f>
        <v>0</v>
      </c>
      <c r="N35" s="4">
        <f>SUM('TOTAL VOLUME'!N35*'UPS RATES'!N36)</f>
        <v>0</v>
      </c>
      <c r="O35" s="4">
        <f>SUM('TOTAL VOLUME'!O35*'UPS RATES'!O36)</f>
        <v>511.84</v>
      </c>
      <c r="P35" s="4">
        <f>SUM('TOTAL VOLUME'!P35*'UPS RATES'!P36)</f>
        <v>1581.22</v>
      </c>
      <c r="Q35" s="4">
        <f>SUM('TOTAL VOLUME'!Q35*'UPS RATES'!Q36)</f>
        <v>467.40999999999997</v>
      </c>
      <c r="R35" s="4">
        <f>SUM('TOTAL VOLUME'!R35*'UPS RATES'!R36)</f>
        <v>1350.51</v>
      </c>
      <c r="S35" s="4">
        <f>SUM('TOTAL VOLUME'!S35*'UPS RATES'!S36)</f>
        <v>1820.4</v>
      </c>
      <c r="T35" s="4">
        <f>SUM('TOTAL VOLUME'!T35*'UPS RATES'!T36)</f>
        <v>2853.6200000000003</v>
      </c>
      <c r="U35" s="4">
        <f>SUM('TOTAL VOLUME'!U35*'UPS RATES'!U36)</f>
        <v>1453.8999999999999</v>
      </c>
      <c r="V35" s="4">
        <f>SUM('TOTAL VOLUME'!V35*'UPS RATES'!V36)</f>
        <v>6944.67</v>
      </c>
      <c r="W35" s="4">
        <f>SUM('TOTAL VOLUME'!W35*'UPS RATES'!W36)</f>
        <v>1200.1500000000001</v>
      </c>
      <c r="X35" s="4">
        <f>SUM('TOTAL VOLUME'!X35*'UPS RATES'!X36)</f>
        <v>321.48</v>
      </c>
      <c r="Y35" s="4">
        <f>SUM('TOTAL VOLUME'!Y35*'UPS RATES'!Y36)</f>
        <v>1406.3400000000001</v>
      </c>
      <c r="Z35" s="4">
        <f>SUM('TOTAL VOLUME'!Z35*'UPS RATES'!Z36)</f>
        <v>4501.42</v>
      </c>
      <c r="AA35" s="4">
        <f>SUM('TOTAL VOLUME'!AA35*'UPS RATES'!AA36)</f>
        <v>4255.74</v>
      </c>
      <c r="AB35" s="4">
        <f>SUM('TOTAL VOLUME'!AB35*'UPS RATES'!AB36)</f>
        <v>2511.42</v>
      </c>
      <c r="AC35" s="4">
        <f>SUM('TOTAL VOLUME'!AC35*'UPS RATES'!AC36)</f>
        <v>9034.2800000000007</v>
      </c>
    </row>
    <row r="36" spans="1:29" x14ac:dyDescent="0.2">
      <c r="A36" s="2">
        <v>35</v>
      </c>
      <c r="B36" s="4">
        <f>SUM('TOTAL VOLUME'!B36*'UPS RATES'!B37)</f>
        <v>16.739999999999998</v>
      </c>
      <c r="C36" s="4">
        <f>SUM('TOTAL VOLUME'!C36*'UPS RATES'!C37)</f>
        <v>0</v>
      </c>
      <c r="D36" s="4">
        <f>SUM('TOTAL VOLUME'!D36*'UPS RATES'!D37)</f>
        <v>102.68</v>
      </c>
      <c r="E36" s="4">
        <f>SUM('TOTAL VOLUME'!E36*'UPS RATES'!E37)</f>
        <v>152</v>
      </c>
      <c r="F36" s="4">
        <f>SUM('TOTAL VOLUME'!F36*'UPS RATES'!F37)</f>
        <v>285.59999999999997</v>
      </c>
      <c r="G36" s="4">
        <f>SUM('TOTAL VOLUME'!G36*'UPS RATES'!G37)</f>
        <v>61.66</v>
      </c>
      <c r="H36" s="4">
        <f>SUM('TOTAL VOLUME'!H36*'UPS RATES'!H37)</f>
        <v>443.31</v>
      </c>
      <c r="I36" s="4">
        <f>SUM('TOTAL VOLUME'!I36*'UPS RATES'!I37)</f>
        <v>0</v>
      </c>
      <c r="J36" s="4">
        <f>SUM('TOTAL VOLUME'!J36*'UPS RATES'!J37)</f>
        <v>0</v>
      </c>
      <c r="K36" s="4">
        <f>SUM('TOTAL VOLUME'!K36*'UPS RATES'!K37)</f>
        <v>50.8</v>
      </c>
      <c r="L36" s="4">
        <f>SUM('TOTAL VOLUME'!L36*'UPS RATES'!L37)</f>
        <v>0</v>
      </c>
      <c r="M36" s="4">
        <f>SUM('TOTAL VOLUME'!M36*'UPS RATES'!M37)</f>
        <v>48.98</v>
      </c>
      <c r="N36" s="4">
        <f>SUM('TOTAL VOLUME'!N36*'UPS RATES'!N37)</f>
        <v>0</v>
      </c>
      <c r="O36" s="4">
        <f>SUM('TOTAL VOLUME'!O36*'UPS RATES'!O37)</f>
        <v>263.16000000000003</v>
      </c>
      <c r="P36" s="4">
        <f>SUM('TOTAL VOLUME'!P36*'UPS RATES'!P37)</f>
        <v>1413.6000000000001</v>
      </c>
      <c r="Q36" s="4">
        <f>SUM('TOTAL VOLUME'!Q36*'UPS RATES'!Q37)</f>
        <v>629.75</v>
      </c>
      <c r="R36" s="4">
        <f>SUM('TOTAL VOLUME'!R36*'UPS RATES'!R37)</f>
        <v>1626.8700000000001</v>
      </c>
      <c r="S36" s="4">
        <f>SUM('TOTAL VOLUME'!S36*'UPS RATES'!S37)</f>
        <v>3138.12</v>
      </c>
      <c r="T36" s="4">
        <f>SUM('TOTAL VOLUME'!T36*'UPS RATES'!T37)</f>
        <v>2599.92</v>
      </c>
      <c r="U36" s="4">
        <f>SUM('TOTAL VOLUME'!U36*'UPS RATES'!U37)</f>
        <v>1291.6600000000001</v>
      </c>
      <c r="V36" s="4">
        <f>SUM('TOTAL VOLUME'!V36*'UPS RATES'!V37)</f>
        <v>6157</v>
      </c>
      <c r="W36" s="4">
        <f>SUM('TOTAL VOLUME'!W36*'UPS RATES'!W37)</f>
        <v>758.55</v>
      </c>
      <c r="X36" s="4">
        <f>SUM('TOTAL VOLUME'!X36*'UPS RATES'!X37)</f>
        <v>295.57</v>
      </c>
      <c r="Y36" s="4">
        <f>SUM('TOTAL VOLUME'!Y36*'UPS RATES'!Y37)</f>
        <v>1954.8</v>
      </c>
      <c r="Z36" s="4">
        <f>SUM('TOTAL VOLUME'!Z36*'UPS RATES'!Z37)</f>
        <v>4331.22</v>
      </c>
      <c r="AA36" s="4">
        <f>SUM('TOTAL VOLUME'!AA36*'UPS RATES'!AA37)</f>
        <v>2281.52</v>
      </c>
      <c r="AB36" s="4">
        <f>SUM('TOTAL VOLUME'!AB36*'UPS RATES'!AB37)</f>
        <v>1934.59</v>
      </c>
      <c r="AC36" s="4">
        <f>SUM('TOTAL VOLUME'!AC36*'UPS RATES'!AC37)</f>
        <v>8982.6</v>
      </c>
    </row>
    <row r="37" spans="1:29" x14ac:dyDescent="0.2">
      <c r="A37" s="2">
        <v>36</v>
      </c>
      <c r="B37" s="4">
        <f>SUM('TOTAL VOLUME'!B37*'UPS RATES'!B38)</f>
        <v>17</v>
      </c>
      <c r="C37" s="4">
        <f>SUM('TOTAL VOLUME'!C37*'UPS RATES'!C38)</f>
        <v>0</v>
      </c>
      <c r="D37" s="4">
        <f>SUM('TOTAL VOLUME'!D37*'UPS RATES'!D38)</f>
        <v>78.599999999999994</v>
      </c>
      <c r="E37" s="4">
        <f>SUM('TOTAL VOLUME'!E37*'UPS RATES'!E38)</f>
        <v>38.79</v>
      </c>
      <c r="F37" s="4">
        <f>SUM('TOTAL VOLUME'!F37*'UPS RATES'!F38)</f>
        <v>58.65</v>
      </c>
      <c r="G37" s="4">
        <f>SUM('TOTAL VOLUME'!G37*'UPS RATES'!G38)</f>
        <v>190.8</v>
      </c>
      <c r="H37" s="4">
        <f>SUM('TOTAL VOLUME'!H37*'UPS RATES'!H38)</f>
        <v>519.67999999999995</v>
      </c>
      <c r="I37" s="4">
        <f>SUM('TOTAL VOLUME'!I37*'UPS RATES'!I38)</f>
        <v>0</v>
      </c>
      <c r="J37" s="4">
        <f>SUM('TOTAL VOLUME'!J37*'UPS RATES'!J38)</f>
        <v>0</v>
      </c>
      <c r="K37" s="4">
        <f>SUM('TOTAL VOLUME'!K37*'UPS RATES'!K38)</f>
        <v>0</v>
      </c>
      <c r="L37" s="4">
        <f>SUM('TOTAL VOLUME'!L37*'UPS RATES'!L38)</f>
        <v>0</v>
      </c>
      <c r="M37" s="4">
        <f>SUM('TOTAL VOLUME'!M37*'UPS RATES'!M38)</f>
        <v>0</v>
      </c>
      <c r="N37" s="4">
        <f>SUM('TOTAL VOLUME'!N37*'UPS RATES'!N38)</f>
        <v>0</v>
      </c>
      <c r="O37" s="4">
        <f>SUM('TOTAL VOLUME'!O37*'UPS RATES'!O38)</f>
        <v>336.5</v>
      </c>
      <c r="P37" s="4">
        <f>SUM('TOTAL VOLUME'!P37*'UPS RATES'!P38)</f>
        <v>1266.3</v>
      </c>
      <c r="Q37" s="4">
        <f>SUM('TOTAL VOLUME'!Q37*'UPS RATES'!Q38)</f>
        <v>389.29999999999995</v>
      </c>
      <c r="R37" s="4">
        <f>SUM('TOTAL VOLUME'!R37*'UPS RATES'!R38)</f>
        <v>1755.76</v>
      </c>
      <c r="S37" s="4">
        <f>SUM('TOTAL VOLUME'!S37*'UPS RATES'!S38)</f>
        <v>2453.9100000000003</v>
      </c>
      <c r="T37" s="4">
        <f>SUM('TOTAL VOLUME'!T37*'UPS RATES'!T38)</f>
        <v>3533.3999999999996</v>
      </c>
      <c r="U37" s="4">
        <f>SUM('TOTAL VOLUME'!U37*'UPS RATES'!U38)</f>
        <v>1496.3</v>
      </c>
      <c r="V37" s="4">
        <f>SUM('TOTAL VOLUME'!V37*'UPS RATES'!V38)</f>
        <v>3948.35</v>
      </c>
      <c r="W37" s="4">
        <f>SUM('TOTAL VOLUME'!W37*'UPS RATES'!W38)</f>
        <v>1256.1200000000001</v>
      </c>
      <c r="X37" s="4">
        <f>SUM('TOTAL VOLUME'!X37*'UPS RATES'!X38)</f>
        <v>164.34</v>
      </c>
      <c r="Y37" s="4">
        <f>SUM('TOTAL VOLUME'!Y37*'UPS RATES'!Y38)</f>
        <v>1127</v>
      </c>
      <c r="Z37" s="4">
        <f>SUM('TOTAL VOLUME'!Z37*'UPS RATES'!Z38)</f>
        <v>3881.15</v>
      </c>
      <c r="AA37" s="4">
        <f>SUM('TOTAL VOLUME'!AA37*'UPS RATES'!AA38)</f>
        <v>2112.7600000000002</v>
      </c>
      <c r="AB37" s="4">
        <f>SUM('TOTAL VOLUME'!AB37*'UPS RATES'!AB38)</f>
        <v>1553.42</v>
      </c>
      <c r="AC37" s="4">
        <f>SUM('TOTAL VOLUME'!AC37*'UPS RATES'!AC38)</f>
        <v>6532.0599999999995</v>
      </c>
    </row>
    <row r="38" spans="1:29" x14ac:dyDescent="0.2">
      <c r="A38" s="2">
        <v>37</v>
      </c>
      <c r="B38" s="4">
        <f>SUM('TOTAL VOLUME'!B38*'UPS RATES'!B39)</f>
        <v>34.619999999999997</v>
      </c>
      <c r="C38" s="4">
        <f>SUM('TOTAL VOLUME'!C38*'UPS RATES'!C39)</f>
        <v>0</v>
      </c>
      <c r="D38" s="4">
        <f>SUM('TOTAL VOLUME'!D38*'UPS RATES'!D39)</f>
        <v>26.84</v>
      </c>
      <c r="E38" s="4">
        <f>SUM('TOTAL VOLUME'!E38*'UPS RATES'!E39)</f>
        <v>119.37</v>
      </c>
      <c r="F38" s="4">
        <f>SUM('TOTAL VOLUME'!F38*'UPS RATES'!F39)</f>
        <v>0</v>
      </c>
      <c r="G38" s="4">
        <f>SUM('TOTAL VOLUME'!G38*'UPS RATES'!G39)</f>
        <v>130.58000000000001</v>
      </c>
      <c r="H38" s="4">
        <f>SUM('TOTAL VOLUME'!H38*'UPS RATES'!H39)</f>
        <v>538.64</v>
      </c>
      <c r="I38" s="4">
        <f>SUM('TOTAL VOLUME'!I38*'UPS RATES'!I39)</f>
        <v>17.14</v>
      </c>
      <c r="J38" s="4">
        <f>SUM('TOTAL VOLUME'!J38*'UPS RATES'!J39)</f>
        <v>0</v>
      </c>
      <c r="K38" s="4">
        <f>SUM('TOTAL VOLUME'!K38*'UPS RATES'!K39)</f>
        <v>26.5</v>
      </c>
      <c r="L38" s="4">
        <f>SUM('TOTAL VOLUME'!L38*'UPS RATES'!L39)</f>
        <v>0</v>
      </c>
      <c r="M38" s="4">
        <f>SUM('TOTAL VOLUME'!M38*'UPS RATES'!M39)</f>
        <v>51.4</v>
      </c>
      <c r="N38" s="4">
        <f>SUM('TOTAL VOLUME'!N38*'UPS RATES'!N39)</f>
        <v>0</v>
      </c>
      <c r="O38" s="4">
        <f>SUM('TOTAL VOLUME'!O38*'UPS RATES'!O39)</f>
        <v>67.489999999999995</v>
      </c>
      <c r="P38" s="4">
        <f>SUM('TOTAL VOLUME'!P38*'UPS RATES'!P39)</f>
        <v>1649.48</v>
      </c>
      <c r="Q38" s="4">
        <f>SUM('TOTAL VOLUME'!Q38*'UPS RATES'!Q39)</f>
        <v>684.4</v>
      </c>
      <c r="R38" s="4">
        <f>SUM('TOTAL VOLUME'!R38*'UPS RATES'!R39)</f>
        <v>1638.75</v>
      </c>
      <c r="S38" s="4">
        <f>SUM('TOTAL VOLUME'!S38*'UPS RATES'!S39)</f>
        <v>3625.19</v>
      </c>
      <c r="T38" s="4">
        <f>SUM('TOTAL VOLUME'!T38*'UPS RATES'!T39)</f>
        <v>4042.6</v>
      </c>
      <c r="U38" s="4">
        <f>SUM('TOTAL VOLUME'!U38*'UPS RATES'!U39)</f>
        <v>2662.24</v>
      </c>
      <c r="V38" s="4">
        <f>SUM('TOTAL VOLUME'!V38*'UPS RATES'!V39)</f>
        <v>6954.9699999999993</v>
      </c>
      <c r="W38" s="4">
        <f>SUM('TOTAL VOLUME'!W38*'UPS RATES'!W39)</f>
        <v>1366.8</v>
      </c>
      <c r="X38" s="4">
        <f>SUM('TOTAL VOLUME'!X38*'UPS RATES'!X39)</f>
        <v>1052.28</v>
      </c>
      <c r="Y38" s="4">
        <f>SUM('TOTAL VOLUME'!Y38*'UPS RATES'!Y39)</f>
        <v>3639.51</v>
      </c>
      <c r="Z38" s="4">
        <f>SUM('TOTAL VOLUME'!Z38*'UPS RATES'!Z39)</f>
        <v>7545.79</v>
      </c>
      <c r="AA38" s="4">
        <f>SUM('TOTAL VOLUME'!AA38*'UPS RATES'!AA39)</f>
        <v>4560.5</v>
      </c>
      <c r="AB38" s="4">
        <f>SUM('TOTAL VOLUME'!AB38*'UPS RATES'!AB39)</f>
        <v>4614.72</v>
      </c>
      <c r="AC38" s="4">
        <f>SUM('TOTAL VOLUME'!AC38*'UPS RATES'!AC39)</f>
        <v>12430.05</v>
      </c>
    </row>
    <row r="39" spans="1:29" x14ac:dyDescent="0.2">
      <c r="A39" s="2">
        <v>38</v>
      </c>
      <c r="B39" s="4">
        <f>SUM('TOTAL VOLUME'!B39*'UPS RATES'!B40)</f>
        <v>35.200000000000003</v>
      </c>
      <c r="C39" s="4">
        <f>SUM('TOTAL VOLUME'!C39*'UPS RATES'!C40)</f>
        <v>21.19</v>
      </c>
      <c r="D39" s="4">
        <f>SUM('TOTAL VOLUME'!D39*'UPS RATES'!D40)</f>
        <v>27.52</v>
      </c>
      <c r="E39" s="4">
        <f>SUM('TOTAL VOLUME'!E39*'UPS RATES'!E40)</f>
        <v>162.36000000000001</v>
      </c>
      <c r="F39" s="4">
        <f>SUM('TOTAL VOLUME'!F39*'UPS RATES'!F40)</f>
        <v>185.34</v>
      </c>
      <c r="G39" s="4">
        <f>SUM('TOTAL VOLUME'!G39*'UPS RATES'!G40)</f>
        <v>200.96999999999997</v>
      </c>
      <c r="H39" s="4">
        <f>SUM('TOTAL VOLUME'!H39*'UPS RATES'!H40)</f>
        <v>484.19</v>
      </c>
      <c r="I39" s="4">
        <f>SUM('TOTAL VOLUME'!I39*'UPS RATES'!I40)</f>
        <v>0</v>
      </c>
      <c r="J39" s="4">
        <f>SUM('TOTAL VOLUME'!J39*'UPS RATES'!J40)</f>
        <v>0</v>
      </c>
      <c r="K39" s="4">
        <f>SUM('TOTAL VOLUME'!K39*'UPS RATES'!K40)</f>
        <v>0</v>
      </c>
      <c r="L39" s="4">
        <f>SUM('TOTAL VOLUME'!L39*'UPS RATES'!L40)</f>
        <v>73.12</v>
      </c>
      <c r="M39" s="4">
        <f>SUM('TOTAL VOLUME'!M39*'UPS RATES'!M40)</f>
        <v>0</v>
      </c>
      <c r="N39" s="4">
        <f>SUM('TOTAL VOLUME'!N39*'UPS RATES'!N40)</f>
        <v>119.86</v>
      </c>
      <c r="O39" s="4">
        <f>SUM('TOTAL VOLUME'!O39*'UPS RATES'!O40)</f>
        <v>338.54999999999995</v>
      </c>
      <c r="P39" s="4">
        <f>SUM('TOTAL VOLUME'!P39*'UPS RATES'!P40)</f>
        <v>1313.55</v>
      </c>
      <c r="Q39" s="4">
        <f>SUM('TOTAL VOLUME'!Q39*'UPS RATES'!Q40)</f>
        <v>565.43999999999994</v>
      </c>
      <c r="R39" s="4">
        <f>SUM('TOTAL VOLUME'!R39*'UPS RATES'!R40)</f>
        <v>1371.8999999999999</v>
      </c>
      <c r="S39" s="4">
        <f>SUM('TOTAL VOLUME'!S39*'UPS RATES'!S40)</f>
        <v>3335.4</v>
      </c>
      <c r="T39" s="4">
        <f>SUM('TOTAL VOLUME'!T39*'UPS RATES'!T40)</f>
        <v>3830.4</v>
      </c>
      <c r="U39" s="4">
        <f>SUM('TOTAL VOLUME'!U39*'UPS RATES'!U40)</f>
        <v>2242.84</v>
      </c>
      <c r="V39" s="4">
        <f>SUM('TOTAL VOLUME'!V39*'UPS RATES'!V40)</f>
        <v>5320</v>
      </c>
      <c r="W39" s="4">
        <f>SUM('TOTAL VOLUME'!W39*'UPS RATES'!W40)</f>
        <v>593.34</v>
      </c>
      <c r="X39" s="4">
        <f>SUM('TOTAL VOLUME'!X39*'UPS RATES'!X40)</f>
        <v>382.46000000000004</v>
      </c>
      <c r="Y39" s="4">
        <f>SUM('TOTAL VOLUME'!Y39*'UPS RATES'!Y40)</f>
        <v>995.52</v>
      </c>
      <c r="Z39" s="4">
        <f>SUM('TOTAL VOLUME'!Z39*'UPS RATES'!Z40)</f>
        <v>2673.2999999999997</v>
      </c>
      <c r="AA39" s="4">
        <f>SUM('TOTAL VOLUME'!AA39*'UPS RATES'!AA40)</f>
        <v>1456.84</v>
      </c>
      <c r="AB39" s="4">
        <f>SUM('TOTAL VOLUME'!AB39*'UPS RATES'!AB40)</f>
        <v>1052.0999999999999</v>
      </c>
      <c r="AC39" s="4">
        <f>SUM('TOTAL VOLUME'!AC39*'UPS RATES'!AC40)</f>
        <v>5190.4800000000005</v>
      </c>
    </row>
    <row r="40" spans="1:29" x14ac:dyDescent="0.2">
      <c r="A40" s="2">
        <v>39</v>
      </c>
      <c r="B40" s="4">
        <f>SUM('TOTAL VOLUME'!B40*'UPS RATES'!B41)</f>
        <v>36.32</v>
      </c>
      <c r="C40" s="4">
        <f>SUM('TOTAL VOLUME'!C40*'UPS RATES'!C41)</f>
        <v>0</v>
      </c>
      <c r="D40" s="4">
        <f>SUM('TOTAL VOLUME'!D40*'UPS RATES'!D41)</f>
        <v>111.92</v>
      </c>
      <c r="E40" s="4">
        <f>SUM('TOTAL VOLUME'!E40*'UPS RATES'!E41)</f>
        <v>124.19999999999999</v>
      </c>
      <c r="F40" s="4">
        <f>SUM('TOTAL VOLUME'!F40*'UPS RATES'!F41)</f>
        <v>189.84</v>
      </c>
      <c r="G40" s="4">
        <f>SUM('TOTAL VOLUME'!G40*'UPS RATES'!G41)</f>
        <v>206.31</v>
      </c>
      <c r="H40" s="4">
        <f>SUM('TOTAL VOLUME'!H40*'UPS RATES'!H41)</f>
        <v>567.67999999999995</v>
      </c>
      <c r="I40" s="4">
        <f>SUM('TOTAL VOLUME'!I40*'UPS RATES'!I41)</f>
        <v>0</v>
      </c>
      <c r="J40" s="4">
        <f>SUM('TOTAL VOLUME'!J40*'UPS RATES'!J41)</f>
        <v>43.24</v>
      </c>
      <c r="K40" s="4">
        <f>SUM('TOTAL VOLUME'!K40*'UPS RATES'!K41)</f>
        <v>0</v>
      </c>
      <c r="L40" s="4">
        <f>SUM('TOTAL VOLUME'!L40*'UPS RATES'!L41)</f>
        <v>37.26</v>
      </c>
      <c r="M40" s="4">
        <f>SUM('TOTAL VOLUME'!M40*'UPS RATES'!M41)</f>
        <v>0</v>
      </c>
      <c r="N40" s="4">
        <f>SUM('TOTAL VOLUME'!N40*'UPS RATES'!N41)</f>
        <v>63.09</v>
      </c>
      <c r="O40" s="4">
        <f>SUM('TOTAL VOLUME'!O40*'UPS RATES'!O41)</f>
        <v>428.93999999999994</v>
      </c>
      <c r="P40" s="4">
        <f>SUM('TOTAL VOLUME'!P40*'UPS RATES'!P41)</f>
        <v>3567.7500000000005</v>
      </c>
      <c r="Q40" s="4">
        <f>SUM('TOTAL VOLUME'!Q40*'UPS RATES'!Q41)</f>
        <v>1346.4</v>
      </c>
      <c r="R40" s="4">
        <f>SUM('TOTAL VOLUME'!R40*'UPS RATES'!R41)</f>
        <v>3731.98</v>
      </c>
      <c r="S40" s="4">
        <f>SUM('TOTAL VOLUME'!S40*'UPS RATES'!S41)</f>
        <v>8904.869999999999</v>
      </c>
      <c r="T40" s="4">
        <f>SUM('TOTAL VOLUME'!T40*'UPS RATES'!T41)</f>
        <v>10039.84</v>
      </c>
      <c r="U40" s="4">
        <f>SUM('TOTAL VOLUME'!U40*'UPS RATES'!U41)</f>
        <v>6348.8</v>
      </c>
      <c r="V40" s="4">
        <f>SUM('TOTAL VOLUME'!V40*'UPS RATES'!V41)</f>
        <v>24778.859999999997</v>
      </c>
      <c r="W40" s="4">
        <f>SUM('TOTAL VOLUME'!W40*'UPS RATES'!W41)</f>
        <v>657.6</v>
      </c>
      <c r="X40" s="4">
        <f>SUM('TOTAL VOLUME'!X40*'UPS RATES'!X41)</f>
        <v>294.89999999999998</v>
      </c>
      <c r="Y40" s="4">
        <f>SUM('TOTAL VOLUME'!Y40*'UPS RATES'!Y41)</f>
        <v>1966.1399999999999</v>
      </c>
      <c r="Z40" s="4">
        <f>SUM('TOTAL VOLUME'!Z40*'UPS RATES'!Z41)</f>
        <v>2866.0499999999997</v>
      </c>
      <c r="AA40" s="4">
        <f>SUM('TOTAL VOLUME'!AA40*'UPS RATES'!AA41)</f>
        <v>1790.6399999999999</v>
      </c>
      <c r="AB40" s="4">
        <f>SUM('TOTAL VOLUME'!AB40*'UPS RATES'!AB41)</f>
        <v>1366.29</v>
      </c>
      <c r="AC40" s="4">
        <f>SUM('TOTAL VOLUME'!AC40*'UPS RATES'!AC41)</f>
        <v>3741.8700000000003</v>
      </c>
    </row>
    <row r="41" spans="1:29" x14ac:dyDescent="0.2">
      <c r="A41" s="2">
        <v>40</v>
      </c>
      <c r="B41" s="4">
        <f>SUM('TOTAL VOLUME'!B41*'UPS RATES'!B42)</f>
        <v>18.22</v>
      </c>
      <c r="C41" s="4">
        <f>SUM('TOTAL VOLUME'!C41*'UPS RATES'!C42)</f>
        <v>0</v>
      </c>
      <c r="D41" s="4">
        <f>SUM('TOTAL VOLUME'!D41*'UPS RATES'!D42)</f>
        <v>114.6</v>
      </c>
      <c r="E41" s="4">
        <f>SUM('TOTAL VOLUME'!E41*'UPS RATES'!E42)</f>
        <v>126.99</v>
      </c>
      <c r="F41" s="4">
        <f>SUM('TOTAL VOLUME'!F41*'UPS RATES'!F42)</f>
        <v>194.13</v>
      </c>
      <c r="G41" s="4">
        <f>SUM('TOTAL VOLUME'!G41*'UPS RATES'!G42)</f>
        <v>211.38</v>
      </c>
      <c r="H41" s="4">
        <f>SUM('TOTAL VOLUME'!H41*'UPS RATES'!H42)</f>
        <v>725.3</v>
      </c>
      <c r="I41" s="4">
        <f>SUM('TOTAL VOLUME'!I41*'UPS RATES'!I42)</f>
        <v>0</v>
      </c>
      <c r="J41" s="4">
        <f>SUM('TOTAL VOLUME'!J41*'UPS RATES'!J42)</f>
        <v>0</v>
      </c>
      <c r="K41" s="4">
        <f>SUM('TOTAL VOLUME'!K41*'UPS RATES'!K42)</f>
        <v>28.03</v>
      </c>
      <c r="L41" s="4">
        <f>SUM('TOTAL VOLUME'!L41*'UPS RATES'!L42)</f>
        <v>37.58</v>
      </c>
      <c r="M41" s="4">
        <f>SUM('TOTAL VOLUME'!M41*'UPS RATES'!M42)</f>
        <v>0</v>
      </c>
      <c r="N41" s="4">
        <f>SUM('TOTAL VOLUME'!N41*'UPS RATES'!N42)</f>
        <v>0</v>
      </c>
      <c r="O41" s="4">
        <f>SUM('TOTAL VOLUME'!O41*'UPS RATES'!O42)</f>
        <v>290.92</v>
      </c>
      <c r="P41" s="4">
        <f>SUM('TOTAL VOLUME'!P41*'UPS RATES'!P42)</f>
        <v>1943.51</v>
      </c>
      <c r="Q41" s="4">
        <f>SUM('TOTAL VOLUME'!Q41*'UPS RATES'!Q42)</f>
        <v>663.66</v>
      </c>
      <c r="R41" s="4">
        <f>SUM('TOTAL VOLUME'!R41*'UPS RATES'!R42)</f>
        <v>1867.32</v>
      </c>
      <c r="S41" s="4">
        <f>SUM('TOTAL VOLUME'!S41*'UPS RATES'!S42)</f>
        <v>5342.4000000000005</v>
      </c>
      <c r="T41" s="4">
        <f>SUM('TOTAL VOLUME'!T41*'UPS RATES'!T42)</f>
        <v>4749.75</v>
      </c>
      <c r="U41" s="4">
        <f>SUM('TOTAL VOLUME'!U41*'UPS RATES'!U42)</f>
        <v>3051.6299999999997</v>
      </c>
      <c r="V41" s="4">
        <f>SUM('TOTAL VOLUME'!V41*'UPS RATES'!V42)</f>
        <v>10835.61</v>
      </c>
      <c r="W41" s="4">
        <f>SUM('TOTAL VOLUME'!W41*'UPS RATES'!W42)</f>
        <v>515</v>
      </c>
      <c r="X41" s="4">
        <f>SUM('TOTAL VOLUME'!X41*'UPS RATES'!X42)</f>
        <v>147.85</v>
      </c>
      <c r="Y41" s="4">
        <f>SUM('TOTAL VOLUME'!Y41*'UPS RATES'!Y42)</f>
        <v>417.76</v>
      </c>
      <c r="Z41" s="4">
        <f>SUM('TOTAL VOLUME'!Z41*'UPS RATES'!Z42)</f>
        <v>1661.14</v>
      </c>
      <c r="AA41" s="4">
        <f>SUM('TOTAL VOLUME'!AA41*'UPS RATES'!AA42)</f>
        <v>798.12000000000012</v>
      </c>
      <c r="AB41" s="4">
        <f>SUM('TOTAL VOLUME'!AB41*'UPS RATES'!AB42)</f>
        <v>1153.44</v>
      </c>
      <c r="AC41" s="4">
        <f>SUM('TOTAL VOLUME'!AC41*'UPS RATES'!AC42)</f>
        <v>2500.02</v>
      </c>
    </row>
    <row r="42" spans="1:29" x14ac:dyDescent="0.2">
      <c r="A42" s="2">
        <v>41</v>
      </c>
      <c r="B42" s="4">
        <f>SUM('TOTAL VOLUME'!B42*'UPS RATES'!B43)</f>
        <v>19.100000000000001</v>
      </c>
      <c r="C42" s="4">
        <f>SUM('TOTAL VOLUME'!C42*'UPS RATES'!C43)</f>
        <v>0</v>
      </c>
      <c r="D42" s="4">
        <f>SUM('TOTAL VOLUME'!D42*'UPS RATES'!D43)</f>
        <v>57.96</v>
      </c>
      <c r="E42" s="4">
        <f>SUM('TOTAL VOLUME'!E42*'UPS RATES'!E43)</f>
        <v>86.22</v>
      </c>
      <c r="F42" s="4">
        <f>SUM('TOTAL VOLUME'!F42*'UPS RATES'!F43)</f>
        <v>132.34</v>
      </c>
      <c r="G42" s="4">
        <f>SUM('TOTAL VOLUME'!G42*'UPS RATES'!G43)</f>
        <v>0</v>
      </c>
      <c r="H42" s="4">
        <f>SUM('TOTAL VOLUME'!H42*'UPS RATES'!H43)</f>
        <v>74.489999999999995</v>
      </c>
      <c r="I42" s="4">
        <f>SUM('TOTAL VOLUME'!I42*'UPS RATES'!I43)</f>
        <v>0</v>
      </c>
      <c r="J42" s="4">
        <f>SUM('TOTAL VOLUME'!J42*'UPS RATES'!J43)</f>
        <v>0</v>
      </c>
      <c r="K42" s="4">
        <f>SUM('TOTAL VOLUME'!K42*'UPS RATES'!K43)</f>
        <v>0</v>
      </c>
      <c r="L42" s="4">
        <f>SUM('TOTAL VOLUME'!L42*'UPS RATES'!L43)</f>
        <v>77.72</v>
      </c>
      <c r="M42" s="4">
        <f>SUM('TOTAL VOLUME'!M42*'UPS RATES'!M43)</f>
        <v>55.83</v>
      </c>
      <c r="N42" s="4">
        <f>SUM('TOTAL VOLUME'!N42*'UPS RATES'!N43)</f>
        <v>0</v>
      </c>
      <c r="O42" s="4">
        <f>SUM('TOTAL VOLUME'!O42*'UPS RATES'!O43)</f>
        <v>74.28</v>
      </c>
      <c r="P42" s="4">
        <f>SUM('TOTAL VOLUME'!P42*'UPS RATES'!P43)</f>
        <v>2109.4499999999998</v>
      </c>
      <c r="Q42" s="4">
        <f>SUM('TOTAL VOLUME'!Q42*'UPS RATES'!Q43)</f>
        <v>1205.08</v>
      </c>
      <c r="R42" s="4">
        <f>SUM('TOTAL VOLUME'!R42*'UPS RATES'!R43)</f>
        <v>4473.3</v>
      </c>
      <c r="S42" s="4">
        <f>SUM('TOTAL VOLUME'!S42*'UPS RATES'!S43)</f>
        <v>8233.380000000001</v>
      </c>
      <c r="T42" s="4">
        <f>SUM('TOTAL VOLUME'!T42*'UPS RATES'!T43)</f>
        <v>7982.55</v>
      </c>
      <c r="U42" s="4">
        <f>SUM('TOTAL VOLUME'!U42*'UPS RATES'!U43)</f>
        <v>3988.92</v>
      </c>
      <c r="V42" s="4">
        <f>SUM('TOTAL VOLUME'!V42*'UPS RATES'!V43)</f>
        <v>14538.300000000001</v>
      </c>
      <c r="W42" s="4">
        <f>SUM('TOTAL VOLUME'!W42*'UPS RATES'!W43)</f>
        <v>516.24</v>
      </c>
      <c r="X42" s="4">
        <f>SUM('TOTAL VOLUME'!X42*'UPS RATES'!X43)</f>
        <v>92.94</v>
      </c>
      <c r="Y42" s="4">
        <f>SUM('TOTAL VOLUME'!Y42*'UPS RATES'!Y43)</f>
        <v>741.12</v>
      </c>
      <c r="Z42" s="4">
        <f>SUM('TOTAL VOLUME'!Z42*'UPS RATES'!Z43)</f>
        <v>1577.52</v>
      </c>
      <c r="AA42" s="4">
        <f>SUM('TOTAL VOLUME'!AA42*'UPS RATES'!AA43)</f>
        <v>3018.17</v>
      </c>
      <c r="AB42" s="4">
        <f>SUM('TOTAL VOLUME'!AB42*'UPS RATES'!AB43)</f>
        <v>1169.76</v>
      </c>
      <c r="AC42" s="4">
        <f>SUM('TOTAL VOLUME'!AC42*'UPS RATES'!AC43)</f>
        <v>3375.68</v>
      </c>
    </row>
    <row r="43" spans="1:29" x14ac:dyDescent="0.2">
      <c r="A43" s="2">
        <v>42</v>
      </c>
      <c r="B43" s="4">
        <f>SUM('TOTAL VOLUME'!B43*'UPS RATES'!B44)</f>
        <v>58.230000000000004</v>
      </c>
      <c r="C43" s="4">
        <f>SUM('TOTAL VOLUME'!C43*'UPS RATES'!C44)</f>
        <v>46.86</v>
      </c>
      <c r="D43" s="4">
        <f>SUM('TOTAL VOLUME'!D43*'UPS RATES'!D44)</f>
        <v>88.710000000000008</v>
      </c>
      <c r="E43" s="4">
        <f>SUM('TOTAL VOLUME'!E43*'UPS RATES'!E44)</f>
        <v>308.14000000000004</v>
      </c>
      <c r="F43" s="4">
        <f>SUM('TOTAL VOLUME'!F43*'UPS RATES'!F44)</f>
        <v>202.77</v>
      </c>
      <c r="G43" s="4">
        <f>SUM('TOTAL VOLUME'!G43*'UPS RATES'!G44)</f>
        <v>0</v>
      </c>
      <c r="H43" s="4">
        <f>SUM('TOTAL VOLUME'!H43*'UPS RATES'!H44)</f>
        <v>916.31999999999994</v>
      </c>
      <c r="I43" s="4">
        <f>SUM('TOTAL VOLUME'!I43*'UPS RATES'!I44)</f>
        <v>0</v>
      </c>
      <c r="J43" s="4">
        <f>SUM('TOTAL VOLUME'!J43*'UPS RATES'!J44)</f>
        <v>0</v>
      </c>
      <c r="K43" s="4">
        <f>SUM('TOTAL VOLUME'!K43*'UPS RATES'!K44)</f>
        <v>0</v>
      </c>
      <c r="L43" s="4">
        <f>SUM('TOTAL VOLUME'!L43*'UPS RATES'!L44)</f>
        <v>39.950000000000003</v>
      </c>
      <c r="M43" s="4">
        <f>SUM('TOTAL VOLUME'!M43*'UPS RATES'!M44)</f>
        <v>0</v>
      </c>
      <c r="N43" s="4">
        <f>SUM('TOTAL VOLUME'!N43*'UPS RATES'!N44)</f>
        <v>129.6</v>
      </c>
      <c r="O43" s="4">
        <f>SUM('TOTAL VOLUME'!O43*'UPS RATES'!O44)</f>
        <v>227.54999999999998</v>
      </c>
      <c r="P43" s="4">
        <f>SUM('TOTAL VOLUME'!P43*'UPS RATES'!P44)</f>
        <v>8518.1</v>
      </c>
      <c r="Q43" s="4">
        <f>SUM('TOTAL VOLUME'!Q43*'UPS RATES'!Q44)</f>
        <v>5915.5999999999995</v>
      </c>
      <c r="R43" s="4">
        <f>SUM('TOTAL VOLUME'!R43*'UPS RATES'!R44)</f>
        <v>16380</v>
      </c>
      <c r="S43" s="4">
        <f>SUM('TOTAL VOLUME'!S43*'UPS RATES'!S44)</f>
        <v>20828.849999999999</v>
      </c>
      <c r="T43" s="4">
        <f>SUM('TOTAL VOLUME'!T43*'UPS RATES'!T44)</f>
        <v>27502.05</v>
      </c>
      <c r="U43" s="4">
        <f>SUM('TOTAL VOLUME'!U43*'UPS RATES'!U44)</f>
        <v>15158</v>
      </c>
      <c r="V43" s="4">
        <f>SUM('TOTAL VOLUME'!V43*'UPS RATES'!V44)</f>
        <v>51737.7</v>
      </c>
      <c r="W43" s="4">
        <f>SUM('TOTAL VOLUME'!W43*'UPS RATES'!W44)</f>
        <v>589.14</v>
      </c>
      <c r="X43" s="4">
        <f>SUM('TOTAL VOLUME'!X43*'UPS RATES'!X44)</f>
        <v>435.68</v>
      </c>
      <c r="Y43" s="4">
        <f>SUM('TOTAL VOLUME'!Y43*'UPS RATES'!Y44)</f>
        <v>1438.42</v>
      </c>
      <c r="Z43" s="4">
        <f>SUM('TOTAL VOLUME'!Z43*'UPS RATES'!Z44)</f>
        <v>2068.94</v>
      </c>
      <c r="AA43" s="4">
        <f>SUM('TOTAL VOLUME'!AA43*'UPS RATES'!AA44)</f>
        <v>2187.36</v>
      </c>
      <c r="AB43" s="4">
        <f>SUM('TOTAL VOLUME'!AB43*'UPS RATES'!AB44)</f>
        <v>1247.46</v>
      </c>
      <c r="AC43" s="4">
        <f>SUM('TOTAL VOLUME'!AC43*'UPS RATES'!AC44)</f>
        <v>2813.7599999999998</v>
      </c>
    </row>
    <row r="44" spans="1:29" x14ac:dyDescent="0.2">
      <c r="A44" s="2">
        <v>43</v>
      </c>
      <c r="B44" s="4">
        <f>SUM('TOTAL VOLUME'!B44*'UPS RATES'!B45)</f>
        <v>0</v>
      </c>
      <c r="C44" s="4">
        <f>SUM('TOTAL VOLUME'!C44*'UPS RATES'!C45)</f>
        <v>0</v>
      </c>
      <c r="D44" s="4">
        <f>SUM('TOTAL VOLUME'!D44*'UPS RATES'!D45)</f>
        <v>30.03</v>
      </c>
      <c r="E44" s="4">
        <f>SUM('TOTAL VOLUME'!E44*'UPS RATES'!E45)</f>
        <v>134.25</v>
      </c>
      <c r="F44" s="4">
        <f>SUM('TOTAL VOLUME'!F44*'UPS RATES'!F45)</f>
        <v>0</v>
      </c>
      <c r="G44" s="4">
        <f>SUM('TOTAL VOLUME'!G44*'UPS RATES'!G45)</f>
        <v>150.9</v>
      </c>
      <c r="H44" s="4">
        <f>SUM('TOTAL VOLUME'!H44*'UPS RATES'!H45)</f>
        <v>389.79999999999995</v>
      </c>
      <c r="I44" s="4">
        <f>SUM('TOTAL VOLUME'!I44*'UPS RATES'!I45)</f>
        <v>0</v>
      </c>
      <c r="J44" s="4">
        <f>SUM('TOTAL VOLUME'!J44*'UPS RATES'!J45)</f>
        <v>0</v>
      </c>
      <c r="K44" s="4">
        <f>SUM('TOTAL VOLUME'!K44*'UPS RATES'!K45)</f>
        <v>0</v>
      </c>
      <c r="L44" s="4">
        <f>SUM('TOTAL VOLUME'!L44*'UPS RATES'!L45)</f>
        <v>0</v>
      </c>
      <c r="M44" s="4">
        <f>SUM('TOTAL VOLUME'!M44*'UPS RATES'!M45)</f>
        <v>0</v>
      </c>
      <c r="N44" s="4">
        <f>SUM('TOTAL VOLUME'!N44*'UPS RATES'!N45)</f>
        <v>0</v>
      </c>
      <c r="O44" s="4">
        <f>SUM('TOTAL VOLUME'!O44*'UPS RATES'!O45)</f>
        <v>232.98</v>
      </c>
      <c r="P44" s="4">
        <f>SUM('TOTAL VOLUME'!P44*'UPS RATES'!P45)</f>
        <v>1585.5</v>
      </c>
      <c r="Q44" s="4">
        <f>SUM('TOTAL VOLUME'!Q44*'UPS RATES'!Q45)</f>
        <v>599.83999999999992</v>
      </c>
      <c r="R44" s="4">
        <f>SUM('TOTAL VOLUME'!R44*'UPS RATES'!R45)</f>
        <v>1067.1299999999999</v>
      </c>
      <c r="S44" s="4">
        <f>SUM('TOTAL VOLUME'!S44*'UPS RATES'!S45)</f>
        <v>2197.1999999999998</v>
      </c>
      <c r="T44" s="4">
        <f>SUM('TOTAL VOLUME'!T44*'UPS RATES'!T45)</f>
        <v>2222.3999999999996</v>
      </c>
      <c r="U44" s="4">
        <f>SUM('TOTAL VOLUME'!U44*'UPS RATES'!U45)</f>
        <v>2262.96</v>
      </c>
      <c r="V44" s="4">
        <f>SUM('TOTAL VOLUME'!V44*'UPS RATES'!V45)</f>
        <v>3246.7799999999997</v>
      </c>
      <c r="W44" s="4">
        <f>SUM('TOTAL VOLUME'!W44*'UPS RATES'!W45)</f>
        <v>672.3</v>
      </c>
      <c r="X44" s="4">
        <f>SUM('TOTAL VOLUME'!X44*'UPS RATES'!X45)</f>
        <v>284.58</v>
      </c>
      <c r="Y44" s="4">
        <f>SUM('TOTAL VOLUME'!Y44*'UPS RATES'!Y45)</f>
        <v>513.20000000000005</v>
      </c>
      <c r="Z44" s="4">
        <f>SUM('TOTAL VOLUME'!Z44*'UPS RATES'!Z45)</f>
        <v>1096.32</v>
      </c>
      <c r="AA44" s="4">
        <f>SUM('TOTAL VOLUME'!AA44*'UPS RATES'!AA45)</f>
        <v>1796.2499999999998</v>
      </c>
      <c r="AB44" s="4">
        <f>SUM('TOTAL VOLUME'!AB44*'UPS RATES'!AB45)</f>
        <v>690.39</v>
      </c>
      <c r="AC44" s="4">
        <f>SUM('TOTAL VOLUME'!AC44*'UPS RATES'!AC45)</f>
        <v>1485.18</v>
      </c>
    </row>
    <row r="45" spans="1:29" x14ac:dyDescent="0.2">
      <c r="A45" s="2">
        <v>44</v>
      </c>
      <c r="B45" s="4">
        <f>SUM('TOTAL VOLUME'!B45*'UPS RATES'!B46)</f>
        <v>0</v>
      </c>
      <c r="C45" s="4">
        <f>SUM('TOTAL VOLUME'!C45*'UPS RATES'!C46)</f>
        <v>0</v>
      </c>
      <c r="D45" s="4">
        <f>SUM('TOTAL VOLUME'!D45*'UPS RATES'!D46)</f>
        <v>0</v>
      </c>
      <c r="E45" s="4">
        <f>SUM('TOTAL VOLUME'!E45*'UPS RATES'!E46)</f>
        <v>136.64999999999998</v>
      </c>
      <c r="F45" s="4">
        <f>SUM('TOTAL VOLUME'!F45*'UPS RATES'!F46)</f>
        <v>0</v>
      </c>
      <c r="G45" s="4">
        <f>SUM('TOTAL VOLUME'!G45*'UPS RATES'!G46)</f>
        <v>153.47999999999999</v>
      </c>
      <c r="H45" s="4">
        <f>SUM('TOTAL VOLUME'!H45*'UPS RATES'!H46)</f>
        <v>238.46999999999997</v>
      </c>
      <c r="I45" s="4">
        <f>SUM('TOTAL VOLUME'!I45*'UPS RATES'!I46)</f>
        <v>19.73</v>
      </c>
      <c r="J45" s="4">
        <f>SUM('TOTAL VOLUME'!J45*'UPS RATES'!J46)</f>
        <v>0</v>
      </c>
      <c r="K45" s="4">
        <f>SUM('TOTAL VOLUME'!K45*'UPS RATES'!K46)</f>
        <v>31.12</v>
      </c>
      <c r="L45" s="4">
        <f>SUM('TOTAL VOLUME'!L45*'UPS RATES'!L46)</f>
        <v>83.06</v>
      </c>
      <c r="M45" s="4">
        <f>SUM('TOTAL VOLUME'!M45*'UPS RATES'!M46)</f>
        <v>0</v>
      </c>
      <c r="N45" s="4">
        <f>SUM('TOTAL VOLUME'!N45*'UPS RATES'!N46)</f>
        <v>0</v>
      </c>
      <c r="O45" s="4">
        <f>SUM('TOTAL VOLUME'!O45*'UPS RATES'!O46)</f>
        <v>310.72000000000003</v>
      </c>
      <c r="P45" s="4">
        <f>SUM('TOTAL VOLUME'!P45*'UPS RATES'!P46)</f>
        <v>1075.6500000000001</v>
      </c>
      <c r="Q45" s="4">
        <f>SUM('TOTAL VOLUME'!Q45*'UPS RATES'!Q46)</f>
        <v>357.75</v>
      </c>
      <c r="R45" s="4">
        <f>SUM('TOTAL VOLUME'!R45*'UPS RATES'!R46)</f>
        <v>1155.75</v>
      </c>
      <c r="S45" s="4">
        <f>SUM('TOTAL VOLUME'!S45*'UPS RATES'!S46)</f>
        <v>2086.56</v>
      </c>
      <c r="T45" s="4">
        <f>SUM('TOTAL VOLUME'!T45*'UPS RATES'!T46)</f>
        <v>1564.45</v>
      </c>
      <c r="U45" s="4">
        <f>SUM('TOTAL VOLUME'!U45*'UPS RATES'!U46)</f>
        <v>1077.57</v>
      </c>
      <c r="V45" s="4">
        <f>SUM('TOTAL VOLUME'!V45*'UPS RATES'!V46)</f>
        <v>4240.1499999999996</v>
      </c>
      <c r="W45" s="4">
        <f>SUM('TOTAL VOLUME'!W45*'UPS RATES'!W46)</f>
        <v>481.11</v>
      </c>
      <c r="X45" s="4">
        <f>SUM('TOTAL VOLUME'!X45*'UPS RATES'!X46)</f>
        <v>299.43</v>
      </c>
      <c r="Y45" s="4">
        <f>SUM('TOTAL VOLUME'!Y45*'UPS RATES'!Y46)</f>
        <v>1108.74</v>
      </c>
      <c r="Z45" s="4">
        <f>SUM('TOTAL VOLUME'!Z45*'UPS RATES'!Z46)</f>
        <v>1260.8999999999999</v>
      </c>
      <c r="AA45" s="4">
        <f>SUM('TOTAL VOLUME'!AA45*'UPS RATES'!AA46)</f>
        <v>1754.3999999999999</v>
      </c>
      <c r="AB45" s="4">
        <f>SUM('TOTAL VOLUME'!AB45*'UPS RATES'!AB46)</f>
        <v>389.79999999999995</v>
      </c>
      <c r="AC45" s="4">
        <f>SUM('TOTAL VOLUME'!AC45*'UPS RATES'!AC46)</f>
        <v>2903.95</v>
      </c>
    </row>
    <row r="46" spans="1:29" x14ac:dyDescent="0.2">
      <c r="A46" s="2">
        <v>45</v>
      </c>
      <c r="B46" s="4">
        <f>SUM('TOTAL VOLUME'!B46*'UPS RATES'!B47)</f>
        <v>0</v>
      </c>
      <c r="C46" s="4">
        <f>SUM('TOTAL VOLUME'!C46*'UPS RATES'!C47)</f>
        <v>24.8</v>
      </c>
      <c r="D46" s="4">
        <f>SUM('TOTAL VOLUME'!D46*'UPS RATES'!D47)</f>
        <v>31.15</v>
      </c>
      <c r="E46" s="4">
        <f>SUM('TOTAL VOLUME'!E46*'UPS RATES'!E47)</f>
        <v>92.36</v>
      </c>
      <c r="F46" s="4">
        <f>SUM('TOTAL VOLUME'!F46*'UPS RATES'!F47)</f>
        <v>71.819999999999993</v>
      </c>
      <c r="G46" s="4">
        <f>SUM('TOTAL VOLUME'!G46*'UPS RATES'!G47)</f>
        <v>78.17</v>
      </c>
      <c r="H46" s="4">
        <f>SUM('TOTAL VOLUME'!H46*'UPS RATES'!H47)</f>
        <v>0</v>
      </c>
      <c r="I46" s="4">
        <f>SUM('TOTAL VOLUME'!I46*'UPS RATES'!I47)</f>
        <v>0</v>
      </c>
      <c r="J46" s="4">
        <f>SUM('TOTAL VOLUME'!J46*'UPS RATES'!J47)</f>
        <v>0</v>
      </c>
      <c r="K46" s="4">
        <f>SUM('TOTAL VOLUME'!K46*'UPS RATES'!K47)</f>
        <v>0</v>
      </c>
      <c r="L46" s="4">
        <f>SUM('TOTAL VOLUME'!L46*'UPS RATES'!L47)</f>
        <v>0</v>
      </c>
      <c r="M46" s="4">
        <f>SUM('TOTAL VOLUME'!M46*'UPS RATES'!M47)</f>
        <v>0</v>
      </c>
      <c r="N46" s="4">
        <f>SUM('TOTAL VOLUME'!N46*'UPS RATES'!N47)</f>
        <v>0</v>
      </c>
      <c r="O46" s="4">
        <f>SUM('TOTAL VOLUME'!O46*'UPS RATES'!O47)</f>
        <v>312.16000000000003</v>
      </c>
      <c r="P46" s="4">
        <f>SUM('TOTAL VOLUME'!P46*'UPS RATES'!P47)</f>
        <v>905.25</v>
      </c>
      <c r="Q46" s="4">
        <f>SUM('TOTAL VOLUME'!Q46*'UPS RATES'!Q47)</f>
        <v>185.5</v>
      </c>
      <c r="R46" s="4">
        <f>SUM('TOTAL VOLUME'!R46*'UPS RATES'!R47)</f>
        <v>369.84000000000003</v>
      </c>
      <c r="S46" s="4">
        <f>SUM('TOTAL VOLUME'!S46*'UPS RATES'!S47)</f>
        <v>950.64</v>
      </c>
      <c r="T46" s="4">
        <f>SUM('TOTAL VOLUME'!T46*'UPS RATES'!T47)</f>
        <v>1030.92</v>
      </c>
      <c r="U46" s="4">
        <f>SUM('TOTAL VOLUME'!U46*'UPS RATES'!U47)</f>
        <v>1189.8599999999999</v>
      </c>
      <c r="V46" s="4">
        <f>SUM('TOTAL VOLUME'!V46*'UPS RATES'!V47)</f>
        <v>2119.56</v>
      </c>
      <c r="W46" s="4">
        <f>SUM('TOTAL VOLUME'!W46*'UPS RATES'!W47)</f>
        <v>405.62</v>
      </c>
      <c r="X46" s="4">
        <f>SUM('TOTAL VOLUME'!X46*'UPS RATES'!X47)</f>
        <v>69.14</v>
      </c>
      <c r="Y46" s="4">
        <f>SUM('TOTAL VOLUME'!Y46*'UPS RATES'!Y47)</f>
        <v>132.1</v>
      </c>
      <c r="Z46" s="4">
        <f>SUM('TOTAL VOLUME'!Z46*'UPS RATES'!Z47)</f>
        <v>1422</v>
      </c>
      <c r="AA46" s="4">
        <f>SUM('TOTAL VOLUME'!AA46*'UPS RATES'!AA47)</f>
        <v>1977.21</v>
      </c>
      <c r="AB46" s="4">
        <f>SUM('TOTAL VOLUME'!AB46*'UPS RATES'!AB47)</f>
        <v>79.48</v>
      </c>
      <c r="AC46" s="4">
        <f>SUM('TOTAL VOLUME'!AC46*'UPS RATES'!AC47)</f>
        <v>2576.1</v>
      </c>
    </row>
    <row r="47" spans="1:29" x14ac:dyDescent="0.2">
      <c r="A47" s="2">
        <v>46</v>
      </c>
      <c r="B47" s="4">
        <f>SUM('TOTAL VOLUME'!B47*'UPS RATES'!B48)</f>
        <v>20.87</v>
      </c>
      <c r="C47" s="4">
        <f>SUM('TOTAL VOLUME'!C47*'UPS RATES'!C48)</f>
        <v>0</v>
      </c>
      <c r="D47" s="4">
        <f>SUM('TOTAL VOLUME'!D47*'UPS RATES'!D48)</f>
        <v>0</v>
      </c>
      <c r="E47" s="4">
        <f>SUM('TOTAL VOLUME'!E47*'UPS RATES'!E48)</f>
        <v>46.65</v>
      </c>
      <c r="F47" s="4">
        <f>SUM('TOTAL VOLUME'!F47*'UPS RATES'!F48)</f>
        <v>0</v>
      </c>
      <c r="G47" s="4">
        <f>SUM('TOTAL VOLUME'!G47*'UPS RATES'!G48)</f>
        <v>0</v>
      </c>
      <c r="H47" s="4">
        <f>SUM('TOTAL VOLUME'!H47*'UPS RATES'!H48)</f>
        <v>82.63</v>
      </c>
      <c r="I47" s="4">
        <f>SUM('TOTAL VOLUME'!I47*'UPS RATES'!I48)</f>
        <v>0</v>
      </c>
      <c r="J47" s="4">
        <f>SUM('TOTAL VOLUME'!J47*'UPS RATES'!J48)</f>
        <v>0</v>
      </c>
      <c r="K47" s="4">
        <f>SUM('TOTAL VOLUME'!K47*'UPS RATES'!K48)</f>
        <v>0</v>
      </c>
      <c r="L47" s="4">
        <f>SUM('TOTAL VOLUME'!L47*'UPS RATES'!L48)</f>
        <v>43.87</v>
      </c>
      <c r="M47" s="4">
        <f>SUM('TOTAL VOLUME'!M47*'UPS RATES'!M48)</f>
        <v>0</v>
      </c>
      <c r="N47" s="4">
        <f>SUM('TOTAL VOLUME'!N47*'UPS RATES'!N48)</f>
        <v>71.64</v>
      </c>
      <c r="O47" s="4">
        <f>SUM('TOTAL VOLUME'!O47*'UPS RATES'!O48)</f>
        <v>0</v>
      </c>
      <c r="P47" s="4">
        <f>SUM('TOTAL VOLUME'!P47*'UPS RATES'!P48)</f>
        <v>274.75</v>
      </c>
      <c r="Q47" s="4">
        <f>SUM('TOTAL VOLUME'!Q47*'UPS RATES'!Q48)</f>
        <v>241.02</v>
      </c>
      <c r="R47" s="4">
        <f>SUM('TOTAL VOLUME'!R47*'UPS RATES'!R48)</f>
        <v>413.66</v>
      </c>
      <c r="S47" s="4">
        <f>SUM('TOTAL VOLUME'!S47*'UPS RATES'!S48)</f>
        <v>611.20000000000005</v>
      </c>
      <c r="T47" s="4">
        <f>SUM('TOTAL VOLUME'!T47*'UPS RATES'!T48)</f>
        <v>504.84</v>
      </c>
      <c r="U47" s="4">
        <f>SUM('TOTAL VOLUME'!U47*'UPS RATES'!U48)</f>
        <v>486.71</v>
      </c>
      <c r="V47" s="4">
        <f>SUM('TOTAL VOLUME'!V47*'UPS RATES'!V48)</f>
        <v>1663.48</v>
      </c>
      <c r="W47" s="4">
        <f>SUM('TOTAL VOLUME'!W47*'UPS RATES'!W48)</f>
        <v>634.92000000000007</v>
      </c>
      <c r="X47" s="4">
        <f>SUM('TOTAL VOLUME'!X47*'UPS RATES'!X48)</f>
        <v>208.20000000000002</v>
      </c>
      <c r="Y47" s="4">
        <f>SUM('TOTAL VOLUME'!Y47*'UPS RATES'!Y48)</f>
        <v>402.72</v>
      </c>
      <c r="Z47" s="4">
        <f>SUM('TOTAL VOLUME'!Z47*'UPS RATES'!Z48)</f>
        <v>1017.5200000000001</v>
      </c>
      <c r="AA47" s="4">
        <f>SUM('TOTAL VOLUME'!AA47*'UPS RATES'!AA48)</f>
        <v>1586.9699999999998</v>
      </c>
      <c r="AB47" s="4">
        <f>SUM('TOTAL VOLUME'!AB47*'UPS RATES'!AB48)</f>
        <v>643.04</v>
      </c>
      <c r="AC47" s="4">
        <f>SUM('TOTAL VOLUME'!AC47*'UPS RATES'!AC48)</f>
        <v>2418.08</v>
      </c>
    </row>
    <row r="48" spans="1:29" x14ac:dyDescent="0.2">
      <c r="A48" s="2">
        <v>47</v>
      </c>
      <c r="B48" s="4">
        <f>SUM('TOTAL VOLUME'!B48*'UPS RATES'!B49)</f>
        <v>0</v>
      </c>
      <c r="C48" s="4">
        <f>SUM('TOTAL VOLUME'!C48*'UPS RATES'!C49)</f>
        <v>0</v>
      </c>
      <c r="D48" s="4">
        <f>SUM('TOTAL VOLUME'!D48*'UPS RATES'!D49)</f>
        <v>32.31</v>
      </c>
      <c r="E48" s="4">
        <f>SUM('TOTAL VOLUME'!E48*'UPS RATES'!E49)</f>
        <v>0</v>
      </c>
      <c r="F48" s="4">
        <f>SUM('TOTAL VOLUME'!F48*'UPS RATES'!F49)</f>
        <v>0</v>
      </c>
      <c r="G48" s="4">
        <f>SUM('TOTAL VOLUME'!G48*'UPS RATES'!G49)</f>
        <v>79.56</v>
      </c>
      <c r="H48" s="4">
        <f>SUM('TOTAL VOLUME'!H48*'UPS RATES'!H49)</f>
        <v>333.68</v>
      </c>
      <c r="I48" s="4">
        <f>SUM('TOTAL VOLUME'!I48*'UPS RATES'!I49)</f>
        <v>0</v>
      </c>
      <c r="J48" s="4">
        <f>SUM('TOTAL VOLUME'!J48*'UPS RATES'!J49)</f>
        <v>0</v>
      </c>
      <c r="K48" s="4">
        <f>SUM('TOTAL VOLUME'!K48*'UPS RATES'!K49)</f>
        <v>0</v>
      </c>
      <c r="L48" s="4">
        <f>SUM('TOTAL VOLUME'!L48*'UPS RATES'!L49)</f>
        <v>88.1</v>
      </c>
      <c r="M48" s="4">
        <f>SUM('TOTAL VOLUME'!M48*'UPS RATES'!M49)</f>
        <v>0</v>
      </c>
      <c r="N48" s="4">
        <f>SUM('TOTAL VOLUME'!N48*'UPS RATES'!N49)</f>
        <v>0</v>
      </c>
      <c r="O48" s="4">
        <f>SUM('TOTAL VOLUME'!O48*'UPS RATES'!O49)</f>
        <v>83.14</v>
      </c>
      <c r="P48" s="4">
        <f>SUM('TOTAL VOLUME'!P48*'UPS RATES'!P49)</f>
        <v>320.15999999999997</v>
      </c>
      <c r="Q48" s="4">
        <f>SUM('TOTAL VOLUME'!Q48*'UPS RATES'!Q49)</f>
        <v>123.21</v>
      </c>
      <c r="R48" s="4">
        <f>SUM('TOTAL VOLUME'!R48*'UPS RATES'!R49)</f>
        <v>210.08</v>
      </c>
      <c r="S48" s="4">
        <f>SUM('TOTAL VOLUME'!S48*'UPS RATES'!S49)</f>
        <v>384.6</v>
      </c>
      <c r="T48" s="4">
        <f>SUM('TOTAL VOLUME'!T48*'UPS RATES'!T49)</f>
        <v>657.99</v>
      </c>
      <c r="U48" s="4">
        <f>SUM('TOTAL VOLUME'!U48*'UPS RATES'!U49)</f>
        <v>437.7</v>
      </c>
      <c r="V48" s="4">
        <f>SUM('TOTAL VOLUME'!V48*'UPS RATES'!V49)</f>
        <v>1690.52</v>
      </c>
      <c r="W48" s="4">
        <f>SUM('TOTAL VOLUME'!W48*'UPS RATES'!W49)</f>
        <v>842.52</v>
      </c>
      <c r="X48" s="4">
        <f>SUM('TOTAL VOLUME'!X48*'UPS RATES'!X49)</f>
        <v>387.31</v>
      </c>
      <c r="Y48" s="4">
        <f>SUM('TOTAL VOLUME'!Y48*'UPS RATES'!Y49)</f>
        <v>2689.6</v>
      </c>
      <c r="Z48" s="4">
        <f>SUM('TOTAL VOLUME'!Z48*'UPS RATES'!Z49)</f>
        <v>4158.7199999999993</v>
      </c>
      <c r="AA48" s="4">
        <f>SUM('TOTAL VOLUME'!AA48*'UPS RATES'!AA49)</f>
        <v>4260.4799999999996</v>
      </c>
      <c r="AB48" s="4">
        <f>SUM('TOTAL VOLUME'!AB48*'UPS RATES'!AB49)</f>
        <v>2660.46</v>
      </c>
      <c r="AC48" s="4">
        <f>SUM('TOTAL VOLUME'!AC48*'UPS RATES'!AC49)</f>
        <v>7553.3399999999992</v>
      </c>
    </row>
    <row r="49" spans="1:29" x14ac:dyDescent="0.2">
      <c r="A49" s="2">
        <v>48</v>
      </c>
      <c r="B49" s="4">
        <f>SUM('TOTAL VOLUME'!B49*'UPS RATES'!B50)</f>
        <v>42.74</v>
      </c>
      <c r="C49" s="4">
        <f>SUM('TOTAL VOLUME'!C49*'UPS RATES'!C50)</f>
        <v>0</v>
      </c>
      <c r="D49" s="4">
        <f>SUM('TOTAL VOLUME'!D49*'UPS RATES'!D50)</f>
        <v>0</v>
      </c>
      <c r="E49" s="4">
        <f>SUM('TOTAL VOLUME'!E49*'UPS RATES'!E50)</f>
        <v>234.65</v>
      </c>
      <c r="F49" s="4">
        <f>SUM('TOTAL VOLUME'!F49*'UPS RATES'!F50)</f>
        <v>0</v>
      </c>
      <c r="G49" s="4">
        <f>SUM('TOTAL VOLUME'!G49*'UPS RATES'!G50)</f>
        <v>0</v>
      </c>
      <c r="H49" s="4">
        <f>SUM('TOTAL VOLUME'!H49*'UPS RATES'!H50)</f>
        <v>0</v>
      </c>
      <c r="I49" s="4">
        <f>SUM('TOTAL VOLUME'!I49*'UPS RATES'!I50)</f>
        <v>0</v>
      </c>
      <c r="J49" s="4">
        <f>SUM('TOTAL VOLUME'!J49*'UPS RATES'!J50)</f>
        <v>0</v>
      </c>
      <c r="K49" s="4">
        <f>SUM('TOTAL VOLUME'!K49*'UPS RATES'!K50)</f>
        <v>0</v>
      </c>
      <c r="L49" s="4">
        <f>SUM('TOTAL VOLUME'!L49*'UPS RATES'!L50)</f>
        <v>45.57</v>
      </c>
      <c r="M49" s="4">
        <f>SUM('TOTAL VOLUME'!M49*'UPS RATES'!M50)</f>
        <v>0</v>
      </c>
      <c r="N49" s="4">
        <f>SUM('TOTAL VOLUME'!N49*'UPS RATES'!N50)</f>
        <v>76.319999999999993</v>
      </c>
      <c r="O49" s="4">
        <f>SUM('TOTAL VOLUME'!O49*'UPS RATES'!O50)</f>
        <v>0</v>
      </c>
      <c r="P49" s="4">
        <f>SUM('TOTAL VOLUME'!P49*'UPS RATES'!P50)</f>
        <v>397.43999999999994</v>
      </c>
      <c r="Q49" s="4">
        <f>SUM('TOTAL VOLUME'!Q49*'UPS RATES'!Q50)</f>
        <v>68.899999999999991</v>
      </c>
      <c r="R49" s="4">
        <f>SUM('TOTAL VOLUME'!R49*'UPS RATES'!R50)</f>
        <v>228.48000000000002</v>
      </c>
      <c r="S49" s="4">
        <f>SUM('TOTAL VOLUME'!S49*'UPS RATES'!S50)</f>
        <v>694.05</v>
      </c>
      <c r="T49" s="4">
        <f>SUM('TOTAL VOLUME'!T49*'UPS RATES'!T50)</f>
        <v>470.05999999999995</v>
      </c>
      <c r="U49" s="4">
        <f>SUM('TOTAL VOLUME'!U49*'UPS RATES'!U50)</f>
        <v>382.84999999999997</v>
      </c>
      <c r="V49" s="4">
        <f>SUM('TOTAL VOLUME'!V49*'UPS RATES'!V50)</f>
        <v>2608.5800000000004</v>
      </c>
      <c r="W49" s="4">
        <f>SUM('TOTAL VOLUME'!W49*'UPS RATES'!W50)</f>
        <v>576.38</v>
      </c>
      <c r="X49" s="4">
        <f>SUM('TOTAL VOLUME'!X49*'UPS RATES'!X50)</f>
        <v>282.24</v>
      </c>
      <c r="Y49" s="4">
        <f>SUM('TOTAL VOLUME'!Y49*'UPS RATES'!Y50)</f>
        <v>269.60000000000002</v>
      </c>
      <c r="Z49" s="4">
        <f>SUM('TOTAL VOLUME'!Z49*'UPS RATES'!Z50)</f>
        <v>1032.92</v>
      </c>
      <c r="AA49" s="4">
        <f>SUM('TOTAL VOLUME'!AA49*'UPS RATES'!AA50)</f>
        <v>1066.24</v>
      </c>
      <c r="AB49" s="4">
        <f>SUM('TOTAL VOLUME'!AB49*'UPS RATES'!AB50)</f>
        <v>902.99</v>
      </c>
      <c r="AC49" s="4">
        <f>SUM('TOTAL VOLUME'!AC49*'UPS RATES'!AC50)</f>
        <v>2260.1800000000003</v>
      </c>
    </row>
    <row r="50" spans="1:29" x14ac:dyDescent="0.2">
      <c r="A50" s="2">
        <v>49</v>
      </c>
      <c r="B50" s="4">
        <f>SUM('TOTAL VOLUME'!B50*'UPS RATES'!B51)</f>
        <v>0</v>
      </c>
      <c r="C50" s="4">
        <f>SUM('TOTAL VOLUME'!C50*'UPS RATES'!C51)</f>
        <v>0</v>
      </c>
      <c r="D50" s="4">
        <f>SUM('TOTAL VOLUME'!D50*'UPS RATES'!D51)</f>
        <v>0</v>
      </c>
      <c r="E50" s="4">
        <f>SUM('TOTAL VOLUME'!E50*'UPS RATES'!E51)</f>
        <v>93.9</v>
      </c>
      <c r="F50" s="4">
        <f>SUM('TOTAL VOLUME'!F50*'UPS RATES'!F51)</f>
        <v>0</v>
      </c>
      <c r="G50" s="4">
        <f>SUM('TOTAL VOLUME'!G50*'UPS RATES'!G51)</f>
        <v>0</v>
      </c>
      <c r="H50" s="4">
        <f>SUM('TOTAL VOLUME'!H50*'UPS RATES'!H51)</f>
        <v>84.16</v>
      </c>
      <c r="I50" s="4">
        <f>SUM('TOTAL VOLUME'!I50*'UPS RATES'!I51)</f>
        <v>0</v>
      </c>
      <c r="J50" s="4">
        <f>SUM('TOTAL VOLUME'!J50*'UPS RATES'!J51)</f>
        <v>0</v>
      </c>
      <c r="K50" s="4">
        <f>SUM('TOTAL VOLUME'!K50*'UPS RATES'!K51)</f>
        <v>0</v>
      </c>
      <c r="L50" s="4">
        <f>SUM('TOTAL VOLUME'!L50*'UPS RATES'!L51)</f>
        <v>0</v>
      </c>
      <c r="M50" s="4">
        <f>SUM('TOTAL VOLUME'!M50*'UPS RATES'!M51)</f>
        <v>0</v>
      </c>
      <c r="N50" s="4">
        <f>SUM('TOTAL VOLUME'!N50*'UPS RATES'!N51)</f>
        <v>0</v>
      </c>
      <c r="O50" s="4">
        <f>SUM('TOTAL VOLUME'!O50*'UPS RATES'!O51)</f>
        <v>0</v>
      </c>
      <c r="P50" s="4">
        <f>SUM('TOTAL VOLUME'!P50*'UPS RATES'!P51)</f>
        <v>276.25</v>
      </c>
      <c r="Q50" s="4">
        <f>SUM('TOTAL VOLUME'!Q50*'UPS RATES'!Q51)</f>
        <v>137.89999999999998</v>
      </c>
      <c r="R50" s="4">
        <f>SUM('TOTAL VOLUME'!R50*'UPS RATES'!R51)</f>
        <v>130.80000000000001</v>
      </c>
      <c r="S50" s="4">
        <f>SUM('TOTAL VOLUME'!S50*'UPS RATES'!S51)</f>
        <v>416.42999999999995</v>
      </c>
      <c r="T50" s="4">
        <f>SUM('TOTAL VOLUME'!T50*'UPS RATES'!T51)</f>
        <v>249.20000000000002</v>
      </c>
      <c r="U50" s="4">
        <f>SUM('TOTAL VOLUME'!U50*'UPS RATES'!U51)</f>
        <v>180.24</v>
      </c>
      <c r="V50" s="4">
        <f>SUM('TOTAL VOLUME'!V50*'UPS RATES'!V51)</f>
        <v>597.96</v>
      </c>
      <c r="W50" s="4">
        <f>SUM('TOTAL VOLUME'!W50*'UPS RATES'!W51)</f>
        <v>952.66</v>
      </c>
      <c r="X50" s="4">
        <f>SUM('TOTAL VOLUME'!X50*'UPS RATES'!X51)</f>
        <v>671.08</v>
      </c>
      <c r="Y50" s="4">
        <f>SUM('TOTAL VOLUME'!Y50*'UPS RATES'!Y51)</f>
        <v>3168.7400000000002</v>
      </c>
      <c r="Z50" s="4">
        <f>SUM('TOTAL VOLUME'!Z50*'UPS RATES'!Z51)</f>
        <v>6051.5999999999995</v>
      </c>
      <c r="AA50" s="4">
        <f>SUM('TOTAL VOLUME'!AA50*'UPS RATES'!AA51)</f>
        <v>4267.2</v>
      </c>
      <c r="AB50" s="4">
        <f>SUM('TOTAL VOLUME'!AB50*'UPS RATES'!AB51)</f>
        <v>2463.8999999999996</v>
      </c>
      <c r="AC50" s="4">
        <f>SUM('TOTAL VOLUME'!AC50*'UPS RATES'!AC51)</f>
        <v>9654.7800000000007</v>
      </c>
    </row>
    <row r="51" spans="1:29" x14ac:dyDescent="0.2">
      <c r="A51" s="2">
        <v>50</v>
      </c>
      <c r="B51" s="4">
        <f>SUM('TOTAL VOLUME'!B51*'UPS RATES'!B52)</f>
        <v>0</v>
      </c>
      <c r="C51" s="4">
        <f>SUM('TOTAL VOLUME'!C51*'UPS RATES'!C52)</f>
        <v>52.62</v>
      </c>
      <c r="D51" s="4">
        <f>SUM('TOTAL VOLUME'!D51*'UPS RATES'!D52)</f>
        <v>0</v>
      </c>
      <c r="E51" s="4">
        <f>SUM('TOTAL VOLUME'!E51*'UPS RATES'!E52)</f>
        <v>0</v>
      </c>
      <c r="F51" s="4">
        <f>SUM('TOTAL VOLUME'!F51*'UPS RATES'!F52)</f>
        <v>78.39</v>
      </c>
      <c r="G51" s="4">
        <f>SUM('TOTAL VOLUME'!G51*'UPS RATES'!G52)</f>
        <v>82.63</v>
      </c>
      <c r="H51" s="4">
        <f>SUM('TOTAL VOLUME'!H51*'UPS RATES'!H52)</f>
        <v>337.16</v>
      </c>
      <c r="I51" s="4">
        <f>SUM('TOTAL VOLUME'!I51*'UPS RATES'!I52)</f>
        <v>20.52</v>
      </c>
      <c r="J51" s="4">
        <f>SUM('TOTAL VOLUME'!J51*'UPS RATES'!J52)</f>
        <v>0</v>
      </c>
      <c r="K51" s="4">
        <f>SUM('TOTAL VOLUME'!K51*'UPS RATES'!K52)</f>
        <v>0</v>
      </c>
      <c r="L51" s="4">
        <f>SUM('TOTAL VOLUME'!L51*'UPS RATES'!L52)</f>
        <v>0</v>
      </c>
      <c r="M51" s="4">
        <f>SUM('TOTAL VOLUME'!M51*'UPS RATES'!M52)</f>
        <v>0</v>
      </c>
      <c r="N51" s="4">
        <f>SUM('TOTAL VOLUME'!N51*'UPS RATES'!N52)</f>
        <v>0</v>
      </c>
      <c r="O51" s="4">
        <f>SUM('TOTAL VOLUME'!O51*'UPS RATES'!O52)</f>
        <v>86.61</v>
      </c>
      <c r="P51" s="4">
        <f>SUM('TOTAL VOLUME'!P51*'UPS RATES'!P52)</f>
        <v>221</v>
      </c>
      <c r="Q51" s="4">
        <f>SUM('TOTAL VOLUME'!Q51*'UPS RATES'!Q52)</f>
        <v>41.400000000000006</v>
      </c>
      <c r="R51" s="4">
        <f>SUM('TOTAL VOLUME'!R51*'UPS RATES'!R52)</f>
        <v>196.44</v>
      </c>
      <c r="S51" s="4">
        <f>SUM('TOTAL VOLUME'!S51*'UPS RATES'!S52)</f>
        <v>297.75</v>
      </c>
      <c r="T51" s="4">
        <f>SUM('TOTAL VOLUME'!T51*'UPS RATES'!T52)</f>
        <v>498.40000000000003</v>
      </c>
      <c r="U51" s="4">
        <f>SUM('TOTAL VOLUME'!U51*'UPS RATES'!U52)</f>
        <v>180.3</v>
      </c>
      <c r="V51" s="4">
        <f>SUM('TOTAL VOLUME'!V51*'UPS RATES'!V52)</f>
        <v>801.59999999999991</v>
      </c>
      <c r="W51" s="4">
        <f>SUM('TOTAL VOLUME'!W51*'UPS RATES'!W52)</f>
        <v>476.52</v>
      </c>
      <c r="X51" s="4">
        <f>SUM('TOTAL VOLUME'!X51*'UPS RATES'!X52)</f>
        <v>284.16000000000003</v>
      </c>
      <c r="Y51" s="4">
        <f>SUM('TOTAL VOLUME'!Y51*'UPS RATES'!Y52)</f>
        <v>472.28999999999996</v>
      </c>
      <c r="Z51" s="4">
        <f>SUM('TOTAL VOLUME'!Z51*'UPS RATES'!Z52)</f>
        <v>443.40000000000003</v>
      </c>
      <c r="AA51" s="4">
        <f>SUM('TOTAL VOLUME'!AA51*'UPS RATES'!AA52)</f>
        <v>994.5</v>
      </c>
      <c r="AB51" s="4">
        <f>SUM('TOTAL VOLUME'!AB51*'UPS RATES'!AB52)</f>
        <v>164.62</v>
      </c>
      <c r="AC51" s="4">
        <f>SUM('TOTAL VOLUME'!AC51*'UPS RATES'!AC52)</f>
        <v>1221.22</v>
      </c>
    </row>
    <row r="52" spans="1:29" x14ac:dyDescent="0.2">
      <c r="A52" s="2">
        <v>51</v>
      </c>
      <c r="B52" s="4">
        <f>SUM('TOTAL VOLUME'!B52*'UPS RATES'!B53)</f>
        <v>21.69</v>
      </c>
      <c r="C52" s="4">
        <f>SUM('TOTAL VOLUME'!C52*'UPS RATES'!C53)</f>
        <v>0</v>
      </c>
      <c r="D52" s="4">
        <f>SUM('TOTAL VOLUME'!D52*'UPS RATES'!D53)</f>
        <v>0</v>
      </c>
      <c r="E52" s="4">
        <f>SUM('TOTAL VOLUME'!E52*'UPS RATES'!E53)</f>
        <v>97</v>
      </c>
      <c r="F52" s="4">
        <f>SUM('TOTAL VOLUME'!F52*'UPS RATES'!F53)</f>
        <v>0</v>
      </c>
      <c r="G52" s="4">
        <f>SUM('TOTAL VOLUME'!G52*'UPS RATES'!G53)</f>
        <v>0</v>
      </c>
      <c r="H52" s="4">
        <f>SUM('TOTAL VOLUME'!H52*'UPS RATES'!H53)</f>
        <v>0</v>
      </c>
      <c r="I52" s="4">
        <f>SUM('TOTAL VOLUME'!I52*'UPS RATES'!I53)</f>
        <v>0</v>
      </c>
      <c r="J52" s="4">
        <f>SUM('TOTAL VOLUME'!J52*'UPS RATES'!J53)</f>
        <v>0</v>
      </c>
      <c r="K52" s="4">
        <f>SUM('TOTAL VOLUME'!K52*'UPS RATES'!K53)</f>
        <v>0</v>
      </c>
      <c r="L52" s="4">
        <f>SUM('TOTAL VOLUME'!L52*'UPS RATES'!L53)</f>
        <v>0</v>
      </c>
      <c r="M52" s="4">
        <f>SUM('TOTAL VOLUME'!M52*'UPS RATES'!M53)</f>
        <v>0</v>
      </c>
      <c r="N52" s="4">
        <f>SUM('TOTAL VOLUME'!N52*'UPS RATES'!N53)</f>
        <v>78.52</v>
      </c>
      <c r="O52" s="4">
        <f>SUM('TOTAL VOLUME'!O52*'UPS RATES'!O53)</f>
        <v>90.76</v>
      </c>
      <c r="P52" s="4">
        <f>SUM('TOTAL VOLUME'!P52*'UPS RATES'!P53)</f>
        <v>232.68</v>
      </c>
      <c r="Q52" s="4">
        <f>SUM('TOTAL VOLUME'!Q52*'UPS RATES'!Q53)</f>
        <v>41.400000000000006</v>
      </c>
      <c r="R52" s="4">
        <f>SUM('TOTAL VOLUME'!R52*'UPS RATES'!R53)</f>
        <v>311.59999999999997</v>
      </c>
      <c r="S52" s="4">
        <f>SUM('TOTAL VOLUME'!S52*'UPS RATES'!S53)</f>
        <v>338.13</v>
      </c>
      <c r="T52" s="4">
        <f>SUM('TOTAL VOLUME'!T52*'UPS RATES'!T53)</f>
        <v>651.30000000000007</v>
      </c>
      <c r="U52" s="4">
        <f>SUM('TOTAL VOLUME'!U52*'UPS RATES'!U53)</f>
        <v>211.4</v>
      </c>
      <c r="V52" s="4">
        <f>SUM('TOTAL VOLUME'!V52*'UPS RATES'!V53)</f>
        <v>848</v>
      </c>
      <c r="W52" s="4">
        <f>SUM('TOTAL VOLUME'!W52*'UPS RATES'!W53)</f>
        <v>389.34</v>
      </c>
      <c r="X52" s="4">
        <f>SUM('TOTAL VOLUME'!X52*'UPS RATES'!X53)</f>
        <v>195.39999999999998</v>
      </c>
      <c r="Y52" s="4">
        <f>SUM('TOTAL VOLUME'!Y52*'UPS RATES'!Y53)</f>
        <v>647.64</v>
      </c>
      <c r="Z52" s="4">
        <f>SUM('TOTAL VOLUME'!Z52*'UPS RATES'!Z53)</f>
        <v>560.63</v>
      </c>
      <c r="AA52" s="4">
        <f>SUM('TOTAL VOLUME'!AA52*'UPS RATES'!AA53)</f>
        <v>653.76</v>
      </c>
      <c r="AB52" s="4">
        <f>SUM('TOTAL VOLUME'!AB52*'UPS RATES'!AB53)</f>
        <v>265.26</v>
      </c>
      <c r="AC52" s="4">
        <f>SUM('TOTAL VOLUME'!AC52*'UPS RATES'!AC53)</f>
        <v>1370.1000000000001</v>
      </c>
    </row>
    <row r="53" spans="1:29" x14ac:dyDescent="0.2">
      <c r="A53" s="2">
        <v>52</v>
      </c>
      <c r="B53" s="4">
        <f>SUM('TOTAL VOLUME'!B53*'UPS RATES'!B54)</f>
        <v>0</v>
      </c>
      <c r="C53" s="4">
        <f>SUM('TOTAL VOLUME'!C53*'UPS RATES'!C54)</f>
        <v>0</v>
      </c>
      <c r="D53" s="4">
        <f>SUM('TOTAL VOLUME'!D53*'UPS RATES'!D54)</f>
        <v>0</v>
      </c>
      <c r="E53" s="4">
        <f>SUM('TOTAL VOLUME'!E53*'UPS RATES'!E54)</f>
        <v>0</v>
      </c>
      <c r="F53" s="4">
        <f>SUM('TOTAL VOLUME'!F53*'UPS RATES'!F54)</f>
        <v>83.41</v>
      </c>
      <c r="G53" s="4">
        <f>SUM('TOTAL VOLUME'!G53*'UPS RATES'!G54)</f>
        <v>0</v>
      </c>
      <c r="H53" s="4">
        <f>SUM('TOTAL VOLUME'!H53*'UPS RATES'!H54)</f>
        <v>93.13</v>
      </c>
      <c r="I53" s="4">
        <f>SUM('TOTAL VOLUME'!I53*'UPS RATES'!I54)</f>
        <v>0</v>
      </c>
      <c r="J53" s="4">
        <f>SUM('TOTAL VOLUME'!J53*'UPS RATES'!J54)</f>
        <v>0</v>
      </c>
      <c r="K53" s="4">
        <f>SUM('TOTAL VOLUME'!K53*'UPS RATES'!K54)</f>
        <v>0</v>
      </c>
      <c r="L53" s="4">
        <f>SUM('TOTAL VOLUME'!L53*'UPS RATES'!L54)</f>
        <v>0</v>
      </c>
      <c r="M53" s="4">
        <f>SUM('TOTAL VOLUME'!M53*'UPS RATES'!M54)</f>
        <v>0</v>
      </c>
      <c r="N53" s="4">
        <f>SUM('TOTAL VOLUME'!N53*'UPS RATES'!N54)</f>
        <v>0</v>
      </c>
      <c r="O53" s="4">
        <f>SUM('TOTAL VOLUME'!O53*'UPS RATES'!O54)</f>
        <v>91.69</v>
      </c>
      <c r="P53" s="4">
        <f>SUM('TOTAL VOLUME'!P53*'UPS RATES'!P54)</f>
        <v>121.99</v>
      </c>
      <c r="Q53" s="4">
        <f>SUM('TOTAL VOLUME'!Q53*'UPS RATES'!Q54)</f>
        <v>41.43</v>
      </c>
      <c r="R53" s="4">
        <f>SUM('TOTAL VOLUME'!R53*'UPS RATES'!R54)</f>
        <v>180.51</v>
      </c>
      <c r="S53" s="4">
        <f>SUM('TOTAL VOLUME'!S53*'UPS RATES'!S54)</f>
        <v>159.19999999999999</v>
      </c>
      <c r="T53" s="4">
        <f>SUM('TOTAL VOLUME'!T53*'UPS RATES'!T54)</f>
        <v>175.35</v>
      </c>
      <c r="U53" s="4">
        <f>SUM('TOTAL VOLUME'!U53*'UPS RATES'!U54)</f>
        <v>151.05000000000001</v>
      </c>
      <c r="V53" s="4">
        <f>SUM('TOTAL VOLUME'!V53*'UPS RATES'!V54)</f>
        <v>305.28000000000003</v>
      </c>
      <c r="W53" s="4">
        <f>SUM('TOTAL VOLUME'!W53*'UPS RATES'!W54)</f>
        <v>593.04</v>
      </c>
      <c r="X53" s="4">
        <f>SUM('TOTAL VOLUME'!X53*'UPS RATES'!X54)</f>
        <v>164.48</v>
      </c>
      <c r="Y53" s="4">
        <f>SUM('TOTAL VOLUME'!Y53*'UPS RATES'!Y54)</f>
        <v>77.099999999999994</v>
      </c>
      <c r="Z53" s="4">
        <f>SUM('TOTAL VOLUME'!Z53*'UPS RATES'!Z54)</f>
        <v>653.28</v>
      </c>
      <c r="AA53" s="4">
        <f>SUM('TOTAL VOLUME'!AA53*'UPS RATES'!AA54)</f>
        <v>423.54999999999995</v>
      </c>
      <c r="AB53" s="4">
        <f>SUM('TOTAL VOLUME'!AB53*'UPS RATES'!AB54)</f>
        <v>183.74</v>
      </c>
      <c r="AC53" s="4">
        <f>SUM('TOTAL VOLUME'!AC53*'UPS RATES'!AC54)</f>
        <v>1541.92</v>
      </c>
    </row>
    <row r="54" spans="1:29" x14ac:dyDescent="0.2">
      <c r="A54" s="2">
        <v>53</v>
      </c>
      <c r="B54" s="4">
        <f>SUM('TOTAL VOLUME'!B54*'UPS RATES'!B55)</f>
        <v>0</v>
      </c>
      <c r="C54" s="4">
        <f>SUM('TOTAL VOLUME'!C54*'UPS RATES'!C55)</f>
        <v>0</v>
      </c>
      <c r="D54" s="4">
        <f>SUM('TOTAL VOLUME'!D54*'UPS RATES'!D55)</f>
        <v>36.35</v>
      </c>
      <c r="E54" s="4">
        <f>SUM('TOTAL VOLUME'!E54*'UPS RATES'!E55)</f>
        <v>0</v>
      </c>
      <c r="F54" s="4">
        <f>SUM('TOTAL VOLUME'!F54*'UPS RATES'!F55)</f>
        <v>0</v>
      </c>
      <c r="G54" s="4">
        <f>SUM('TOTAL VOLUME'!G54*'UPS RATES'!G55)</f>
        <v>91.68</v>
      </c>
      <c r="H54" s="4">
        <f>SUM('TOTAL VOLUME'!H54*'UPS RATES'!H55)</f>
        <v>187.54</v>
      </c>
      <c r="I54" s="4">
        <f>SUM('TOTAL VOLUME'!I54*'UPS RATES'!I55)</f>
        <v>0</v>
      </c>
      <c r="J54" s="4">
        <f>SUM('TOTAL VOLUME'!J54*'UPS RATES'!J55)</f>
        <v>0</v>
      </c>
      <c r="K54" s="4">
        <f>SUM('TOTAL VOLUME'!K54*'UPS RATES'!K55)</f>
        <v>0</v>
      </c>
      <c r="L54" s="4">
        <f>SUM('TOTAL VOLUME'!L54*'UPS RATES'!L55)</f>
        <v>0</v>
      </c>
      <c r="M54" s="4">
        <f>SUM('TOTAL VOLUME'!M54*'UPS RATES'!M55)</f>
        <v>0</v>
      </c>
      <c r="N54" s="4">
        <f>SUM('TOTAL VOLUME'!N54*'UPS RATES'!N55)</f>
        <v>0</v>
      </c>
      <c r="O54" s="4">
        <f>SUM('TOTAL VOLUME'!O54*'UPS RATES'!O55)</f>
        <v>0</v>
      </c>
      <c r="P54" s="4">
        <f>SUM('TOTAL VOLUME'!P54*'UPS RATES'!P55)</f>
        <v>133.07999999999998</v>
      </c>
      <c r="Q54" s="4">
        <f>SUM('TOTAL VOLUME'!Q54*'UPS RATES'!Q55)</f>
        <v>69.2</v>
      </c>
      <c r="R54" s="4">
        <f>SUM('TOTAL VOLUME'!R54*'UPS RATES'!R55)</f>
        <v>114.94000000000001</v>
      </c>
      <c r="S54" s="4">
        <f>SUM('TOTAL VOLUME'!S54*'UPS RATES'!S55)</f>
        <v>240.24</v>
      </c>
      <c r="T54" s="4">
        <f>SUM('TOTAL VOLUME'!T54*'UPS RATES'!T55)</f>
        <v>325.77999999999997</v>
      </c>
      <c r="U54" s="4">
        <f>SUM('TOTAL VOLUME'!U54*'UPS RATES'!U55)</f>
        <v>90.66</v>
      </c>
      <c r="V54" s="4">
        <f>SUM('TOTAL VOLUME'!V54*'UPS RATES'!V55)</f>
        <v>411.12</v>
      </c>
      <c r="W54" s="4">
        <f>SUM('TOTAL VOLUME'!W54*'UPS RATES'!W55)</f>
        <v>371.02</v>
      </c>
      <c r="X54" s="4">
        <f>SUM('TOTAL VOLUME'!X54*'UPS RATES'!X55)</f>
        <v>123.99</v>
      </c>
      <c r="Y54" s="4">
        <f>SUM('TOTAL VOLUME'!Y54*'UPS RATES'!Y55)</f>
        <v>232.86</v>
      </c>
      <c r="Z54" s="4">
        <f>SUM('TOTAL VOLUME'!Z54*'UPS RATES'!Z55)</f>
        <v>1001.64</v>
      </c>
      <c r="AA54" s="4">
        <f>SUM('TOTAL VOLUME'!AA54*'UPS RATES'!AA55)</f>
        <v>170.02</v>
      </c>
      <c r="AB54" s="4">
        <f>SUM('TOTAL VOLUME'!AB54*'UPS RATES'!AB55)</f>
        <v>288.87</v>
      </c>
      <c r="AC54" s="4">
        <f>SUM('TOTAL VOLUME'!AC54*'UPS RATES'!AC55)</f>
        <v>1377.04</v>
      </c>
    </row>
    <row r="55" spans="1:29" x14ac:dyDescent="0.2">
      <c r="A55" s="2">
        <v>54</v>
      </c>
      <c r="B55" s="4">
        <f>SUM('TOTAL VOLUME'!B55*'UPS RATES'!B56)</f>
        <v>0</v>
      </c>
      <c r="C55" s="4">
        <f>SUM('TOTAL VOLUME'!C55*'UPS RATES'!C56)</f>
        <v>28.74</v>
      </c>
      <c r="D55" s="4">
        <f>SUM('TOTAL VOLUME'!D55*'UPS RATES'!D56)</f>
        <v>0</v>
      </c>
      <c r="E55" s="4">
        <f>SUM('TOTAL VOLUME'!E55*'UPS RATES'!E56)</f>
        <v>0</v>
      </c>
      <c r="F55" s="4">
        <f>SUM('TOTAL VOLUME'!F55*'UPS RATES'!F56)</f>
        <v>0</v>
      </c>
      <c r="G55" s="4">
        <f>SUM('TOTAL VOLUME'!G55*'UPS RATES'!G56)</f>
        <v>92.05</v>
      </c>
      <c r="H55" s="4">
        <f>SUM('TOTAL VOLUME'!H55*'UPS RATES'!H56)</f>
        <v>0</v>
      </c>
      <c r="I55" s="4">
        <f>SUM('TOTAL VOLUME'!I55*'UPS RATES'!I56)</f>
        <v>0</v>
      </c>
      <c r="J55" s="4">
        <f>SUM('TOTAL VOLUME'!J55*'UPS RATES'!J56)</f>
        <v>0</v>
      </c>
      <c r="K55" s="4">
        <f>SUM('TOTAL VOLUME'!K55*'UPS RATES'!K56)</f>
        <v>0</v>
      </c>
      <c r="L55" s="4">
        <f>SUM('TOTAL VOLUME'!L55*'UPS RATES'!L56)</f>
        <v>0</v>
      </c>
      <c r="M55" s="4">
        <f>SUM('TOTAL VOLUME'!M55*'UPS RATES'!M56)</f>
        <v>0</v>
      </c>
      <c r="N55" s="4">
        <f>SUM('TOTAL VOLUME'!N55*'UPS RATES'!N56)</f>
        <v>0</v>
      </c>
      <c r="O55" s="4">
        <f>SUM('TOTAL VOLUME'!O55*'UPS RATES'!O56)</f>
        <v>0</v>
      </c>
      <c r="P55" s="4">
        <f>SUM('TOTAL VOLUME'!P55*'UPS RATES'!P56)</f>
        <v>99.81</v>
      </c>
      <c r="Q55" s="4">
        <f>SUM('TOTAL VOLUME'!Q55*'UPS RATES'!Q56)</f>
        <v>55.44</v>
      </c>
      <c r="R55" s="4">
        <f>SUM('TOTAL VOLUME'!R55*'UPS RATES'!R56)</f>
        <v>131.6</v>
      </c>
      <c r="S55" s="4">
        <f>SUM('TOTAL VOLUME'!S55*'UPS RATES'!S56)</f>
        <v>280.83999999999997</v>
      </c>
      <c r="T55" s="4">
        <f>SUM('TOTAL VOLUME'!T55*'UPS RATES'!T56)</f>
        <v>175.49</v>
      </c>
      <c r="U55" s="4">
        <f>SUM('TOTAL VOLUME'!U55*'UPS RATES'!U56)</f>
        <v>241.84</v>
      </c>
      <c r="V55" s="4">
        <f>SUM('TOTAL VOLUME'!V55*'UPS RATES'!V56)</f>
        <v>137.12</v>
      </c>
      <c r="W55" s="4">
        <f>SUM('TOTAL VOLUME'!W55*'UPS RATES'!W56)</f>
        <v>829.98</v>
      </c>
      <c r="X55" s="4">
        <f>SUM('TOTAL VOLUME'!X55*'UPS RATES'!X56)</f>
        <v>207.10000000000002</v>
      </c>
      <c r="Y55" s="4">
        <f>SUM('TOTAL VOLUME'!Y55*'UPS RATES'!Y56)</f>
        <v>388.5</v>
      </c>
      <c r="Z55" s="4">
        <f>SUM('TOTAL VOLUME'!Z55*'UPS RATES'!Z56)</f>
        <v>1769.46</v>
      </c>
      <c r="AA55" s="4">
        <f>SUM('TOTAL VOLUME'!AA55*'UPS RATES'!AA56)</f>
        <v>936.09999999999991</v>
      </c>
      <c r="AB55" s="4">
        <f>SUM('TOTAL VOLUME'!AB55*'UPS RATES'!AB56)</f>
        <v>96.73</v>
      </c>
      <c r="AC55" s="4">
        <f>SUM('TOTAL VOLUME'!AC55*'UPS RATES'!AC56)</f>
        <v>1478.4</v>
      </c>
    </row>
    <row r="56" spans="1:29" x14ac:dyDescent="0.2">
      <c r="A56" s="2">
        <v>55</v>
      </c>
      <c r="B56" s="4">
        <f>SUM('TOTAL VOLUME'!B56*'UPS RATES'!B57)</f>
        <v>24.46</v>
      </c>
      <c r="C56" s="4">
        <f>SUM('TOTAL VOLUME'!C56*'UPS RATES'!C57)</f>
        <v>28.86</v>
      </c>
      <c r="D56" s="4">
        <f>SUM('TOTAL VOLUME'!D56*'UPS RATES'!D57)</f>
        <v>0</v>
      </c>
      <c r="E56" s="4">
        <f>SUM('TOTAL VOLUME'!E56*'UPS RATES'!E57)</f>
        <v>51.79</v>
      </c>
      <c r="F56" s="4">
        <f>SUM('TOTAL VOLUME'!F56*'UPS RATES'!F57)</f>
        <v>87.3</v>
      </c>
      <c r="G56" s="4">
        <f>SUM('TOTAL VOLUME'!G56*'UPS RATES'!G57)</f>
        <v>0</v>
      </c>
      <c r="H56" s="4">
        <f>SUM('TOTAL VOLUME'!H56*'UPS RATES'!H57)</f>
        <v>94</v>
      </c>
      <c r="I56" s="4">
        <f>SUM('TOTAL VOLUME'!I56*'UPS RATES'!I57)</f>
        <v>0</v>
      </c>
      <c r="J56" s="4">
        <f>SUM('TOTAL VOLUME'!J56*'UPS RATES'!J57)</f>
        <v>0</v>
      </c>
      <c r="K56" s="4">
        <f>SUM('TOTAL VOLUME'!K56*'UPS RATES'!K57)</f>
        <v>0</v>
      </c>
      <c r="L56" s="4">
        <f>SUM('TOTAL VOLUME'!L56*'UPS RATES'!L57)</f>
        <v>0</v>
      </c>
      <c r="M56" s="4">
        <f>SUM('TOTAL VOLUME'!M56*'UPS RATES'!M57)</f>
        <v>0</v>
      </c>
      <c r="N56" s="4">
        <f>SUM('TOTAL VOLUME'!N56*'UPS RATES'!N57)</f>
        <v>0</v>
      </c>
      <c r="O56" s="4">
        <f>SUM('TOTAL VOLUME'!O56*'UPS RATES'!O57)</f>
        <v>191.36</v>
      </c>
      <c r="P56" s="4">
        <f>SUM('TOTAL VOLUME'!P56*'UPS RATES'!P57)</f>
        <v>166.5</v>
      </c>
      <c r="Q56" s="4">
        <f>SUM('TOTAL VOLUME'!Q56*'UPS RATES'!Q57)</f>
        <v>41.64</v>
      </c>
      <c r="R56" s="4">
        <f>SUM('TOTAL VOLUME'!R56*'UPS RATES'!R57)</f>
        <v>395.04</v>
      </c>
      <c r="S56" s="4">
        <f>SUM('TOTAL VOLUME'!S56*'UPS RATES'!S57)</f>
        <v>261.95</v>
      </c>
      <c r="T56" s="4">
        <f>SUM('TOTAL VOLUME'!T56*'UPS RATES'!T57)</f>
        <v>301.08</v>
      </c>
      <c r="U56" s="4">
        <f>SUM('TOTAL VOLUME'!U56*'UPS RATES'!U57)</f>
        <v>120.88</v>
      </c>
      <c r="V56" s="4">
        <f>SUM('TOTAL VOLUME'!V56*'UPS RATES'!V57)</f>
        <v>377.41</v>
      </c>
      <c r="W56" s="4">
        <f>SUM('TOTAL VOLUME'!W56*'UPS RATES'!W57)</f>
        <v>488.41</v>
      </c>
      <c r="X56" s="4">
        <f>SUM('TOTAL VOLUME'!X56*'UPS RATES'!X57)</f>
        <v>421.4</v>
      </c>
      <c r="Y56" s="4">
        <f>SUM('TOTAL VOLUME'!Y56*'UPS RATES'!Y57)</f>
        <v>469.56000000000006</v>
      </c>
      <c r="Z56" s="4">
        <f>SUM('TOTAL VOLUME'!Z56*'UPS RATES'!Z57)</f>
        <v>1604.7399999999998</v>
      </c>
      <c r="AA56" s="4">
        <f>SUM('TOTAL VOLUME'!AA56*'UPS RATES'!AA57)</f>
        <v>767.79</v>
      </c>
      <c r="AB56" s="4">
        <f>SUM('TOTAL VOLUME'!AB56*'UPS RATES'!AB57)</f>
        <v>483.7</v>
      </c>
      <c r="AC56" s="4">
        <f>SUM('TOTAL VOLUME'!AC56*'UPS RATES'!AC57)</f>
        <v>1874.16</v>
      </c>
    </row>
    <row r="57" spans="1:29" x14ac:dyDescent="0.2">
      <c r="A57" s="2">
        <v>56</v>
      </c>
      <c r="B57" s="4">
        <f>SUM('TOTAL VOLUME'!B57*'UPS RATES'!B58)</f>
        <v>24.65</v>
      </c>
      <c r="C57" s="4">
        <f>SUM('TOTAL VOLUME'!C57*'UPS RATES'!C58)</f>
        <v>0</v>
      </c>
      <c r="D57" s="4">
        <f>SUM('TOTAL VOLUME'!D57*'UPS RATES'!D58)</f>
        <v>0</v>
      </c>
      <c r="E57" s="4">
        <f>SUM('TOTAL VOLUME'!E57*'UPS RATES'!E58)</f>
        <v>0</v>
      </c>
      <c r="F57" s="4">
        <f>SUM('TOTAL VOLUME'!F57*'UPS RATES'!F58)</f>
        <v>0</v>
      </c>
      <c r="G57" s="4">
        <f>SUM('TOTAL VOLUME'!G57*'UPS RATES'!G58)</f>
        <v>0</v>
      </c>
      <c r="H57" s="4">
        <f>SUM('TOTAL VOLUME'!H57*'UPS RATES'!H58)</f>
        <v>188.24</v>
      </c>
      <c r="I57" s="4">
        <f>SUM('TOTAL VOLUME'!I57*'UPS RATES'!I58)</f>
        <v>0</v>
      </c>
      <c r="J57" s="4">
        <f>SUM('TOTAL VOLUME'!J57*'UPS RATES'!J58)</f>
        <v>0</v>
      </c>
      <c r="K57" s="4">
        <f>SUM('TOTAL VOLUME'!K57*'UPS RATES'!K58)</f>
        <v>0</v>
      </c>
      <c r="L57" s="4">
        <f>SUM('TOTAL VOLUME'!L57*'UPS RATES'!L58)</f>
        <v>0</v>
      </c>
      <c r="M57" s="4">
        <f>SUM('TOTAL VOLUME'!M57*'UPS RATES'!M58)</f>
        <v>0</v>
      </c>
      <c r="N57" s="4">
        <f>SUM('TOTAL VOLUME'!N57*'UPS RATES'!N58)</f>
        <v>0</v>
      </c>
      <c r="O57" s="4">
        <f>SUM('TOTAL VOLUME'!O57*'UPS RATES'!O58)</f>
        <v>95.84</v>
      </c>
      <c r="P57" s="4">
        <f>SUM('TOTAL VOLUME'!P57*'UPS RATES'!P58)</f>
        <v>55.55</v>
      </c>
      <c r="Q57" s="4">
        <f>SUM('TOTAL VOLUME'!Q57*'UPS RATES'!Q58)</f>
        <v>41.7</v>
      </c>
      <c r="R57" s="4">
        <f>SUM('TOTAL VOLUME'!R57*'UPS RATES'!R58)</f>
        <v>148.32</v>
      </c>
      <c r="S57" s="4">
        <f>SUM('TOTAL VOLUME'!S57*'UPS RATES'!S58)</f>
        <v>282.24</v>
      </c>
      <c r="T57" s="4">
        <f>SUM('TOTAL VOLUME'!T57*'UPS RATES'!T58)</f>
        <v>200.8</v>
      </c>
      <c r="U57" s="4">
        <f>SUM('TOTAL VOLUME'!U57*'UPS RATES'!U58)</f>
        <v>393.25</v>
      </c>
      <c r="V57" s="4">
        <f>SUM('TOTAL VOLUME'!V57*'UPS RATES'!V58)</f>
        <v>346.9</v>
      </c>
      <c r="W57" s="4">
        <f>SUM('TOTAL VOLUME'!W57*'UPS RATES'!W58)</f>
        <v>462.15</v>
      </c>
      <c r="X57" s="4">
        <f>SUM('TOTAL VOLUME'!X57*'UPS RATES'!X58)</f>
        <v>311.5</v>
      </c>
      <c r="Y57" s="4">
        <f>SUM('TOTAL VOLUME'!Y57*'UPS RATES'!Y58)</f>
        <v>391.75</v>
      </c>
      <c r="Z57" s="4">
        <f>SUM('TOTAL VOLUME'!Z57*'UPS RATES'!Z58)</f>
        <v>1718.6000000000001</v>
      </c>
      <c r="AA57" s="4">
        <f>SUM('TOTAL VOLUME'!AA57*'UPS RATES'!AA58)</f>
        <v>1577.7</v>
      </c>
      <c r="AB57" s="4">
        <f>SUM('TOTAL VOLUME'!AB57*'UPS RATES'!AB58)</f>
        <v>774</v>
      </c>
      <c r="AC57" s="4">
        <f>SUM('TOTAL VOLUME'!AC57*'UPS RATES'!AC58)</f>
        <v>2171.84</v>
      </c>
    </row>
    <row r="58" spans="1:29" x14ac:dyDescent="0.2">
      <c r="A58" s="2">
        <v>57</v>
      </c>
      <c r="B58" s="4">
        <f>SUM('TOTAL VOLUME'!B58*'UPS RATES'!B59)</f>
        <v>24.77</v>
      </c>
      <c r="C58" s="4">
        <f>SUM('TOTAL VOLUME'!C58*'UPS RATES'!C59)</f>
        <v>0</v>
      </c>
      <c r="D58" s="4">
        <f>SUM('TOTAL VOLUME'!D58*'UPS RATES'!D59)</f>
        <v>0</v>
      </c>
      <c r="E58" s="4">
        <f>SUM('TOTAL VOLUME'!E58*'UPS RATES'!E59)</f>
        <v>0</v>
      </c>
      <c r="F58" s="4">
        <f>SUM('TOTAL VOLUME'!F58*'UPS RATES'!F59)</f>
        <v>0</v>
      </c>
      <c r="G58" s="4">
        <f>SUM('TOTAL VOLUME'!G58*'UPS RATES'!G59)</f>
        <v>94.15</v>
      </c>
      <c r="H58" s="4">
        <f>SUM('TOTAL VOLUME'!H58*'UPS RATES'!H59)</f>
        <v>96.02</v>
      </c>
      <c r="I58" s="4">
        <f>SUM('TOTAL VOLUME'!I58*'UPS RATES'!I59)</f>
        <v>0</v>
      </c>
      <c r="J58" s="4">
        <f>SUM('TOTAL VOLUME'!J58*'UPS RATES'!J59)</f>
        <v>0</v>
      </c>
      <c r="K58" s="4">
        <f>SUM('TOTAL VOLUME'!K58*'UPS RATES'!K59)</f>
        <v>0</v>
      </c>
      <c r="L58" s="4">
        <f>SUM('TOTAL VOLUME'!L58*'UPS RATES'!L59)</f>
        <v>0</v>
      </c>
      <c r="M58" s="4">
        <f>SUM('TOTAL VOLUME'!M58*'UPS RATES'!M59)</f>
        <v>0</v>
      </c>
      <c r="N58" s="4">
        <f>SUM('TOTAL VOLUME'!N58*'UPS RATES'!N59)</f>
        <v>87.58</v>
      </c>
      <c r="O58" s="4">
        <f>SUM('TOTAL VOLUME'!O58*'UPS RATES'!O59)</f>
        <v>0</v>
      </c>
      <c r="P58" s="4">
        <f>SUM('TOTAL VOLUME'!P58*'UPS RATES'!P59)</f>
        <v>169.65</v>
      </c>
      <c r="Q58" s="4">
        <f>SUM('TOTAL VOLUME'!Q58*'UPS RATES'!Q59)</f>
        <v>97.649999999999991</v>
      </c>
      <c r="R58" s="4">
        <f>SUM('TOTAL VOLUME'!R58*'UPS RATES'!R59)</f>
        <v>115.57000000000001</v>
      </c>
      <c r="S58" s="4">
        <f>SUM('TOTAL VOLUME'!S58*'UPS RATES'!S59)</f>
        <v>269.88</v>
      </c>
      <c r="T58" s="4">
        <f>SUM('TOTAL VOLUME'!T58*'UPS RATES'!T59)</f>
        <v>477.46999999999997</v>
      </c>
      <c r="U58" s="4">
        <f>SUM('TOTAL VOLUME'!U58*'UPS RATES'!U59)</f>
        <v>302.7</v>
      </c>
      <c r="V58" s="4">
        <f>SUM('TOTAL VOLUME'!V58*'UPS RATES'!V59)</f>
        <v>525.75</v>
      </c>
      <c r="W58" s="4">
        <f>SUM('TOTAL VOLUME'!W58*'UPS RATES'!W59)</f>
        <v>404.03999999999996</v>
      </c>
      <c r="X58" s="4">
        <f>SUM('TOTAL VOLUME'!X58*'UPS RATES'!X59)</f>
        <v>179.76</v>
      </c>
      <c r="Y58" s="4">
        <f>SUM('TOTAL VOLUME'!Y58*'UPS RATES'!Y59)</f>
        <v>470.93999999999994</v>
      </c>
      <c r="Z58" s="4">
        <f>SUM('TOTAL VOLUME'!Z58*'UPS RATES'!Z59)</f>
        <v>775.43999999999994</v>
      </c>
      <c r="AA58" s="4">
        <f>SUM('TOTAL VOLUME'!AA58*'UPS RATES'!AA59)</f>
        <v>968.55</v>
      </c>
      <c r="AB58" s="4">
        <f>SUM('TOTAL VOLUME'!AB58*'UPS RATES'!AB59)</f>
        <v>968.7</v>
      </c>
      <c r="AC58" s="4">
        <f>SUM('TOTAL VOLUME'!AC58*'UPS RATES'!AC59)</f>
        <v>1580.8</v>
      </c>
    </row>
    <row r="59" spans="1:29" x14ac:dyDescent="0.2">
      <c r="A59" s="2">
        <v>58</v>
      </c>
      <c r="B59" s="4">
        <f>SUM('TOTAL VOLUME'!B59*'UPS RATES'!B60)</f>
        <v>24.89</v>
      </c>
      <c r="C59" s="4">
        <f>SUM('TOTAL VOLUME'!C59*'UPS RATES'!C60)</f>
        <v>0</v>
      </c>
      <c r="D59" s="4">
        <f>SUM('TOTAL VOLUME'!D59*'UPS RATES'!D60)</f>
        <v>38.619999999999997</v>
      </c>
      <c r="E59" s="4">
        <f>SUM('TOTAL VOLUME'!E59*'UPS RATES'!E60)</f>
        <v>0</v>
      </c>
      <c r="F59" s="4">
        <f>SUM('TOTAL VOLUME'!F59*'UPS RATES'!F60)</f>
        <v>0</v>
      </c>
      <c r="G59" s="4">
        <f>SUM('TOTAL VOLUME'!G59*'UPS RATES'!G60)</f>
        <v>0</v>
      </c>
      <c r="H59" s="4">
        <f>SUM('TOTAL VOLUME'!H59*'UPS RATES'!H60)</f>
        <v>96.21</v>
      </c>
      <c r="I59" s="4">
        <f>SUM('TOTAL VOLUME'!I59*'UPS RATES'!I60)</f>
        <v>0</v>
      </c>
      <c r="J59" s="4">
        <f>SUM('TOTAL VOLUME'!J59*'UPS RATES'!J60)</f>
        <v>0</v>
      </c>
      <c r="K59" s="4">
        <f>SUM('TOTAL VOLUME'!K59*'UPS RATES'!K60)</f>
        <v>0</v>
      </c>
      <c r="L59" s="4">
        <f>SUM('TOTAL VOLUME'!L59*'UPS RATES'!L60)</f>
        <v>52.83</v>
      </c>
      <c r="M59" s="4">
        <f>SUM('TOTAL VOLUME'!M59*'UPS RATES'!M60)</f>
        <v>0</v>
      </c>
      <c r="N59" s="4">
        <f>SUM('TOTAL VOLUME'!N59*'UPS RATES'!N60)</f>
        <v>0</v>
      </c>
      <c r="O59" s="4">
        <f>SUM('TOTAL VOLUME'!O59*'UPS RATES'!O60)</f>
        <v>195.66</v>
      </c>
      <c r="P59" s="4">
        <f>SUM('TOTAL VOLUME'!P59*'UPS RATES'!P60)</f>
        <v>113</v>
      </c>
      <c r="Q59" s="4">
        <f>SUM('TOTAL VOLUME'!Q59*'UPS RATES'!Q60)</f>
        <v>69.800000000000011</v>
      </c>
      <c r="R59" s="4">
        <f>SUM('TOTAL VOLUME'!R59*'UPS RATES'!R60)</f>
        <v>264</v>
      </c>
      <c r="S59" s="4">
        <f>SUM('TOTAL VOLUME'!S59*'UPS RATES'!S60)</f>
        <v>353.26</v>
      </c>
      <c r="T59" s="4">
        <f>SUM('TOTAL VOLUME'!T59*'UPS RATES'!T60)</f>
        <v>201.04</v>
      </c>
      <c r="U59" s="4">
        <f>SUM('TOTAL VOLUME'!U59*'UPS RATES'!U60)</f>
        <v>212.1</v>
      </c>
      <c r="V59" s="4">
        <f>SUM('TOTAL VOLUME'!V59*'UPS RATES'!V60)</f>
        <v>388.85</v>
      </c>
      <c r="W59" s="4">
        <f>SUM('TOTAL VOLUME'!W59*'UPS RATES'!W60)</f>
        <v>436.38</v>
      </c>
      <c r="X59" s="4">
        <f>SUM('TOTAL VOLUME'!X59*'UPS RATES'!X60)</f>
        <v>45.13</v>
      </c>
      <c r="Y59" s="4">
        <f>SUM('TOTAL VOLUME'!Y59*'UPS RATES'!Y60)</f>
        <v>785.90000000000009</v>
      </c>
      <c r="Z59" s="4">
        <f>SUM('TOTAL VOLUME'!Z59*'UPS RATES'!Z60)</f>
        <v>517.43999999999994</v>
      </c>
      <c r="AA59" s="4">
        <f>SUM('TOTAL VOLUME'!AA59*'UPS RATES'!AA60)</f>
        <v>628.94999999999993</v>
      </c>
      <c r="AB59" s="4">
        <f>SUM('TOTAL VOLUME'!AB59*'UPS RATES'!AB60)</f>
        <v>194.26</v>
      </c>
      <c r="AC59" s="4">
        <f>SUM('TOTAL VOLUME'!AC59*'UPS RATES'!AC60)</f>
        <v>1783.2599999999998</v>
      </c>
    </row>
    <row r="60" spans="1:29" x14ac:dyDescent="0.2">
      <c r="A60" s="2">
        <v>59</v>
      </c>
      <c r="B60" s="4">
        <f>SUM('TOTAL VOLUME'!B60*'UPS RATES'!B61)</f>
        <v>25</v>
      </c>
      <c r="C60" s="4">
        <f>SUM('TOTAL VOLUME'!C60*'UPS RATES'!C61)</f>
        <v>0</v>
      </c>
      <c r="D60" s="4">
        <f>SUM('TOTAL VOLUME'!D60*'UPS RATES'!D61)</f>
        <v>0</v>
      </c>
      <c r="E60" s="4">
        <f>SUM('TOTAL VOLUME'!E60*'UPS RATES'!E61)</f>
        <v>0</v>
      </c>
      <c r="F60" s="4">
        <f>SUM('TOTAL VOLUME'!F60*'UPS RATES'!F61)</f>
        <v>93.63</v>
      </c>
      <c r="G60" s="4">
        <f>SUM('TOTAL VOLUME'!G60*'UPS RATES'!G61)</f>
        <v>0</v>
      </c>
      <c r="H60" s="4">
        <f>SUM('TOTAL VOLUME'!H60*'UPS RATES'!H61)</f>
        <v>292.26</v>
      </c>
      <c r="I60" s="4">
        <f>SUM('TOTAL VOLUME'!I60*'UPS RATES'!I61)</f>
        <v>0</v>
      </c>
      <c r="J60" s="4">
        <f>SUM('TOTAL VOLUME'!J60*'UPS RATES'!J61)</f>
        <v>0</v>
      </c>
      <c r="K60" s="4">
        <f>SUM('TOTAL VOLUME'!K60*'UPS RATES'!K61)</f>
        <v>0</v>
      </c>
      <c r="L60" s="4">
        <f>SUM('TOTAL VOLUME'!L60*'UPS RATES'!L61)</f>
        <v>0</v>
      </c>
      <c r="M60" s="4">
        <f>SUM('TOTAL VOLUME'!M60*'UPS RATES'!M61)</f>
        <v>0</v>
      </c>
      <c r="N60" s="4">
        <f>SUM('TOTAL VOLUME'!N60*'UPS RATES'!N61)</f>
        <v>0</v>
      </c>
      <c r="O60" s="4">
        <f>SUM('TOTAL VOLUME'!O60*'UPS RATES'!O61)</f>
        <v>199.18</v>
      </c>
      <c r="P60" s="4">
        <f>SUM('TOTAL VOLUME'!P60*'UPS RATES'!P61)</f>
        <v>90.72</v>
      </c>
      <c r="Q60" s="4">
        <f>SUM('TOTAL VOLUME'!Q60*'UPS RATES'!Q61)</f>
        <v>55.88</v>
      </c>
      <c r="R60" s="4">
        <f>SUM('TOTAL VOLUME'!R60*'UPS RATES'!R61)</f>
        <v>132.96</v>
      </c>
      <c r="S60" s="4">
        <f>SUM('TOTAL VOLUME'!S60*'UPS RATES'!S61)</f>
        <v>498.72</v>
      </c>
      <c r="T60" s="4">
        <f>SUM('TOTAL VOLUME'!T60*'UPS RATES'!T61)</f>
        <v>328.51</v>
      </c>
      <c r="U60" s="4">
        <f>SUM('TOTAL VOLUME'!U60*'UPS RATES'!U61)</f>
        <v>272.96999999999997</v>
      </c>
      <c r="V60" s="4">
        <f>SUM('TOTAL VOLUME'!V60*'UPS RATES'!V61)</f>
        <v>610.98</v>
      </c>
      <c r="W60" s="4">
        <f>SUM('TOTAL VOLUME'!W60*'UPS RATES'!W61)</f>
        <v>531.25</v>
      </c>
      <c r="X60" s="4">
        <f>SUM('TOTAL VOLUME'!X60*'UPS RATES'!X61)</f>
        <v>226.1</v>
      </c>
      <c r="Y60" s="4">
        <f>SUM('TOTAL VOLUME'!Y60*'UPS RATES'!Y61)</f>
        <v>80.459999999999994</v>
      </c>
      <c r="Z60" s="4">
        <f>SUM('TOTAL VOLUME'!Z60*'UPS RATES'!Z61)</f>
        <v>1138.02</v>
      </c>
      <c r="AA60" s="4">
        <f>SUM('TOTAL VOLUME'!AA60*'UPS RATES'!AA61)</f>
        <v>630.28000000000009</v>
      </c>
      <c r="AB60" s="4">
        <f>SUM('TOTAL VOLUME'!AB60*'UPS RATES'!AB61)</f>
        <v>780.48</v>
      </c>
      <c r="AC60" s="4">
        <f>SUM('TOTAL VOLUME'!AC60*'UPS RATES'!AC61)</f>
        <v>1251.8399999999999</v>
      </c>
    </row>
    <row r="61" spans="1:29" x14ac:dyDescent="0.2">
      <c r="A61" s="2">
        <v>60</v>
      </c>
      <c r="B61" s="4">
        <f>SUM('TOTAL VOLUME'!B61*'UPS RATES'!B62)</f>
        <v>0</v>
      </c>
      <c r="C61" s="4">
        <f>SUM('TOTAL VOLUME'!C61*'UPS RATES'!C62)</f>
        <v>0</v>
      </c>
      <c r="D61" s="4">
        <f>SUM('TOTAL VOLUME'!D61*'UPS RATES'!D62)</f>
        <v>0</v>
      </c>
      <c r="E61" s="4">
        <f>SUM('TOTAL VOLUME'!E61*'UPS RATES'!E62)</f>
        <v>0</v>
      </c>
      <c r="F61" s="4">
        <f>SUM('TOTAL VOLUME'!F61*'UPS RATES'!F62)</f>
        <v>0</v>
      </c>
      <c r="G61" s="4">
        <f>SUM('TOTAL VOLUME'!G61*'UPS RATES'!G62)</f>
        <v>97.63</v>
      </c>
      <c r="H61" s="4">
        <f>SUM('TOTAL VOLUME'!H61*'UPS RATES'!H62)</f>
        <v>0</v>
      </c>
      <c r="I61" s="4">
        <f>SUM('TOTAL VOLUME'!I61*'UPS RATES'!I62)</f>
        <v>0</v>
      </c>
      <c r="J61" s="4">
        <f>SUM('TOTAL VOLUME'!J61*'UPS RATES'!J62)</f>
        <v>0</v>
      </c>
      <c r="K61" s="4">
        <f>SUM('TOTAL VOLUME'!K61*'UPS RATES'!K62)</f>
        <v>0</v>
      </c>
      <c r="L61" s="4">
        <f>SUM('TOTAL VOLUME'!L61*'UPS RATES'!L62)</f>
        <v>0</v>
      </c>
      <c r="M61" s="4">
        <f>SUM('TOTAL VOLUME'!M61*'UPS RATES'!M62)</f>
        <v>77.95</v>
      </c>
      <c r="N61" s="4">
        <f>SUM('TOTAL VOLUME'!N61*'UPS RATES'!N62)</f>
        <v>90.31</v>
      </c>
      <c r="O61" s="4">
        <f>SUM('TOTAL VOLUME'!O61*'UPS RATES'!O62)</f>
        <v>0</v>
      </c>
      <c r="P61" s="4">
        <f>SUM('TOTAL VOLUME'!P61*'UPS RATES'!P62)</f>
        <v>209.34</v>
      </c>
      <c r="Q61" s="4">
        <f>SUM('TOTAL VOLUME'!Q61*'UPS RATES'!Q62)</f>
        <v>58.04</v>
      </c>
      <c r="R61" s="4">
        <f>SUM('TOTAL VOLUME'!R61*'UPS RATES'!R62)</f>
        <v>135.19999999999999</v>
      </c>
      <c r="S61" s="4">
        <f>SUM('TOTAL VOLUME'!S61*'UPS RATES'!S62)</f>
        <v>752.85</v>
      </c>
      <c r="T61" s="4">
        <f>SUM('TOTAL VOLUME'!T61*'UPS RATES'!T62)</f>
        <v>411.68</v>
      </c>
      <c r="U61" s="4">
        <f>SUM('TOTAL VOLUME'!U61*'UPS RATES'!U62)</f>
        <v>242.8</v>
      </c>
      <c r="V61" s="4">
        <f>SUM('TOTAL VOLUME'!V61*'UPS RATES'!V62)</f>
        <v>723.19999999999993</v>
      </c>
      <c r="W61" s="4">
        <f>SUM('TOTAL VOLUME'!W61*'UPS RATES'!W62)</f>
        <v>250.72</v>
      </c>
      <c r="X61" s="4">
        <f>SUM('TOTAL VOLUME'!X61*'UPS RATES'!X62)</f>
        <v>90.62</v>
      </c>
      <c r="Y61" s="4">
        <f>SUM('TOTAL VOLUME'!Y61*'UPS RATES'!Y62)</f>
        <v>322.60000000000002</v>
      </c>
      <c r="Z61" s="4">
        <f>SUM('TOTAL VOLUME'!Z61*'UPS RATES'!Z62)</f>
        <v>1753.4</v>
      </c>
      <c r="AA61" s="4">
        <f>SUM('TOTAL VOLUME'!AA61*'UPS RATES'!AA62)</f>
        <v>451.1</v>
      </c>
      <c r="AB61" s="4">
        <f>SUM('TOTAL VOLUME'!AB61*'UPS RATES'!AB62)</f>
        <v>622.86</v>
      </c>
      <c r="AC61" s="4">
        <f>SUM('TOTAL VOLUME'!AC61*'UPS RATES'!AC62)</f>
        <v>1153.3499999999999</v>
      </c>
    </row>
    <row r="62" spans="1:29" x14ac:dyDescent="0.2">
      <c r="A62" s="2">
        <v>61</v>
      </c>
      <c r="B62" s="4">
        <f>SUM('TOTAL VOLUME'!B62*'UPS RATES'!B63)</f>
        <v>0</v>
      </c>
      <c r="C62" s="4">
        <f>SUM('TOTAL VOLUME'!C62*'UPS RATES'!C63)</f>
        <v>0</v>
      </c>
      <c r="D62" s="4">
        <f>SUM('TOTAL VOLUME'!D62*'UPS RATES'!D63)</f>
        <v>0</v>
      </c>
      <c r="E62" s="4">
        <f>SUM('TOTAL VOLUME'!E62*'UPS RATES'!E63)</f>
        <v>0</v>
      </c>
      <c r="F62" s="4">
        <f>SUM('TOTAL VOLUME'!F62*'UPS RATES'!F63)</f>
        <v>0</v>
      </c>
      <c r="G62" s="4">
        <f>SUM('TOTAL VOLUME'!G62*'UPS RATES'!G63)</f>
        <v>0</v>
      </c>
      <c r="H62" s="4">
        <f>SUM('TOTAL VOLUME'!H62*'UPS RATES'!H63)</f>
        <v>100.4</v>
      </c>
      <c r="I62" s="4">
        <f>SUM('TOTAL VOLUME'!I62*'UPS RATES'!I63)</f>
        <v>0</v>
      </c>
      <c r="J62" s="4">
        <f>SUM('TOTAL VOLUME'!J62*'UPS RATES'!J63)</f>
        <v>0</v>
      </c>
      <c r="K62" s="4">
        <f>SUM('TOTAL VOLUME'!K62*'UPS RATES'!K63)</f>
        <v>0</v>
      </c>
      <c r="L62" s="4">
        <f>SUM('TOTAL VOLUME'!L62*'UPS RATES'!L63)</f>
        <v>0</v>
      </c>
      <c r="M62" s="4">
        <f>SUM('TOTAL VOLUME'!M62*'UPS RATES'!M63)</f>
        <v>0</v>
      </c>
      <c r="N62" s="4">
        <f>SUM('TOTAL VOLUME'!N62*'UPS RATES'!N63)</f>
        <v>0</v>
      </c>
      <c r="O62" s="4">
        <f>SUM('TOTAL VOLUME'!O62*'UPS RATES'!O63)</f>
        <v>103.1</v>
      </c>
      <c r="P62" s="4">
        <f>SUM('TOTAL VOLUME'!P62*'UPS RATES'!P63)</f>
        <v>104.76</v>
      </c>
      <c r="Q62" s="4">
        <f>SUM('TOTAL VOLUME'!Q62*'UPS RATES'!Q63)</f>
        <v>58.2</v>
      </c>
      <c r="R62" s="4">
        <f>SUM('TOTAL VOLUME'!R62*'UPS RATES'!R63)</f>
        <v>68.16</v>
      </c>
      <c r="S62" s="4">
        <f>SUM('TOTAL VOLUME'!S62*'UPS RATES'!S63)</f>
        <v>561.07999999999993</v>
      </c>
      <c r="T62" s="4">
        <f>SUM('TOTAL VOLUME'!T62*'UPS RATES'!T63)</f>
        <v>411.84</v>
      </c>
      <c r="U62" s="4">
        <f>SUM('TOTAL VOLUME'!U62*'UPS RATES'!U63)</f>
        <v>303.5</v>
      </c>
      <c r="V62" s="4">
        <f>SUM('TOTAL VOLUME'!V62*'UPS RATES'!V63)</f>
        <v>509.46000000000004</v>
      </c>
      <c r="W62" s="4">
        <f>SUM('TOTAL VOLUME'!W62*'UPS RATES'!W63)</f>
        <v>329.79999999999995</v>
      </c>
      <c r="X62" s="4">
        <f>SUM('TOTAL VOLUME'!X62*'UPS RATES'!X63)</f>
        <v>140.72999999999999</v>
      </c>
      <c r="Y62" s="4">
        <f>SUM('TOTAL VOLUME'!Y62*'UPS RATES'!Y63)</f>
        <v>419.45</v>
      </c>
      <c r="Z62" s="4">
        <f>SUM('TOTAL VOLUME'!Z62*'UPS RATES'!Z63)</f>
        <v>1172.73</v>
      </c>
      <c r="AA62" s="4">
        <f>SUM('TOTAL VOLUME'!AA62*'UPS RATES'!AA63)</f>
        <v>375.52</v>
      </c>
      <c r="AB62" s="4">
        <f>SUM('TOTAL VOLUME'!AB62*'UPS RATES'!AB63)</f>
        <v>1378.13</v>
      </c>
      <c r="AC62" s="4">
        <f>SUM('TOTAL VOLUME'!AC62*'UPS RATES'!AC63)</f>
        <v>1189.4299999999998</v>
      </c>
    </row>
    <row r="63" spans="1:29" x14ac:dyDescent="0.2">
      <c r="A63" s="2">
        <v>62</v>
      </c>
      <c r="B63" s="4">
        <f>SUM('TOTAL VOLUME'!B63*'UPS RATES'!B64)</f>
        <v>101.36</v>
      </c>
      <c r="C63" s="4">
        <f>SUM('TOTAL VOLUME'!C63*'UPS RATES'!C64)</f>
        <v>0</v>
      </c>
      <c r="D63" s="4">
        <f>SUM('TOTAL VOLUME'!D63*'UPS RATES'!D64)</f>
        <v>0</v>
      </c>
      <c r="E63" s="4">
        <f>SUM('TOTAL VOLUME'!E63*'UPS RATES'!E64)</f>
        <v>0</v>
      </c>
      <c r="F63" s="4">
        <f>SUM('TOTAL VOLUME'!F63*'UPS RATES'!F64)</f>
        <v>95.68</v>
      </c>
      <c r="G63" s="4">
        <f>SUM('TOTAL VOLUME'!G63*'UPS RATES'!G64)</f>
        <v>0</v>
      </c>
      <c r="H63" s="4">
        <f>SUM('TOTAL VOLUME'!H63*'UPS RATES'!H64)</f>
        <v>100.59</v>
      </c>
      <c r="I63" s="4">
        <f>SUM('TOTAL VOLUME'!I63*'UPS RATES'!I64)</f>
        <v>0</v>
      </c>
      <c r="J63" s="4">
        <f>SUM('TOTAL VOLUME'!J63*'UPS RATES'!J64)</f>
        <v>0</v>
      </c>
      <c r="K63" s="4">
        <f>SUM('TOTAL VOLUME'!K63*'UPS RATES'!K64)</f>
        <v>0</v>
      </c>
      <c r="L63" s="4">
        <f>SUM('TOTAL VOLUME'!L63*'UPS RATES'!L64)</f>
        <v>0</v>
      </c>
      <c r="M63" s="4">
        <f>SUM('TOTAL VOLUME'!M63*'UPS RATES'!M64)</f>
        <v>0</v>
      </c>
      <c r="N63" s="4">
        <f>SUM('TOTAL VOLUME'!N63*'UPS RATES'!N64)</f>
        <v>0</v>
      </c>
      <c r="O63" s="4">
        <f>SUM('TOTAL VOLUME'!O63*'UPS RATES'!O64)</f>
        <v>0</v>
      </c>
      <c r="P63" s="4">
        <f>SUM('TOTAL VOLUME'!P63*'UPS RATES'!P64)</f>
        <v>48.44</v>
      </c>
      <c r="Q63" s="4">
        <f>SUM('TOTAL VOLUME'!Q63*'UPS RATES'!Q64)</f>
        <v>46.74</v>
      </c>
      <c r="R63" s="4">
        <f>SUM('TOTAL VOLUME'!R63*'UPS RATES'!R64)</f>
        <v>104.10000000000001</v>
      </c>
      <c r="S63" s="4">
        <f>SUM('TOTAL VOLUME'!S63*'UPS RATES'!S64)</f>
        <v>244.09</v>
      </c>
      <c r="T63" s="4">
        <f>SUM('TOTAL VOLUME'!T63*'UPS RATES'!T64)</f>
        <v>575.08000000000004</v>
      </c>
      <c r="U63" s="4">
        <f>SUM('TOTAL VOLUME'!U63*'UPS RATES'!U64)</f>
        <v>154.1</v>
      </c>
      <c r="V63" s="4">
        <f>SUM('TOTAL VOLUME'!V63*'UPS RATES'!V64)</f>
        <v>439.20000000000005</v>
      </c>
      <c r="W63" s="4">
        <f>SUM('TOTAL VOLUME'!W63*'UPS RATES'!W64)</f>
        <v>300.24</v>
      </c>
      <c r="X63" s="4">
        <f>SUM('TOTAL VOLUME'!X63*'UPS RATES'!X64)</f>
        <v>96.72</v>
      </c>
      <c r="Y63" s="4">
        <f>SUM('TOTAL VOLUME'!Y63*'UPS RATES'!Y64)</f>
        <v>0</v>
      </c>
      <c r="Z63" s="4">
        <f>SUM('TOTAL VOLUME'!Z63*'UPS RATES'!Z64)</f>
        <v>273.99</v>
      </c>
      <c r="AA63" s="4">
        <f>SUM('TOTAL VOLUME'!AA63*'UPS RATES'!AA64)</f>
        <v>282.78000000000003</v>
      </c>
      <c r="AB63" s="4">
        <f>SUM('TOTAL VOLUME'!AB63*'UPS RATES'!AB64)</f>
        <v>322.56</v>
      </c>
      <c r="AC63" s="4">
        <f>SUM('TOTAL VOLUME'!AC63*'UPS RATES'!AC64)</f>
        <v>775.11</v>
      </c>
    </row>
    <row r="64" spans="1:29" x14ac:dyDescent="0.2">
      <c r="A64" s="2">
        <v>63</v>
      </c>
      <c r="B64" s="4">
        <f>SUM('TOTAL VOLUME'!B64*'UPS RATES'!B65)</f>
        <v>0</v>
      </c>
      <c r="C64" s="4">
        <f>SUM('TOTAL VOLUME'!C64*'UPS RATES'!C65)</f>
        <v>0</v>
      </c>
      <c r="D64" s="4">
        <f>SUM('TOTAL VOLUME'!D64*'UPS RATES'!D65)</f>
        <v>0</v>
      </c>
      <c r="E64" s="4">
        <f>SUM('TOTAL VOLUME'!E64*'UPS RATES'!E65)</f>
        <v>0</v>
      </c>
      <c r="F64" s="4">
        <f>SUM('TOTAL VOLUME'!F64*'UPS RATES'!F65)</f>
        <v>0</v>
      </c>
      <c r="G64" s="4">
        <f>SUM('TOTAL VOLUME'!G64*'UPS RATES'!G65)</f>
        <v>0</v>
      </c>
      <c r="H64" s="4">
        <f>SUM('TOTAL VOLUME'!H64*'UPS RATES'!H65)</f>
        <v>0</v>
      </c>
      <c r="I64" s="4">
        <f>SUM('TOTAL VOLUME'!I64*'UPS RATES'!I65)</f>
        <v>0</v>
      </c>
      <c r="J64" s="4">
        <f>SUM('TOTAL VOLUME'!J64*'UPS RATES'!J65)</f>
        <v>0</v>
      </c>
      <c r="K64" s="4">
        <f>SUM('TOTAL VOLUME'!K64*'UPS RATES'!K65)</f>
        <v>0</v>
      </c>
      <c r="L64" s="4">
        <f>SUM('TOTAL VOLUME'!L64*'UPS RATES'!L65)</f>
        <v>0</v>
      </c>
      <c r="M64" s="4">
        <f>SUM('TOTAL VOLUME'!M64*'UPS RATES'!M65)</f>
        <v>82.11</v>
      </c>
      <c r="N64" s="4">
        <f>SUM('TOTAL VOLUME'!N64*'UPS RATES'!N65)</f>
        <v>0</v>
      </c>
      <c r="O64" s="4">
        <f>SUM('TOTAL VOLUME'!O64*'UPS RATES'!O65)</f>
        <v>0</v>
      </c>
      <c r="P64" s="4">
        <f>SUM('TOTAL VOLUME'!P64*'UPS RATES'!P65)</f>
        <v>0</v>
      </c>
      <c r="Q64" s="4">
        <f>SUM('TOTAL VOLUME'!Q64*'UPS RATES'!Q65)</f>
        <v>0</v>
      </c>
      <c r="R64" s="4">
        <f>SUM('TOTAL VOLUME'!R64*'UPS RATES'!R65)</f>
        <v>0</v>
      </c>
      <c r="S64" s="4">
        <f>SUM('TOTAL VOLUME'!S64*'UPS RATES'!S65)</f>
        <v>0</v>
      </c>
      <c r="T64" s="4">
        <f>SUM('TOTAL VOLUME'!T64*'UPS RATES'!T65)</f>
        <v>0</v>
      </c>
      <c r="U64" s="4">
        <f>SUM('TOTAL VOLUME'!U64*'UPS RATES'!U65)</f>
        <v>0</v>
      </c>
      <c r="V64" s="4">
        <f>SUM('TOTAL VOLUME'!V64*'UPS RATES'!V65)</f>
        <v>0</v>
      </c>
      <c r="W64" s="4">
        <f>SUM('TOTAL VOLUME'!W64*'UPS RATES'!W65)</f>
        <v>0</v>
      </c>
      <c r="X64" s="4">
        <f>SUM('TOTAL VOLUME'!X64*'UPS RATES'!X65)</f>
        <v>0</v>
      </c>
      <c r="Y64" s="4">
        <f>SUM('TOTAL VOLUME'!Y64*'UPS RATES'!Y65)</f>
        <v>0</v>
      </c>
      <c r="Z64" s="4">
        <f>SUM('TOTAL VOLUME'!Z64*'UPS RATES'!Z65)</f>
        <v>0</v>
      </c>
      <c r="AA64" s="4">
        <f>SUM('TOTAL VOLUME'!AA64*'UPS RATES'!AA65)</f>
        <v>0</v>
      </c>
      <c r="AB64" s="4">
        <f>SUM('TOTAL VOLUME'!AB64*'UPS RATES'!AB65)</f>
        <v>0</v>
      </c>
      <c r="AC64" s="4">
        <f>SUM('TOTAL VOLUME'!AC64*'UPS RATES'!AC65)</f>
        <v>0</v>
      </c>
    </row>
    <row r="65" spans="1:29" x14ac:dyDescent="0.2">
      <c r="A65" s="2">
        <v>64</v>
      </c>
      <c r="B65" s="4">
        <f>SUM('TOTAL VOLUME'!B65*'UPS RATES'!B66)</f>
        <v>0</v>
      </c>
      <c r="C65" s="4">
        <f>SUM('TOTAL VOLUME'!C65*'UPS RATES'!C66)</f>
        <v>0</v>
      </c>
      <c r="D65" s="4">
        <f>SUM('TOTAL VOLUME'!D65*'UPS RATES'!D66)</f>
        <v>0</v>
      </c>
      <c r="E65" s="4">
        <f>SUM('TOTAL VOLUME'!E65*'UPS RATES'!E66)</f>
        <v>0</v>
      </c>
      <c r="F65" s="4">
        <f>SUM('TOTAL VOLUME'!F65*'UPS RATES'!F66)</f>
        <v>0</v>
      </c>
      <c r="G65" s="4">
        <f>SUM('TOTAL VOLUME'!G65*'UPS RATES'!G66)</f>
        <v>0</v>
      </c>
      <c r="H65" s="4">
        <f>SUM('TOTAL VOLUME'!H65*'UPS RATES'!H66)</f>
        <v>0</v>
      </c>
      <c r="I65" s="4">
        <f>SUM('TOTAL VOLUME'!I65*'UPS RATES'!I66)</f>
        <v>25.78</v>
      </c>
      <c r="J65" s="4">
        <f>SUM('TOTAL VOLUME'!J65*'UPS RATES'!J66)</f>
        <v>0</v>
      </c>
      <c r="K65" s="4">
        <f>SUM('TOTAL VOLUME'!K65*'UPS RATES'!K66)</f>
        <v>0</v>
      </c>
      <c r="L65" s="4">
        <f>SUM('TOTAL VOLUME'!L65*'UPS RATES'!L66)</f>
        <v>0</v>
      </c>
      <c r="M65" s="4">
        <f>SUM('TOTAL VOLUME'!M65*'UPS RATES'!M66)</f>
        <v>0</v>
      </c>
      <c r="N65" s="4">
        <f>SUM('TOTAL VOLUME'!N65*'UPS RATES'!N66)</f>
        <v>0</v>
      </c>
      <c r="O65" s="4">
        <f>SUM('TOTAL VOLUME'!O65*'UPS RATES'!O66)</f>
        <v>0</v>
      </c>
      <c r="P65" s="4">
        <f>SUM('TOTAL VOLUME'!P65*'UPS RATES'!P66)</f>
        <v>0</v>
      </c>
      <c r="Q65" s="4">
        <f>SUM('TOTAL VOLUME'!Q65*'UPS RATES'!Q66)</f>
        <v>0</v>
      </c>
      <c r="R65" s="4">
        <f>SUM('TOTAL VOLUME'!R65*'UPS RATES'!R66)</f>
        <v>0</v>
      </c>
      <c r="S65" s="4">
        <f>SUM('TOTAL VOLUME'!S65*'UPS RATES'!S66)</f>
        <v>0</v>
      </c>
      <c r="T65" s="4">
        <f>SUM('TOTAL VOLUME'!T65*'UPS RATES'!T66)</f>
        <v>0</v>
      </c>
      <c r="U65" s="4">
        <f>SUM('TOTAL VOLUME'!U65*'UPS RATES'!U66)</f>
        <v>0</v>
      </c>
      <c r="V65" s="4">
        <f>SUM('TOTAL VOLUME'!V65*'UPS RATES'!V66)</f>
        <v>0</v>
      </c>
      <c r="W65" s="4">
        <f>SUM('TOTAL VOLUME'!W65*'UPS RATES'!W66)</f>
        <v>0</v>
      </c>
      <c r="X65" s="4">
        <f>SUM('TOTAL VOLUME'!X65*'UPS RATES'!X66)</f>
        <v>0</v>
      </c>
      <c r="Y65" s="4">
        <f>SUM('TOTAL VOLUME'!Y65*'UPS RATES'!Y66)</f>
        <v>0</v>
      </c>
      <c r="Z65" s="4">
        <f>SUM('TOTAL VOLUME'!Z65*'UPS RATES'!Z66)</f>
        <v>0</v>
      </c>
      <c r="AA65" s="4">
        <f>SUM('TOTAL VOLUME'!AA65*'UPS RATES'!AA66)</f>
        <v>0</v>
      </c>
      <c r="AB65" s="4">
        <f>SUM('TOTAL VOLUME'!AB65*'UPS RATES'!AB66)</f>
        <v>0</v>
      </c>
      <c r="AC65" s="4">
        <f>SUM('TOTAL VOLUME'!AC65*'UPS RATES'!AC66)</f>
        <v>0</v>
      </c>
    </row>
    <row r="66" spans="1:29" x14ac:dyDescent="0.2">
      <c r="A66" s="2">
        <v>65</v>
      </c>
      <c r="B66" s="4">
        <f>SUM('TOTAL VOLUME'!B66*'UPS RATES'!B67)</f>
        <v>0</v>
      </c>
      <c r="C66" s="4">
        <f>SUM('TOTAL VOLUME'!C66*'UPS RATES'!C67)</f>
        <v>0</v>
      </c>
      <c r="D66" s="4">
        <f>SUM('TOTAL VOLUME'!D66*'UPS RATES'!D67)</f>
        <v>81.52</v>
      </c>
      <c r="E66" s="4">
        <f>SUM('TOTAL VOLUME'!E66*'UPS RATES'!E67)</f>
        <v>59.96</v>
      </c>
      <c r="F66" s="4">
        <f>SUM('TOTAL VOLUME'!F66*'UPS RATES'!F67)</f>
        <v>0</v>
      </c>
      <c r="G66" s="4">
        <f>SUM('TOTAL VOLUME'!G66*'UPS RATES'!G67)</f>
        <v>102.59</v>
      </c>
      <c r="H66" s="4">
        <f>SUM('TOTAL VOLUME'!H66*'UPS RATES'!H67)</f>
        <v>0</v>
      </c>
      <c r="I66" s="4">
        <f>SUM('TOTAL VOLUME'!I66*'UPS RATES'!I67)</f>
        <v>0</v>
      </c>
      <c r="J66" s="4">
        <f>SUM('TOTAL VOLUME'!J66*'UPS RATES'!J67)</f>
        <v>0</v>
      </c>
      <c r="K66" s="4">
        <f>SUM('TOTAL VOLUME'!K66*'UPS RATES'!K67)</f>
        <v>0</v>
      </c>
      <c r="L66" s="4">
        <f>SUM('TOTAL VOLUME'!L66*'UPS RATES'!L67)</f>
        <v>0</v>
      </c>
      <c r="M66" s="4">
        <f>SUM('TOTAL VOLUME'!M66*'UPS RATES'!M67)</f>
        <v>0</v>
      </c>
      <c r="N66" s="4">
        <f>SUM('TOTAL VOLUME'!N66*'UPS RATES'!N67)</f>
        <v>98.86</v>
      </c>
      <c r="O66" s="4">
        <f>SUM('TOTAL VOLUME'!O66*'UPS RATES'!O67)</f>
        <v>0</v>
      </c>
      <c r="P66" s="4">
        <f>SUM('TOTAL VOLUME'!P66*'UPS RATES'!P67)</f>
        <v>163.54</v>
      </c>
      <c r="Q66" s="4">
        <f>SUM('TOTAL VOLUME'!Q66*'UPS RATES'!Q67)</f>
        <v>112.14</v>
      </c>
      <c r="R66" s="4">
        <f>SUM('TOTAL VOLUME'!R66*'UPS RATES'!R67)</f>
        <v>142.47999999999999</v>
      </c>
      <c r="S66" s="4">
        <f>SUM('TOTAL VOLUME'!S66*'UPS RATES'!S67)</f>
        <v>533.28</v>
      </c>
      <c r="T66" s="4">
        <f>SUM('TOTAL VOLUME'!T66*'UPS RATES'!T67)</f>
        <v>480.96</v>
      </c>
      <c r="U66" s="4">
        <f>SUM('TOTAL VOLUME'!U66*'UPS RATES'!U67)</f>
        <v>186.96</v>
      </c>
      <c r="V66" s="4">
        <f>SUM('TOTAL VOLUME'!V66*'UPS RATES'!V67)</f>
        <v>742.4</v>
      </c>
      <c r="W66" s="4">
        <f>SUM('TOTAL VOLUME'!W66*'UPS RATES'!W67)</f>
        <v>141.19999999999999</v>
      </c>
      <c r="X66" s="4">
        <f>SUM('TOTAL VOLUME'!X66*'UPS RATES'!X67)</f>
        <v>0</v>
      </c>
      <c r="Y66" s="4">
        <f>SUM('TOTAL VOLUME'!Y66*'UPS RATES'!Y67)</f>
        <v>260.25</v>
      </c>
      <c r="Z66" s="4">
        <f>SUM('TOTAL VOLUME'!Z66*'UPS RATES'!Z67)</f>
        <v>570.29999999999995</v>
      </c>
      <c r="AA66" s="4">
        <f>SUM('TOTAL VOLUME'!AA66*'UPS RATES'!AA67)</f>
        <v>982.4</v>
      </c>
      <c r="AB66" s="4">
        <f>SUM('TOTAL VOLUME'!AB66*'UPS RATES'!AB67)</f>
        <v>0</v>
      </c>
      <c r="AC66" s="4">
        <f>SUM('TOTAL VOLUME'!AC66*'UPS RATES'!AC67)</f>
        <v>933.2</v>
      </c>
    </row>
    <row r="67" spans="1:29" x14ac:dyDescent="0.2">
      <c r="A67" s="2">
        <v>66</v>
      </c>
      <c r="B67" s="4">
        <f>SUM('TOTAL VOLUME'!B67*'UPS RATES'!B68)</f>
        <v>0</v>
      </c>
      <c r="C67" s="4">
        <f>SUM('TOTAL VOLUME'!C67*'UPS RATES'!C68)</f>
        <v>0</v>
      </c>
      <c r="D67" s="4">
        <f>SUM('TOTAL VOLUME'!D67*'UPS RATES'!D68)</f>
        <v>0</v>
      </c>
      <c r="E67" s="4">
        <f>SUM('TOTAL VOLUME'!E67*'UPS RATES'!E68)</f>
        <v>0</v>
      </c>
      <c r="F67" s="4">
        <f>SUM('TOTAL VOLUME'!F67*'UPS RATES'!F68)</f>
        <v>0</v>
      </c>
      <c r="G67" s="4">
        <f>SUM('TOTAL VOLUME'!G67*'UPS RATES'!G68)</f>
        <v>0</v>
      </c>
      <c r="H67" s="4">
        <f>SUM('TOTAL VOLUME'!H67*'UPS RATES'!H68)</f>
        <v>209.64</v>
      </c>
      <c r="I67" s="4">
        <f>SUM('TOTAL VOLUME'!I67*'UPS RATES'!I68)</f>
        <v>0</v>
      </c>
      <c r="J67" s="4">
        <f>SUM('TOTAL VOLUME'!J67*'UPS RATES'!J68)</f>
        <v>0</v>
      </c>
      <c r="K67" s="4">
        <f>SUM('TOTAL VOLUME'!K67*'UPS RATES'!K68)</f>
        <v>0</v>
      </c>
      <c r="L67" s="4">
        <f>SUM('TOTAL VOLUME'!L67*'UPS RATES'!L68)</f>
        <v>59.47</v>
      </c>
      <c r="M67" s="4">
        <f>SUM('TOTAL VOLUME'!M67*'UPS RATES'!M68)</f>
        <v>0</v>
      </c>
      <c r="N67" s="4">
        <f>SUM('TOTAL VOLUME'!N67*'UPS RATES'!N68)</f>
        <v>0</v>
      </c>
      <c r="O67" s="4">
        <f>SUM('TOTAL VOLUME'!O67*'UPS RATES'!O68)</f>
        <v>0</v>
      </c>
      <c r="P67" s="4">
        <f>SUM('TOTAL VOLUME'!P67*'UPS RATES'!P68)</f>
        <v>50.56</v>
      </c>
      <c r="Q67" s="4">
        <f>SUM('TOTAL VOLUME'!Q67*'UPS RATES'!Q68)</f>
        <v>32.36</v>
      </c>
      <c r="R67" s="4">
        <f>SUM('TOTAL VOLUME'!R67*'UPS RATES'!R68)</f>
        <v>142.47999999999999</v>
      </c>
      <c r="S67" s="4">
        <f>SUM('TOTAL VOLUME'!S67*'UPS RATES'!S68)</f>
        <v>88.96</v>
      </c>
      <c r="T67" s="4">
        <f>SUM('TOTAL VOLUME'!T67*'UPS RATES'!T68)</f>
        <v>294.25</v>
      </c>
      <c r="U67" s="4">
        <f>SUM('TOTAL VOLUME'!U67*'UPS RATES'!U68)</f>
        <v>218.82000000000002</v>
      </c>
      <c r="V67" s="4">
        <f>SUM('TOTAL VOLUME'!V67*'UPS RATES'!V68)</f>
        <v>559.05000000000007</v>
      </c>
      <c r="W67" s="4">
        <f>SUM('TOTAL VOLUME'!W67*'UPS RATES'!W68)</f>
        <v>212.34</v>
      </c>
      <c r="X67" s="4">
        <f>SUM('TOTAL VOLUME'!X67*'UPS RATES'!X68)</f>
        <v>151.56</v>
      </c>
      <c r="Y67" s="4">
        <f>SUM('TOTAL VOLUME'!Y67*'UPS RATES'!Y68)</f>
        <v>180.74</v>
      </c>
      <c r="Z67" s="4">
        <f>SUM('TOTAL VOLUME'!Z67*'UPS RATES'!Z68)</f>
        <v>392.04</v>
      </c>
      <c r="AA67" s="4">
        <f>SUM('TOTAL VOLUME'!AA67*'UPS RATES'!AA68)</f>
        <v>405</v>
      </c>
      <c r="AB67" s="4">
        <f>SUM('TOTAL VOLUME'!AB67*'UPS RATES'!AB68)</f>
        <v>225.84</v>
      </c>
      <c r="AC67" s="4">
        <f>SUM('TOTAL VOLUME'!AC67*'UPS RATES'!AC68)</f>
        <v>584.45000000000005</v>
      </c>
    </row>
    <row r="68" spans="1:29" x14ac:dyDescent="0.2">
      <c r="A68" s="2">
        <v>67</v>
      </c>
      <c r="B68" s="4">
        <f>SUM('TOTAL VOLUME'!B68*'UPS RATES'!B69)</f>
        <v>0</v>
      </c>
      <c r="C68" s="4">
        <f>SUM('TOTAL VOLUME'!C68*'UPS RATES'!C69)</f>
        <v>0</v>
      </c>
      <c r="D68" s="4">
        <f>SUM('TOTAL VOLUME'!D68*'UPS RATES'!D69)</f>
        <v>0</v>
      </c>
      <c r="E68" s="4">
        <f>SUM('TOTAL VOLUME'!E68*'UPS RATES'!E69)</f>
        <v>0</v>
      </c>
      <c r="F68" s="4">
        <f>SUM('TOTAL VOLUME'!F68*'UPS RATES'!F69)</f>
        <v>0</v>
      </c>
      <c r="G68" s="4">
        <f>SUM('TOTAL VOLUME'!G68*'UPS RATES'!G69)</f>
        <v>205.76</v>
      </c>
      <c r="H68" s="4">
        <f>SUM('TOTAL VOLUME'!H68*'UPS RATES'!H69)</f>
        <v>0</v>
      </c>
      <c r="I68" s="4">
        <f>SUM('TOTAL VOLUME'!I68*'UPS RATES'!I69)</f>
        <v>0</v>
      </c>
      <c r="J68" s="4">
        <f>SUM('TOTAL VOLUME'!J68*'UPS RATES'!J69)</f>
        <v>0</v>
      </c>
      <c r="K68" s="4">
        <f>SUM('TOTAL VOLUME'!K68*'UPS RATES'!K69)</f>
        <v>0</v>
      </c>
      <c r="L68" s="4">
        <f>SUM('TOTAL VOLUME'!L68*'UPS RATES'!L69)</f>
        <v>0</v>
      </c>
      <c r="M68" s="4">
        <f>SUM('TOTAL VOLUME'!M68*'UPS RATES'!M69)</f>
        <v>0</v>
      </c>
      <c r="N68" s="4">
        <f>SUM('TOTAL VOLUME'!N68*'UPS RATES'!N69)</f>
        <v>0</v>
      </c>
      <c r="O68" s="4">
        <f>SUM('TOTAL VOLUME'!O68*'UPS RATES'!O69)</f>
        <v>0</v>
      </c>
      <c r="P68" s="4">
        <f>SUM('TOTAL VOLUME'!P68*'UPS RATES'!P69)</f>
        <v>25.28</v>
      </c>
      <c r="Q68" s="4">
        <f>SUM('TOTAL VOLUME'!Q68*'UPS RATES'!Q69)</f>
        <v>64.8</v>
      </c>
      <c r="R68" s="4">
        <f>SUM('TOTAL VOLUME'!R68*'UPS RATES'!R69)</f>
        <v>89.1</v>
      </c>
      <c r="S68" s="4">
        <f>SUM('TOTAL VOLUME'!S68*'UPS RATES'!S69)</f>
        <v>200.52</v>
      </c>
      <c r="T68" s="4">
        <f>SUM('TOTAL VOLUME'!T68*'UPS RATES'!T69)</f>
        <v>350.48</v>
      </c>
      <c r="U68" s="4">
        <f>SUM('TOTAL VOLUME'!U68*'UPS RATES'!U69)</f>
        <v>157.05000000000001</v>
      </c>
      <c r="V68" s="4">
        <f>SUM('TOTAL VOLUME'!V68*'UPS RATES'!V69)</f>
        <v>451.68</v>
      </c>
      <c r="W68" s="4">
        <f>SUM('TOTAL VOLUME'!W68*'UPS RATES'!W69)</f>
        <v>178.64999999999998</v>
      </c>
      <c r="X68" s="4">
        <f>SUM('TOTAL VOLUME'!X68*'UPS RATES'!X69)</f>
        <v>0</v>
      </c>
      <c r="Y68" s="4">
        <f>SUM('TOTAL VOLUME'!Y68*'UPS RATES'!Y69)</f>
        <v>272.19</v>
      </c>
      <c r="Z68" s="4">
        <f>SUM('TOTAL VOLUME'!Z68*'UPS RATES'!Z69)</f>
        <v>593.81999999999994</v>
      </c>
      <c r="AA68" s="4">
        <f>SUM('TOTAL VOLUME'!AA68*'UPS RATES'!AA69)</f>
        <v>609.29999999999995</v>
      </c>
      <c r="AB68" s="4">
        <f>SUM('TOTAL VOLUME'!AB68*'UPS RATES'!AB69)</f>
        <v>0</v>
      </c>
      <c r="AC68" s="4">
        <f>SUM('TOTAL VOLUME'!AC68*'UPS RATES'!AC69)</f>
        <v>935.76</v>
      </c>
    </row>
    <row r="69" spans="1:29" x14ac:dyDescent="0.2">
      <c r="A69" s="2">
        <v>68</v>
      </c>
      <c r="B69" s="4">
        <f>SUM('TOTAL VOLUME'!B69*'UPS RATES'!B70)</f>
        <v>0</v>
      </c>
      <c r="C69" s="4">
        <f>SUM('TOTAL VOLUME'!C69*'UPS RATES'!C70)</f>
        <v>0</v>
      </c>
      <c r="D69" s="4">
        <f>SUM('TOTAL VOLUME'!D69*'UPS RATES'!D70)</f>
        <v>42.47</v>
      </c>
      <c r="E69" s="4">
        <f>SUM('TOTAL VOLUME'!E69*'UPS RATES'!E70)</f>
        <v>0</v>
      </c>
      <c r="F69" s="4">
        <f>SUM('TOTAL VOLUME'!F69*'UPS RATES'!F70)</f>
        <v>100.97</v>
      </c>
      <c r="G69" s="4">
        <f>SUM('TOTAL VOLUME'!G69*'UPS RATES'!G70)</f>
        <v>0</v>
      </c>
      <c r="H69" s="4">
        <f>SUM('TOTAL VOLUME'!H69*'UPS RATES'!H70)</f>
        <v>0</v>
      </c>
      <c r="I69" s="4">
        <f>SUM('TOTAL VOLUME'!I69*'UPS RATES'!I70)</f>
        <v>0</v>
      </c>
      <c r="J69" s="4">
        <f>SUM('TOTAL VOLUME'!J69*'UPS RATES'!J70)</f>
        <v>0</v>
      </c>
      <c r="K69" s="4">
        <f>SUM('TOTAL VOLUME'!K69*'UPS RATES'!K70)</f>
        <v>0</v>
      </c>
      <c r="L69" s="4">
        <f>SUM('TOTAL VOLUME'!L69*'UPS RATES'!L70)</f>
        <v>0</v>
      </c>
      <c r="M69" s="4">
        <f>SUM('TOTAL VOLUME'!M69*'UPS RATES'!M70)</f>
        <v>0</v>
      </c>
      <c r="N69" s="4">
        <f>SUM('TOTAL VOLUME'!N69*'UPS RATES'!N70)</f>
        <v>0</v>
      </c>
      <c r="O69" s="4">
        <f>SUM('TOTAL VOLUME'!O69*'UPS RATES'!O70)</f>
        <v>0</v>
      </c>
      <c r="P69" s="4">
        <f>SUM('TOTAL VOLUME'!P69*'UPS RATES'!P70)</f>
        <v>38.339999999999996</v>
      </c>
      <c r="Q69" s="4">
        <f>SUM('TOTAL VOLUME'!Q69*'UPS RATES'!Q70)</f>
        <v>16.48</v>
      </c>
      <c r="R69" s="4">
        <f>SUM('TOTAL VOLUME'!R69*'UPS RATES'!R70)</f>
        <v>37.799999999999997</v>
      </c>
      <c r="S69" s="4">
        <f>SUM('TOTAL VOLUME'!S69*'UPS RATES'!S70)</f>
        <v>409.32</v>
      </c>
      <c r="T69" s="4">
        <f>SUM('TOTAL VOLUME'!T69*'UPS RATES'!T70)</f>
        <v>136.80000000000001</v>
      </c>
      <c r="U69" s="4">
        <f>SUM('TOTAL VOLUME'!U69*'UPS RATES'!U70)</f>
        <v>31.88</v>
      </c>
      <c r="V69" s="4">
        <f>SUM('TOTAL VOLUME'!V69*'UPS RATES'!V70)</f>
        <v>489.71000000000004</v>
      </c>
      <c r="W69" s="4">
        <f>SUM('TOTAL VOLUME'!W69*'UPS RATES'!W70)</f>
        <v>73.06</v>
      </c>
      <c r="X69" s="4">
        <f>SUM('TOTAL VOLUME'!X69*'UPS RATES'!X70)</f>
        <v>0</v>
      </c>
      <c r="Y69" s="4">
        <f>SUM('TOTAL VOLUME'!Y69*'UPS RATES'!Y70)</f>
        <v>181.62</v>
      </c>
      <c r="Z69" s="4">
        <f>SUM('TOTAL VOLUME'!Z69*'UPS RATES'!Z70)</f>
        <v>802.08</v>
      </c>
      <c r="AA69" s="4">
        <f>SUM('TOTAL VOLUME'!AA69*'UPS RATES'!AA70)</f>
        <v>508.2</v>
      </c>
      <c r="AB69" s="4">
        <f>SUM('TOTAL VOLUME'!AB69*'UPS RATES'!AB70)</f>
        <v>226.16</v>
      </c>
      <c r="AC69" s="4">
        <f>SUM('TOTAL VOLUME'!AC69*'UPS RATES'!AC70)</f>
        <v>1058.8500000000001</v>
      </c>
    </row>
    <row r="70" spans="1:29" x14ac:dyDescent="0.2">
      <c r="A70" s="2">
        <v>69</v>
      </c>
      <c r="B70" s="4">
        <f>SUM('TOTAL VOLUME'!B70*'UPS RATES'!B71)</f>
        <v>0</v>
      </c>
      <c r="C70" s="4">
        <f>SUM('TOTAL VOLUME'!C70*'UPS RATES'!C71)</f>
        <v>0</v>
      </c>
      <c r="D70" s="4">
        <f>SUM('TOTAL VOLUME'!D70*'UPS RATES'!D71)</f>
        <v>0</v>
      </c>
      <c r="E70" s="4">
        <f>SUM('TOTAL VOLUME'!E70*'UPS RATES'!E71)</f>
        <v>0</v>
      </c>
      <c r="F70" s="4">
        <f>SUM('TOTAL VOLUME'!F70*'UPS RATES'!F71)</f>
        <v>101.32</v>
      </c>
      <c r="G70" s="4">
        <f>SUM('TOTAL VOLUME'!G70*'UPS RATES'!G71)</f>
        <v>0</v>
      </c>
      <c r="H70" s="4">
        <f>SUM('TOTAL VOLUME'!H70*'UPS RATES'!H71)</f>
        <v>105.41</v>
      </c>
      <c r="I70" s="4">
        <f>SUM('TOTAL VOLUME'!I70*'UPS RATES'!I71)</f>
        <v>0</v>
      </c>
      <c r="J70" s="4">
        <f>SUM('TOTAL VOLUME'!J70*'UPS RATES'!J71)</f>
        <v>0</v>
      </c>
      <c r="K70" s="4">
        <f>SUM('TOTAL VOLUME'!K70*'UPS RATES'!K71)</f>
        <v>0</v>
      </c>
      <c r="L70" s="4">
        <f>SUM('TOTAL VOLUME'!L70*'UPS RATES'!L71)</f>
        <v>0</v>
      </c>
      <c r="M70" s="4">
        <f>SUM('TOTAL VOLUME'!M70*'UPS RATES'!M71)</f>
        <v>0</v>
      </c>
      <c r="N70" s="4">
        <f>SUM('TOTAL VOLUME'!N70*'UPS RATES'!N71)</f>
        <v>0</v>
      </c>
      <c r="O70" s="4">
        <f>SUM('TOTAL VOLUME'!O70*'UPS RATES'!O71)</f>
        <v>120.24</v>
      </c>
      <c r="P70" s="4">
        <f>SUM('TOTAL VOLUME'!P70*'UPS RATES'!P71)</f>
        <v>13.04</v>
      </c>
      <c r="Q70" s="4">
        <f>SUM('TOTAL VOLUME'!Q70*'UPS RATES'!Q71)</f>
        <v>16.63</v>
      </c>
      <c r="R70" s="4">
        <f>SUM('TOTAL VOLUME'!R70*'UPS RATES'!R71)</f>
        <v>38.08</v>
      </c>
      <c r="S70" s="4">
        <f>SUM('TOTAL VOLUME'!S70*'UPS RATES'!S71)</f>
        <v>366.72</v>
      </c>
      <c r="T70" s="4">
        <f>SUM('TOTAL VOLUME'!T70*'UPS RATES'!T71)</f>
        <v>330</v>
      </c>
      <c r="U70" s="4">
        <f>SUM('TOTAL VOLUME'!U70*'UPS RATES'!U71)</f>
        <v>159.55000000000001</v>
      </c>
      <c r="V70" s="4">
        <f>SUM('TOTAL VOLUME'!V70*'UPS RATES'!V71)</f>
        <v>529.62</v>
      </c>
      <c r="W70" s="4">
        <f>SUM('TOTAL VOLUME'!W70*'UPS RATES'!W71)</f>
        <v>183.1</v>
      </c>
      <c r="X70" s="4">
        <f>SUM('TOTAL VOLUME'!X70*'UPS RATES'!X71)</f>
        <v>53.67</v>
      </c>
      <c r="Y70" s="4">
        <f>SUM('TOTAL VOLUME'!Y70*'UPS RATES'!Y71)</f>
        <v>90.9</v>
      </c>
      <c r="Z70" s="4">
        <f>SUM('TOTAL VOLUME'!Z70*'UPS RATES'!Z71)</f>
        <v>1105.72</v>
      </c>
      <c r="AA70" s="4">
        <f>SUM('TOTAL VOLUME'!AA70*'UPS RATES'!AA71)</f>
        <v>712.6</v>
      </c>
      <c r="AB70" s="4">
        <f>SUM('TOTAL VOLUME'!AB70*'UPS RATES'!AB71)</f>
        <v>0</v>
      </c>
      <c r="AC70" s="4">
        <f>SUM('TOTAL VOLUME'!AC70*'UPS RATES'!AC71)</f>
        <v>479.6</v>
      </c>
    </row>
    <row r="71" spans="1:29" x14ac:dyDescent="0.2">
      <c r="A71" s="2">
        <v>70</v>
      </c>
      <c r="B71" s="4">
        <f>SUM('TOTAL VOLUME'!B71*'UPS RATES'!B72)</f>
        <v>0</v>
      </c>
      <c r="C71" s="4">
        <f>SUM('TOTAL VOLUME'!C71*'UPS RATES'!C72)</f>
        <v>0</v>
      </c>
      <c r="D71" s="4">
        <f>SUM('TOTAL VOLUME'!D71*'UPS RATES'!D72)</f>
        <v>44.08</v>
      </c>
      <c r="E71" s="4">
        <f>SUM('TOTAL VOLUME'!E71*'UPS RATES'!E72)</f>
        <v>0</v>
      </c>
      <c r="F71" s="4">
        <f>SUM('TOTAL VOLUME'!F71*'UPS RATES'!F72)</f>
        <v>0</v>
      </c>
      <c r="G71" s="4">
        <f>SUM('TOTAL VOLUME'!G71*'UPS RATES'!G72)</f>
        <v>0</v>
      </c>
      <c r="H71" s="4">
        <f>SUM('TOTAL VOLUME'!H71*'UPS RATES'!H72)</f>
        <v>0</v>
      </c>
      <c r="I71" s="4">
        <f>SUM('TOTAL VOLUME'!I71*'UPS RATES'!I72)</f>
        <v>0</v>
      </c>
      <c r="J71" s="4">
        <f>SUM('TOTAL VOLUME'!J71*'UPS RATES'!J72)</f>
        <v>0</v>
      </c>
      <c r="K71" s="4">
        <f>SUM('TOTAL VOLUME'!K71*'UPS RATES'!K72)</f>
        <v>0</v>
      </c>
      <c r="L71" s="4">
        <f>SUM('TOTAL VOLUME'!L71*'UPS RATES'!L72)</f>
        <v>0</v>
      </c>
      <c r="M71" s="4">
        <f>SUM('TOTAL VOLUME'!M71*'UPS RATES'!M72)</f>
        <v>0</v>
      </c>
      <c r="N71" s="4">
        <f>SUM('TOTAL VOLUME'!N71*'UPS RATES'!N72)</f>
        <v>105.06</v>
      </c>
      <c r="O71" s="4">
        <f>SUM('TOTAL VOLUME'!O71*'UPS RATES'!O72)</f>
        <v>120.26</v>
      </c>
      <c r="P71" s="4">
        <f>SUM('TOTAL VOLUME'!P71*'UPS RATES'!P72)</f>
        <v>117.99</v>
      </c>
      <c r="Q71" s="4">
        <f>SUM('TOTAL VOLUME'!Q71*'UPS RATES'!Q72)</f>
        <v>50.58</v>
      </c>
      <c r="R71" s="4">
        <f>SUM('TOTAL VOLUME'!R71*'UPS RATES'!R72)</f>
        <v>116.64000000000001</v>
      </c>
      <c r="S71" s="4">
        <f>SUM('TOTAL VOLUME'!S71*'UPS RATES'!S72)</f>
        <v>286.92</v>
      </c>
      <c r="T71" s="4">
        <f>SUM('TOTAL VOLUME'!T71*'UPS RATES'!T72)</f>
        <v>308.55</v>
      </c>
      <c r="U71" s="4">
        <f>SUM('TOTAL VOLUME'!U71*'UPS RATES'!U72)</f>
        <v>31.94</v>
      </c>
      <c r="V71" s="4">
        <f>SUM('TOTAL VOLUME'!V71*'UPS RATES'!V72)</f>
        <v>343.34999999999997</v>
      </c>
      <c r="W71" s="4">
        <f>SUM('TOTAL VOLUME'!W71*'UPS RATES'!W72)</f>
        <v>183.55</v>
      </c>
      <c r="X71" s="4">
        <f>SUM('TOTAL VOLUME'!X71*'UPS RATES'!X72)</f>
        <v>215.04</v>
      </c>
      <c r="Y71" s="4">
        <f>SUM('TOTAL VOLUME'!Y71*'UPS RATES'!Y72)</f>
        <v>90.99</v>
      </c>
      <c r="Z71" s="4">
        <f>SUM('TOTAL VOLUME'!Z71*'UPS RATES'!Z72)</f>
        <v>504.4</v>
      </c>
      <c r="AA71" s="4">
        <f>SUM('TOTAL VOLUME'!AA71*'UPS RATES'!AA72)</f>
        <v>203.78</v>
      </c>
      <c r="AB71" s="4">
        <f>SUM('TOTAL VOLUME'!AB71*'UPS RATES'!AB72)</f>
        <v>567.04999999999995</v>
      </c>
      <c r="AC71" s="4">
        <f>SUM('TOTAL VOLUME'!AC71*'UPS RATES'!AC72)</f>
        <v>720.72</v>
      </c>
    </row>
    <row r="72" spans="1:29" x14ac:dyDescent="0.2">
      <c r="A72" s="2">
        <v>71</v>
      </c>
      <c r="B72" s="4">
        <f>SUM('TOTAL VOLUME'!B72*'UPS RATES'!B73)</f>
        <v>0</v>
      </c>
      <c r="C72" s="4">
        <f>SUM('TOTAL VOLUME'!C72*'UPS RATES'!C73)</f>
        <v>37.79</v>
      </c>
      <c r="D72" s="4">
        <f>SUM('TOTAL VOLUME'!D72*'UPS RATES'!D73)</f>
        <v>0</v>
      </c>
      <c r="E72" s="4">
        <f>SUM('TOTAL VOLUME'!E72*'UPS RATES'!E73)</f>
        <v>66.27</v>
      </c>
      <c r="F72" s="4">
        <f>SUM('TOTAL VOLUME'!F72*'UPS RATES'!F73)</f>
        <v>0</v>
      </c>
      <c r="G72" s="4">
        <f>SUM('TOTAL VOLUME'!G72*'UPS RATES'!G73)</f>
        <v>0</v>
      </c>
      <c r="H72" s="4">
        <f>SUM('TOTAL VOLUME'!H72*'UPS RATES'!H73)</f>
        <v>0</v>
      </c>
      <c r="I72" s="4">
        <f>SUM('TOTAL VOLUME'!I72*'UPS RATES'!I73)</f>
        <v>0</v>
      </c>
      <c r="J72" s="4">
        <f>SUM('TOTAL VOLUME'!J72*'UPS RATES'!J73)</f>
        <v>0</v>
      </c>
      <c r="K72" s="4">
        <f>SUM('TOTAL VOLUME'!K72*'UPS RATES'!K73)</f>
        <v>0</v>
      </c>
      <c r="L72" s="4">
        <f>SUM('TOTAL VOLUME'!L72*'UPS RATES'!L73)</f>
        <v>0</v>
      </c>
      <c r="M72" s="4">
        <f>SUM('TOTAL VOLUME'!M72*'UPS RATES'!M73)</f>
        <v>0</v>
      </c>
      <c r="N72" s="4">
        <f>SUM('TOTAL VOLUME'!N72*'UPS RATES'!N73)</f>
        <v>0</v>
      </c>
      <c r="O72" s="4">
        <f>SUM('TOTAL VOLUME'!O72*'UPS RATES'!O73)</f>
        <v>121.7</v>
      </c>
      <c r="P72" s="4">
        <f>SUM('TOTAL VOLUME'!P72*'UPS RATES'!P73)</f>
        <v>65.7</v>
      </c>
      <c r="Q72" s="4">
        <f>SUM('TOTAL VOLUME'!Q72*'UPS RATES'!Q73)</f>
        <v>33.799999999999997</v>
      </c>
      <c r="R72" s="4">
        <f>SUM('TOTAL VOLUME'!R72*'UPS RATES'!R73)</f>
        <v>59.37</v>
      </c>
      <c r="S72" s="4">
        <f>SUM('TOTAL VOLUME'!S72*'UPS RATES'!S73)</f>
        <v>168.21</v>
      </c>
      <c r="T72" s="4">
        <f>SUM('TOTAL VOLUME'!T72*'UPS RATES'!T73)</f>
        <v>339.36</v>
      </c>
      <c r="U72" s="4">
        <f>SUM('TOTAL VOLUME'!U72*'UPS RATES'!U73)</f>
        <v>129.88</v>
      </c>
      <c r="V72" s="4">
        <f>SUM('TOTAL VOLUME'!V72*'UPS RATES'!V73)</f>
        <v>420.53</v>
      </c>
      <c r="W72" s="4">
        <f>SUM('TOTAL VOLUME'!W72*'UPS RATES'!W73)</f>
        <v>188.75</v>
      </c>
      <c r="X72" s="4">
        <f>SUM('TOTAL VOLUME'!X72*'UPS RATES'!X73)</f>
        <v>215.4</v>
      </c>
      <c r="Y72" s="4">
        <f>SUM('TOTAL VOLUME'!Y72*'UPS RATES'!Y73)</f>
        <v>365.12</v>
      </c>
      <c r="Z72" s="4">
        <f>SUM('TOTAL VOLUME'!Z72*'UPS RATES'!Z73)</f>
        <v>606.36</v>
      </c>
      <c r="AA72" s="4">
        <f>SUM('TOTAL VOLUME'!AA72*'UPS RATES'!AA73)</f>
        <v>102.08</v>
      </c>
      <c r="AB72" s="4">
        <f>SUM('TOTAL VOLUME'!AB72*'UPS RATES'!AB73)</f>
        <v>0</v>
      </c>
      <c r="AC72" s="4">
        <f>SUM('TOTAL VOLUME'!AC72*'UPS RATES'!AC73)</f>
        <v>482.24</v>
      </c>
    </row>
    <row r="73" spans="1:29" x14ac:dyDescent="0.2">
      <c r="A73" s="2">
        <v>72</v>
      </c>
      <c r="B73" s="4">
        <f>SUM('TOTAL VOLUME'!B73*'UPS RATES'!B74)</f>
        <v>0</v>
      </c>
      <c r="C73" s="4">
        <f>SUM('TOTAL VOLUME'!C73*'UPS RATES'!C74)</f>
        <v>0</v>
      </c>
      <c r="D73" s="4">
        <f>SUM('TOTAL VOLUME'!D73*'UPS RATES'!D74)</f>
        <v>0</v>
      </c>
      <c r="E73" s="4">
        <f>SUM('TOTAL VOLUME'!E73*'UPS RATES'!E74)</f>
        <v>0</v>
      </c>
      <c r="F73" s="4">
        <f>SUM('TOTAL VOLUME'!F73*'UPS RATES'!F74)</f>
        <v>0</v>
      </c>
      <c r="G73" s="4">
        <f>SUM('TOTAL VOLUME'!G73*'UPS RATES'!G74)</f>
        <v>0</v>
      </c>
      <c r="H73" s="4">
        <f>SUM('TOTAL VOLUME'!H73*'UPS RATES'!H74)</f>
        <v>0</v>
      </c>
      <c r="I73" s="4">
        <f>SUM('TOTAL VOLUME'!I73*'UPS RATES'!I74)</f>
        <v>0</v>
      </c>
      <c r="J73" s="4">
        <f>SUM('TOTAL VOLUME'!J73*'UPS RATES'!J74)</f>
        <v>0</v>
      </c>
      <c r="K73" s="4">
        <f>SUM('TOTAL VOLUME'!K73*'UPS RATES'!K74)</f>
        <v>0</v>
      </c>
      <c r="L73" s="4">
        <f>SUM('TOTAL VOLUME'!L73*'UPS RATES'!L74)</f>
        <v>0</v>
      </c>
      <c r="M73" s="4">
        <f>SUM('TOTAL VOLUME'!M73*'UPS RATES'!M74)</f>
        <v>0</v>
      </c>
      <c r="N73" s="4">
        <f>SUM('TOTAL VOLUME'!N73*'UPS RATES'!N74)</f>
        <v>0</v>
      </c>
      <c r="O73" s="4">
        <f>SUM('TOTAL VOLUME'!O73*'UPS RATES'!O74)</f>
        <v>0</v>
      </c>
      <c r="P73" s="4">
        <f>SUM('TOTAL VOLUME'!P73*'UPS RATES'!P74)</f>
        <v>0</v>
      </c>
      <c r="Q73" s="4">
        <f>SUM('TOTAL VOLUME'!Q73*'UPS RATES'!Q74)</f>
        <v>0</v>
      </c>
      <c r="R73" s="4">
        <f>SUM('TOTAL VOLUME'!R73*'UPS RATES'!R74)</f>
        <v>0</v>
      </c>
      <c r="S73" s="4">
        <f>SUM('TOTAL VOLUME'!S73*'UPS RATES'!S74)</f>
        <v>0</v>
      </c>
      <c r="T73" s="4">
        <f>SUM('TOTAL VOLUME'!T73*'UPS RATES'!T74)</f>
        <v>0</v>
      </c>
      <c r="U73" s="4">
        <f>SUM('TOTAL VOLUME'!U73*'UPS RATES'!U74)</f>
        <v>0</v>
      </c>
      <c r="V73" s="4">
        <f>SUM('TOTAL VOLUME'!V73*'UPS RATES'!V74)</f>
        <v>0</v>
      </c>
      <c r="W73" s="4">
        <f>SUM('TOTAL VOLUME'!W73*'UPS RATES'!W74)</f>
        <v>0</v>
      </c>
      <c r="X73" s="4">
        <f>SUM('TOTAL VOLUME'!X73*'UPS RATES'!X74)</f>
        <v>0</v>
      </c>
      <c r="Y73" s="4">
        <f>SUM('TOTAL VOLUME'!Y73*'UPS RATES'!Y74)</f>
        <v>0</v>
      </c>
      <c r="Z73" s="4">
        <f>SUM('TOTAL VOLUME'!Z73*'UPS RATES'!Z74)</f>
        <v>0</v>
      </c>
      <c r="AA73" s="4">
        <f>SUM('TOTAL VOLUME'!AA73*'UPS RATES'!AA74)</f>
        <v>0</v>
      </c>
      <c r="AB73" s="4">
        <f>SUM('TOTAL VOLUME'!AB73*'UPS RATES'!AB74)</f>
        <v>0</v>
      </c>
      <c r="AC73" s="4">
        <f>SUM('TOTAL VOLUME'!AC73*'UPS RATES'!AC74)</f>
        <v>0</v>
      </c>
    </row>
    <row r="74" spans="1:29" x14ac:dyDescent="0.2">
      <c r="A74" s="2">
        <v>73</v>
      </c>
      <c r="B74" s="4">
        <f>SUM('TOTAL VOLUME'!B74*'UPS RATES'!B75)</f>
        <v>0</v>
      </c>
      <c r="C74" s="4">
        <f>SUM('TOTAL VOLUME'!C74*'UPS RATES'!C75)</f>
        <v>0</v>
      </c>
      <c r="D74" s="4">
        <f>SUM('TOTAL VOLUME'!D74*'UPS RATES'!D75)</f>
        <v>0</v>
      </c>
      <c r="E74" s="4">
        <f>SUM('TOTAL VOLUME'!E74*'UPS RATES'!E75)</f>
        <v>67.48</v>
      </c>
      <c r="F74" s="4">
        <f>SUM('TOTAL VOLUME'!F74*'UPS RATES'!F75)</f>
        <v>0</v>
      </c>
      <c r="G74" s="4">
        <f>SUM('TOTAL VOLUME'!G74*'UPS RATES'!G75)</f>
        <v>0</v>
      </c>
      <c r="H74" s="4">
        <f>SUM('TOTAL VOLUME'!H74*'UPS RATES'!H75)</f>
        <v>0</v>
      </c>
      <c r="I74" s="4">
        <f>SUM('TOTAL VOLUME'!I74*'UPS RATES'!I75)</f>
        <v>0</v>
      </c>
      <c r="J74" s="4">
        <f>SUM('TOTAL VOLUME'!J74*'UPS RATES'!J75)</f>
        <v>0</v>
      </c>
      <c r="K74" s="4">
        <f>SUM('TOTAL VOLUME'!K74*'UPS RATES'!K75)</f>
        <v>0</v>
      </c>
      <c r="L74" s="4">
        <f>SUM('TOTAL VOLUME'!L74*'UPS RATES'!L75)</f>
        <v>0</v>
      </c>
      <c r="M74" s="4">
        <f>SUM('TOTAL VOLUME'!M74*'UPS RATES'!M75)</f>
        <v>0</v>
      </c>
      <c r="N74" s="4">
        <f>SUM('TOTAL VOLUME'!N74*'UPS RATES'!N75)</f>
        <v>0</v>
      </c>
      <c r="O74" s="4">
        <f>SUM('TOTAL VOLUME'!O74*'UPS RATES'!O75)</f>
        <v>0</v>
      </c>
      <c r="P74" s="4">
        <f>SUM('TOTAL VOLUME'!P74*'UPS RATES'!P75)</f>
        <v>108.8</v>
      </c>
      <c r="Q74" s="4">
        <f>SUM('TOTAL VOLUME'!Q74*'UPS RATES'!Q75)</f>
        <v>17.07</v>
      </c>
      <c r="R74" s="4">
        <f>SUM('TOTAL VOLUME'!R74*'UPS RATES'!R75)</f>
        <v>161.6</v>
      </c>
      <c r="S74" s="4">
        <f>SUM('TOTAL VOLUME'!S74*'UPS RATES'!S75)</f>
        <v>268.18</v>
      </c>
      <c r="T74" s="4">
        <f>SUM('TOTAL VOLUME'!T74*'UPS RATES'!T75)</f>
        <v>406.42</v>
      </c>
      <c r="U74" s="4">
        <f>SUM('TOTAL VOLUME'!U74*'UPS RATES'!U75)</f>
        <v>270.95999999999998</v>
      </c>
      <c r="V74" s="4">
        <f>SUM('TOTAL VOLUME'!V74*'UPS RATES'!V75)</f>
        <v>344.7</v>
      </c>
      <c r="W74" s="4">
        <f>SUM('TOTAL VOLUME'!W74*'UPS RATES'!W75)</f>
        <v>190.45000000000002</v>
      </c>
      <c r="X74" s="4">
        <f>SUM('TOTAL VOLUME'!X74*'UPS RATES'!X75)</f>
        <v>56.59</v>
      </c>
      <c r="Y74" s="4">
        <f>SUM('TOTAL VOLUME'!Y74*'UPS RATES'!Y75)</f>
        <v>488.75</v>
      </c>
      <c r="Z74" s="4">
        <f>SUM('TOTAL VOLUME'!Z74*'UPS RATES'!Z75)</f>
        <v>419.16</v>
      </c>
      <c r="AA74" s="4">
        <f>SUM('TOTAL VOLUME'!AA74*'UPS RATES'!AA75)</f>
        <v>105.84</v>
      </c>
      <c r="AB74" s="4">
        <f>SUM('TOTAL VOLUME'!AB74*'UPS RATES'!AB75)</f>
        <v>0</v>
      </c>
      <c r="AC74" s="4">
        <f>SUM('TOTAL VOLUME'!AC74*'UPS RATES'!AC75)</f>
        <v>910.84</v>
      </c>
    </row>
    <row r="75" spans="1:29" x14ac:dyDescent="0.2">
      <c r="A75" s="2">
        <v>74</v>
      </c>
      <c r="B75" s="4">
        <f>SUM('TOTAL VOLUME'!B75*'UPS RATES'!B76)</f>
        <v>0</v>
      </c>
      <c r="C75" s="4">
        <f>SUM('TOTAL VOLUME'!C75*'UPS RATES'!C76)</f>
        <v>0</v>
      </c>
      <c r="D75" s="4">
        <f>SUM('TOTAL VOLUME'!D75*'UPS RATES'!D76)</f>
        <v>0</v>
      </c>
      <c r="E75" s="4">
        <f>SUM('TOTAL VOLUME'!E75*'UPS RATES'!E76)</f>
        <v>67.599999999999994</v>
      </c>
      <c r="F75" s="4">
        <f>SUM('TOTAL VOLUME'!F75*'UPS RATES'!F76)</f>
        <v>109.33</v>
      </c>
      <c r="G75" s="4">
        <f>SUM('TOTAL VOLUME'!G75*'UPS RATES'!G76)</f>
        <v>0</v>
      </c>
      <c r="H75" s="4">
        <f>SUM('TOTAL VOLUME'!H75*'UPS RATES'!H76)</f>
        <v>0</v>
      </c>
      <c r="I75" s="4">
        <f>SUM('TOTAL VOLUME'!I75*'UPS RATES'!I76)</f>
        <v>0</v>
      </c>
      <c r="J75" s="4">
        <f>SUM('TOTAL VOLUME'!J75*'UPS RATES'!J76)</f>
        <v>0</v>
      </c>
      <c r="K75" s="4">
        <f>SUM('TOTAL VOLUME'!K75*'UPS RATES'!K76)</f>
        <v>0</v>
      </c>
      <c r="L75" s="4">
        <f>SUM('TOTAL VOLUME'!L75*'UPS RATES'!L76)</f>
        <v>0</v>
      </c>
      <c r="M75" s="4">
        <f>SUM('TOTAL VOLUME'!M75*'UPS RATES'!M76)</f>
        <v>0</v>
      </c>
      <c r="N75" s="4">
        <f>SUM('TOTAL VOLUME'!N75*'UPS RATES'!N76)</f>
        <v>0</v>
      </c>
      <c r="O75" s="4">
        <f>SUM('TOTAL VOLUME'!O75*'UPS RATES'!O76)</f>
        <v>0</v>
      </c>
      <c r="P75" s="4">
        <f>SUM('TOTAL VOLUME'!P75*'UPS RATES'!P76)</f>
        <v>125.64000000000001</v>
      </c>
      <c r="Q75" s="4">
        <f>SUM('TOTAL VOLUME'!Q75*'UPS RATES'!Q76)</f>
        <v>51.21</v>
      </c>
      <c r="R75" s="4">
        <f>SUM('TOTAL VOLUME'!R75*'UPS RATES'!R76)</f>
        <v>101.05000000000001</v>
      </c>
      <c r="S75" s="4">
        <f>SUM('TOTAL VOLUME'!S75*'UPS RATES'!S76)</f>
        <v>487.8</v>
      </c>
      <c r="T75" s="4">
        <f>SUM('TOTAL VOLUME'!T75*'UPS RATES'!T76)</f>
        <v>531.18000000000006</v>
      </c>
      <c r="U75" s="4">
        <f>SUM('TOTAL VOLUME'!U75*'UPS RATES'!U76)</f>
        <v>169.60000000000002</v>
      </c>
      <c r="V75" s="4">
        <f>SUM('TOTAL VOLUME'!V75*'UPS RATES'!V76)</f>
        <v>536.19999999999993</v>
      </c>
      <c r="W75" s="4">
        <f>SUM('TOTAL VOLUME'!W75*'UPS RATES'!W76)</f>
        <v>229.07999999999998</v>
      </c>
      <c r="X75" s="4">
        <f>SUM('TOTAL VOLUME'!X75*'UPS RATES'!X76)</f>
        <v>0</v>
      </c>
      <c r="Y75" s="4">
        <f>SUM('TOTAL VOLUME'!Y75*'UPS RATES'!Y76)</f>
        <v>587.09999999999991</v>
      </c>
      <c r="Z75" s="4">
        <f>SUM('TOTAL VOLUME'!Z75*'UPS RATES'!Z76)</f>
        <v>734.16</v>
      </c>
      <c r="AA75" s="4">
        <f>SUM('TOTAL VOLUME'!AA75*'UPS RATES'!AA76)</f>
        <v>211.86</v>
      </c>
      <c r="AB75" s="4">
        <f>SUM('TOTAL VOLUME'!AB75*'UPS RATES'!AB76)</f>
        <v>371.79</v>
      </c>
      <c r="AC75" s="4">
        <f>SUM('TOTAL VOLUME'!AC75*'UPS RATES'!AC76)</f>
        <v>1953.3</v>
      </c>
    </row>
    <row r="76" spans="1:29" x14ac:dyDescent="0.2">
      <c r="A76" s="2">
        <v>75</v>
      </c>
      <c r="B76" s="4">
        <f>SUM('TOTAL VOLUME'!B76*'UPS RATES'!B77)</f>
        <v>30.98</v>
      </c>
      <c r="C76" s="4">
        <f>SUM('TOTAL VOLUME'!C76*'UPS RATES'!C77)</f>
        <v>0</v>
      </c>
      <c r="D76" s="4">
        <f>SUM('TOTAL VOLUME'!D76*'UPS RATES'!D77)</f>
        <v>0</v>
      </c>
      <c r="E76" s="4">
        <f>SUM('TOTAL VOLUME'!E76*'UPS RATES'!E77)</f>
        <v>68.959999999999994</v>
      </c>
      <c r="F76" s="4">
        <f>SUM('TOTAL VOLUME'!F76*'UPS RATES'!F77)</f>
        <v>0</v>
      </c>
      <c r="G76" s="4">
        <f>SUM('TOTAL VOLUME'!G76*'UPS RATES'!G77)</f>
        <v>0</v>
      </c>
      <c r="H76" s="4">
        <f>SUM('TOTAL VOLUME'!H76*'UPS RATES'!H77)</f>
        <v>233.8</v>
      </c>
      <c r="I76" s="4">
        <f>SUM('TOTAL VOLUME'!I76*'UPS RATES'!I77)</f>
        <v>29.86</v>
      </c>
      <c r="J76" s="4">
        <f>SUM('TOTAL VOLUME'!J76*'UPS RATES'!J77)</f>
        <v>0</v>
      </c>
      <c r="K76" s="4">
        <f>SUM('TOTAL VOLUME'!K76*'UPS RATES'!K77)</f>
        <v>0</v>
      </c>
      <c r="L76" s="4">
        <f>SUM('TOTAL VOLUME'!L76*'UPS RATES'!L77)</f>
        <v>0</v>
      </c>
      <c r="M76" s="4">
        <f>SUM('TOTAL VOLUME'!M76*'UPS RATES'!M77)</f>
        <v>0</v>
      </c>
      <c r="N76" s="4">
        <f>SUM('TOTAL VOLUME'!N76*'UPS RATES'!N77)</f>
        <v>0</v>
      </c>
      <c r="O76" s="4">
        <f>SUM('TOTAL VOLUME'!O76*'UPS RATES'!O77)</f>
        <v>124.37</v>
      </c>
      <c r="P76" s="4">
        <f>SUM('TOTAL VOLUME'!P76*'UPS RATES'!P77)</f>
        <v>217.35</v>
      </c>
      <c r="Q76" s="4">
        <f>SUM('TOTAL VOLUME'!Q76*'UPS RATES'!Q77)</f>
        <v>68.36</v>
      </c>
      <c r="R76" s="4">
        <f>SUM('TOTAL VOLUME'!R76*'UPS RATES'!R77)</f>
        <v>141.47</v>
      </c>
      <c r="S76" s="4">
        <f>SUM('TOTAL VOLUME'!S76*'UPS RATES'!S77)</f>
        <v>221.4</v>
      </c>
      <c r="T76" s="4">
        <f>SUM('TOTAL VOLUME'!T76*'UPS RATES'!T77)</f>
        <v>1269.3599999999999</v>
      </c>
      <c r="U76" s="4">
        <f>SUM('TOTAL VOLUME'!U76*'UPS RATES'!U77)</f>
        <v>890.76</v>
      </c>
      <c r="V76" s="4">
        <f>SUM('TOTAL VOLUME'!V76*'UPS RATES'!V77)</f>
        <v>766</v>
      </c>
      <c r="W76" s="4">
        <f>SUM('TOTAL VOLUME'!W76*'UPS RATES'!W77)</f>
        <v>306.88</v>
      </c>
      <c r="X76" s="4">
        <f>SUM('TOTAL VOLUME'!X76*'UPS RATES'!X77)</f>
        <v>0</v>
      </c>
      <c r="Y76" s="4">
        <f>SUM('TOTAL VOLUME'!Y76*'UPS RATES'!Y77)</f>
        <v>98.01</v>
      </c>
      <c r="Z76" s="4">
        <f>SUM('TOTAL VOLUME'!Z76*'UPS RATES'!Z77)</f>
        <v>630.29999999999995</v>
      </c>
      <c r="AA76" s="4">
        <f>SUM('TOTAL VOLUME'!AA76*'UPS RATES'!AA77)</f>
        <v>1591.5</v>
      </c>
      <c r="AB76" s="4">
        <f>SUM('TOTAL VOLUME'!AB76*'UPS RATES'!AB77)</f>
        <v>620.5</v>
      </c>
      <c r="AC76" s="4">
        <f>SUM('TOTAL VOLUME'!AC76*'UPS RATES'!AC77)</f>
        <v>1434.1799999999998</v>
      </c>
    </row>
    <row r="77" spans="1:29" x14ac:dyDescent="0.2">
      <c r="A77" s="2">
        <v>76</v>
      </c>
      <c r="B77" s="4">
        <f>SUM('TOTAL VOLUME'!B77*'UPS RATES'!B78)</f>
        <v>0</v>
      </c>
      <c r="C77" s="4">
        <f>SUM('TOTAL VOLUME'!C77*'UPS RATES'!C78)</f>
        <v>0</v>
      </c>
      <c r="D77" s="4">
        <f>SUM('TOTAL VOLUME'!D77*'UPS RATES'!D78)</f>
        <v>0</v>
      </c>
      <c r="E77" s="4">
        <f>SUM('TOTAL VOLUME'!E77*'UPS RATES'!E78)</f>
        <v>0</v>
      </c>
      <c r="F77" s="4">
        <f>SUM('TOTAL VOLUME'!F77*'UPS RATES'!F78)</f>
        <v>0</v>
      </c>
      <c r="G77" s="4">
        <f>SUM('TOTAL VOLUME'!G77*'UPS RATES'!G78)</f>
        <v>0</v>
      </c>
      <c r="H77" s="4">
        <f>SUM('TOTAL VOLUME'!H77*'UPS RATES'!H78)</f>
        <v>118.72</v>
      </c>
      <c r="I77" s="4">
        <f>SUM('TOTAL VOLUME'!I77*'UPS RATES'!I78)</f>
        <v>0</v>
      </c>
      <c r="J77" s="4">
        <f>SUM('TOTAL VOLUME'!J77*'UPS RATES'!J78)</f>
        <v>0</v>
      </c>
      <c r="K77" s="4">
        <f>SUM('TOTAL VOLUME'!K77*'UPS RATES'!K78)</f>
        <v>0</v>
      </c>
      <c r="L77" s="4">
        <f>SUM('TOTAL VOLUME'!L77*'UPS RATES'!L78)</f>
        <v>67.77</v>
      </c>
      <c r="M77" s="4">
        <f>SUM('TOTAL VOLUME'!M77*'UPS RATES'!M78)</f>
        <v>0</v>
      </c>
      <c r="N77" s="4">
        <f>SUM('TOTAL VOLUME'!N77*'UPS RATES'!N78)</f>
        <v>0</v>
      </c>
      <c r="O77" s="4">
        <f>SUM('TOTAL VOLUME'!O77*'UPS RATES'!O78)</f>
        <v>0</v>
      </c>
      <c r="P77" s="4">
        <f>SUM('TOTAL VOLUME'!P77*'UPS RATES'!P78)</f>
        <v>156</v>
      </c>
      <c r="Q77" s="4">
        <f>SUM('TOTAL VOLUME'!Q77*'UPS RATES'!Q78)</f>
        <v>72.16</v>
      </c>
      <c r="R77" s="4">
        <f>SUM('TOTAL VOLUME'!R77*'UPS RATES'!R78)</f>
        <v>81.36</v>
      </c>
      <c r="S77" s="4">
        <f>SUM('TOTAL VOLUME'!S77*'UPS RATES'!S78)</f>
        <v>174.86</v>
      </c>
      <c r="T77" s="4">
        <f>SUM('TOTAL VOLUME'!T77*'UPS RATES'!T78)</f>
        <v>512.89</v>
      </c>
      <c r="U77" s="4">
        <f>SUM('TOTAL VOLUME'!U77*'UPS RATES'!U78)</f>
        <v>243.74</v>
      </c>
      <c r="V77" s="4">
        <f>SUM('TOTAL VOLUME'!V77*'UPS RATES'!V78)</f>
        <v>773.6</v>
      </c>
      <c r="W77" s="4">
        <f>SUM('TOTAL VOLUME'!W77*'UPS RATES'!W78)</f>
        <v>80.66</v>
      </c>
      <c r="X77" s="4">
        <f>SUM('TOTAL VOLUME'!X77*'UPS RATES'!X78)</f>
        <v>58.46</v>
      </c>
      <c r="Y77" s="4">
        <f>SUM('TOTAL VOLUME'!Y77*'UPS RATES'!Y78)</f>
        <v>492.70000000000005</v>
      </c>
      <c r="Z77" s="4">
        <f>SUM('TOTAL VOLUME'!Z77*'UPS RATES'!Z78)</f>
        <v>423.8</v>
      </c>
      <c r="AA77" s="4">
        <f>SUM('TOTAL VOLUME'!AA77*'UPS RATES'!AA78)</f>
        <v>0</v>
      </c>
      <c r="AB77" s="4">
        <f>SUM('TOTAL VOLUME'!AB77*'UPS RATES'!AB78)</f>
        <v>254.76</v>
      </c>
      <c r="AC77" s="4">
        <f>SUM('TOTAL VOLUME'!AC77*'UPS RATES'!AC78)</f>
        <v>1566.48</v>
      </c>
    </row>
    <row r="78" spans="1:29" x14ac:dyDescent="0.2">
      <c r="A78" s="2">
        <v>77</v>
      </c>
      <c r="B78" s="4">
        <f>SUM('TOTAL VOLUME'!B78*'UPS RATES'!B79)</f>
        <v>0</v>
      </c>
      <c r="C78" s="4">
        <f>SUM('TOTAL VOLUME'!C78*'UPS RATES'!C79)</f>
        <v>0</v>
      </c>
      <c r="D78" s="4">
        <f>SUM('TOTAL VOLUME'!D78*'UPS RATES'!D79)</f>
        <v>0</v>
      </c>
      <c r="E78" s="4">
        <f>SUM('TOTAL VOLUME'!E78*'UPS RATES'!E79)</f>
        <v>0</v>
      </c>
      <c r="F78" s="4">
        <f>SUM('TOTAL VOLUME'!F78*'UPS RATES'!F79)</f>
        <v>0</v>
      </c>
      <c r="G78" s="4">
        <f>SUM('TOTAL VOLUME'!G78*'UPS RATES'!G79)</f>
        <v>0</v>
      </c>
      <c r="H78" s="4">
        <f>SUM('TOTAL VOLUME'!H78*'UPS RATES'!H79)</f>
        <v>0</v>
      </c>
      <c r="I78" s="4">
        <f>SUM('TOTAL VOLUME'!I78*'UPS RATES'!I79)</f>
        <v>0</v>
      </c>
      <c r="J78" s="4">
        <f>SUM('TOTAL VOLUME'!J78*'UPS RATES'!J79)</f>
        <v>0</v>
      </c>
      <c r="K78" s="4">
        <f>SUM('TOTAL VOLUME'!K78*'UPS RATES'!K79)</f>
        <v>0</v>
      </c>
      <c r="L78" s="4">
        <f>SUM('TOTAL VOLUME'!L78*'UPS RATES'!L79)</f>
        <v>0</v>
      </c>
      <c r="M78" s="4">
        <f>SUM('TOTAL VOLUME'!M78*'UPS RATES'!M79)</f>
        <v>0</v>
      </c>
      <c r="N78" s="4">
        <f>SUM('TOTAL VOLUME'!N78*'UPS RATES'!N79)</f>
        <v>0</v>
      </c>
      <c r="O78" s="4">
        <f>SUM('TOTAL VOLUME'!O78*'UPS RATES'!O79)</f>
        <v>0</v>
      </c>
      <c r="P78" s="4">
        <f>SUM('TOTAL VOLUME'!P78*'UPS RATES'!P79)</f>
        <v>0</v>
      </c>
      <c r="Q78" s="4">
        <f>SUM('TOTAL VOLUME'!Q78*'UPS RATES'!Q79)</f>
        <v>0</v>
      </c>
      <c r="R78" s="4">
        <f>SUM('TOTAL VOLUME'!R78*'UPS RATES'!R79)</f>
        <v>0</v>
      </c>
      <c r="S78" s="4">
        <f>SUM('TOTAL VOLUME'!S78*'UPS RATES'!S79)</f>
        <v>0</v>
      </c>
      <c r="T78" s="4">
        <f>SUM('TOTAL VOLUME'!T78*'UPS RATES'!T79)</f>
        <v>0</v>
      </c>
      <c r="U78" s="4">
        <f>SUM('TOTAL VOLUME'!U78*'UPS RATES'!U79)</f>
        <v>0</v>
      </c>
      <c r="V78" s="4">
        <f>SUM('TOTAL VOLUME'!V78*'UPS RATES'!V79)</f>
        <v>0</v>
      </c>
      <c r="W78" s="4">
        <f>SUM('TOTAL VOLUME'!W78*'UPS RATES'!W79)</f>
        <v>0</v>
      </c>
      <c r="X78" s="4">
        <f>SUM('TOTAL VOLUME'!X78*'UPS RATES'!X79)</f>
        <v>0</v>
      </c>
      <c r="Y78" s="4">
        <f>SUM('TOTAL VOLUME'!Y78*'UPS RATES'!Y79)</f>
        <v>0</v>
      </c>
      <c r="Z78" s="4">
        <f>SUM('TOTAL VOLUME'!Z78*'UPS RATES'!Z79)</f>
        <v>0</v>
      </c>
      <c r="AA78" s="4">
        <f>SUM('TOTAL VOLUME'!AA78*'UPS RATES'!AA79)</f>
        <v>0</v>
      </c>
      <c r="AB78" s="4">
        <f>SUM('TOTAL VOLUME'!AB78*'UPS RATES'!AB79)</f>
        <v>0</v>
      </c>
      <c r="AC78" s="4">
        <f>SUM('TOTAL VOLUME'!AC78*'UPS RATES'!AC79)</f>
        <v>0</v>
      </c>
    </row>
    <row r="79" spans="1:29" x14ac:dyDescent="0.2">
      <c r="A79" s="2">
        <v>78</v>
      </c>
      <c r="B79" s="4">
        <f>SUM('TOTAL VOLUME'!B79*'UPS RATES'!B80)</f>
        <v>0</v>
      </c>
      <c r="C79" s="4">
        <f>SUM('TOTAL VOLUME'!C79*'UPS RATES'!C80)</f>
        <v>0</v>
      </c>
      <c r="D79" s="4">
        <f>SUM('TOTAL VOLUME'!D79*'UPS RATES'!D80)</f>
        <v>0</v>
      </c>
      <c r="E79" s="4">
        <f>SUM('TOTAL VOLUME'!E79*'UPS RATES'!E80)</f>
        <v>0</v>
      </c>
      <c r="F79" s="4">
        <f>SUM('TOTAL VOLUME'!F79*'UPS RATES'!F80)</f>
        <v>0</v>
      </c>
      <c r="G79" s="4">
        <f>SUM('TOTAL VOLUME'!G79*'UPS RATES'!G80)</f>
        <v>0</v>
      </c>
      <c r="H79" s="4">
        <f>SUM('TOTAL VOLUME'!H79*'UPS RATES'!H80)</f>
        <v>262.18</v>
      </c>
      <c r="I79" s="4">
        <f>SUM('TOTAL VOLUME'!I79*'UPS RATES'!I80)</f>
        <v>0</v>
      </c>
      <c r="J79" s="4">
        <f>SUM('TOTAL VOLUME'!J79*'UPS RATES'!J80)</f>
        <v>0</v>
      </c>
      <c r="K79" s="4">
        <f>SUM('TOTAL VOLUME'!K79*'UPS RATES'!K80)</f>
        <v>0</v>
      </c>
      <c r="L79" s="4">
        <f>SUM('TOTAL VOLUME'!L79*'UPS RATES'!L80)</f>
        <v>0</v>
      </c>
      <c r="M79" s="4">
        <f>SUM('TOTAL VOLUME'!M79*'UPS RATES'!M80)</f>
        <v>0</v>
      </c>
      <c r="N79" s="4">
        <f>SUM('TOTAL VOLUME'!N79*'UPS RATES'!N80)</f>
        <v>0</v>
      </c>
      <c r="O79" s="4">
        <f>SUM('TOTAL VOLUME'!O79*'UPS RATES'!O80)</f>
        <v>0</v>
      </c>
      <c r="P79" s="4">
        <f>SUM('TOTAL VOLUME'!P79*'UPS RATES'!P80)</f>
        <v>64.959999999999994</v>
      </c>
      <c r="Q79" s="4">
        <f>SUM('TOTAL VOLUME'!Q79*'UPS RATES'!Q80)</f>
        <v>37.979999999999997</v>
      </c>
      <c r="R79" s="4">
        <f>SUM('TOTAL VOLUME'!R79*'UPS RATES'!R80)</f>
        <v>105.95</v>
      </c>
      <c r="S79" s="4">
        <f>SUM('TOTAL VOLUME'!S79*'UPS RATES'!S80)</f>
        <v>228.33</v>
      </c>
      <c r="T79" s="4">
        <f>SUM('TOTAL VOLUME'!T79*'UPS RATES'!T80)</f>
        <v>152.65</v>
      </c>
      <c r="U79" s="4">
        <f>SUM('TOTAL VOLUME'!U79*'UPS RATES'!U80)</f>
        <v>72.14</v>
      </c>
      <c r="V79" s="4">
        <f>SUM('TOTAL VOLUME'!V79*'UPS RATES'!V80)</f>
        <v>425.70000000000005</v>
      </c>
      <c r="W79" s="4">
        <f>SUM('TOTAL VOLUME'!W79*'UPS RATES'!W80)</f>
        <v>203.55</v>
      </c>
      <c r="X79" s="4">
        <f>SUM('TOTAL VOLUME'!X79*'UPS RATES'!X80)</f>
        <v>0</v>
      </c>
      <c r="Y79" s="4">
        <f>SUM('TOTAL VOLUME'!Y79*'UPS RATES'!Y80)</f>
        <v>102.57</v>
      </c>
      <c r="Z79" s="4">
        <f>SUM('TOTAL VOLUME'!Z79*'UPS RATES'!Z80)</f>
        <v>554</v>
      </c>
      <c r="AA79" s="4">
        <f>SUM('TOTAL VOLUME'!AA79*'UPS RATES'!AA80)</f>
        <v>342.71999999999997</v>
      </c>
      <c r="AB79" s="4">
        <f>SUM('TOTAL VOLUME'!AB79*'UPS RATES'!AB80)</f>
        <v>0</v>
      </c>
      <c r="AC79" s="4">
        <f>SUM('TOTAL VOLUME'!AC79*'UPS RATES'!AC80)</f>
        <v>785.22</v>
      </c>
    </row>
    <row r="80" spans="1:29" x14ac:dyDescent="0.2">
      <c r="A80" s="2">
        <v>79</v>
      </c>
      <c r="B80" s="4">
        <f>SUM('TOTAL VOLUME'!B80*'UPS RATES'!B81)</f>
        <v>0</v>
      </c>
      <c r="C80" s="4">
        <f>SUM('TOTAL VOLUME'!C80*'UPS RATES'!C81)</f>
        <v>0</v>
      </c>
      <c r="D80" s="4">
        <f>SUM('TOTAL VOLUME'!D80*'UPS RATES'!D81)</f>
        <v>0</v>
      </c>
      <c r="E80" s="4">
        <f>SUM('TOTAL VOLUME'!E80*'UPS RATES'!E81)</f>
        <v>0</v>
      </c>
      <c r="F80" s="4">
        <f>SUM('TOTAL VOLUME'!F80*'UPS RATES'!F81)</f>
        <v>117.41</v>
      </c>
      <c r="G80" s="4">
        <f>SUM('TOTAL VOLUME'!G80*'UPS RATES'!G81)</f>
        <v>0</v>
      </c>
      <c r="H80" s="4">
        <f>SUM('TOTAL VOLUME'!H80*'UPS RATES'!H81)</f>
        <v>131.97</v>
      </c>
      <c r="I80" s="4">
        <f>SUM('TOTAL VOLUME'!I80*'UPS RATES'!I81)</f>
        <v>0</v>
      </c>
      <c r="J80" s="4">
        <f>SUM('TOTAL VOLUME'!J80*'UPS RATES'!J81)</f>
        <v>0</v>
      </c>
      <c r="K80" s="4">
        <f>SUM('TOTAL VOLUME'!K80*'UPS RATES'!K81)</f>
        <v>0</v>
      </c>
      <c r="L80" s="4">
        <f>SUM('TOTAL VOLUME'!L80*'UPS RATES'!L81)</f>
        <v>0</v>
      </c>
      <c r="M80" s="4">
        <f>SUM('TOTAL VOLUME'!M80*'UPS RATES'!M81)</f>
        <v>0</v>
      </c>
      <c r="N80" s="4">
        <f>SUM('TOTAL VOLUME'!N80*'UPS RATES'!N81)</f>
        <v>0</v>
      </c>
      <c r="O80" s="4">
        <f>SUM('TOTAL VOLUME'!O80*'UPS RATES'!O81)</f>
        <v>0</v>
      </c>
      <c r="P80" s="4">
        <f>SUM('TOTAL VOLUME'!P80*'UPS RATES'!P81)</f>
        <v>84.85</v>
      </c>
      <c r="Q80" s="4">
        <f>SUM('TOTAL VOLUME'!Q80*'UPS RATES'!Q81)</f>
        <v>0</v>
      </c>
      <c r="R80" s="4">
        <f>SUM('TOTAL VOLUME'!R80*'UPS RATES'!R81)</f>
        <v>130.19999999999999</v>
      </c>
      <c r="S80" s="4">
        <f>SUM('TOTAL VOLUME'!S80*'UPS RATES'!S81)</f>
        <v>206.16</v>
      </c>
      <c r="T80" s="4">
        <f>SUM('TOTAL VOLUME'!T80*'UPS RATES'!T81)</f>
        <v>405.21000000000004</v>
      </c>
      <c r="U80" s="4">
        <f>SUM('TOTAL VOLUME'!U80*'UPS RATES'!U81)</f>
        <v>146.52000000000001</v>
      </c>
      <c r="V80" s="4">
        <f>SUM('TOTAL VOLUME'!V80*'UPS RATES'!V81)</f>
        <v>510.9</v>
      </c>
      <c r="W80" s="4">
        <f>SUM('TOTAL VOLUME'!W80*'UPS RATES'!W81)</f>
        <v>368.01</v>
      </c>
      <c r="X80" s="4">
        <f>SUM('TOTAL VOLUME'!X80*'UPS RATES'!X81)</f>
        <v>60.79</v>
      </c>
      <c r="Y80" s="4">
        <f>SUM('TOTAL VOLUME'!Y80*'UPS RATES'!Y81)</f>
        <v>205.86</v>
      </c>
      <c r="Z80" s="4">
        <f>SUM('TOTAL VOLUME'!Z80*'UPS RATES'!Z81)</f>
        <v>0</v>
      </c>
      <c r="AA80" s="4">
        <f>SUM('TOTAL VOLUME'!AA80*'UPS RATES'!AA81)</f>
        <v>695.58</v>
      </c>
      <c r="AB80" s="4">
        <f>SUM('TOTAL VOLUME'!AB80*'UPS RATES'!AB81)</f>
        <v>394.04999999999995</v>
      </c>
      <c r="AC80" s="4">
        <f>SUM('TOTAL VOLUME'!AC80*'UPS RATES'!AC81)</f>
        <v>1724.7099999999998</v>
      </c>
    </row>
    <row r="81" spans="1:29" x14ac:dyDescent="0.2">
      <c r="A81" s="2">
        <v>80</v>
      </c>
      <c r="B81" s="4">
        <f>SUM('TOTAL VOLUME'!B81*'UPS RATES'!B82)</f>
        <v>0</v>
      </c>
      <c r="C81" s="4">
        <f>SUM('TOTAL VOLUME'!C81*'UPS RATES'!C82)</f>
        <v>0</v>
      </c>
      <c r="D81" s="4">
        <f>SUM('TOTAL VOLUME'!D81*'UPS RATES'!D82)</f>
        <v>47.17</v>
      </c>
      <c r="E81" s="4">
        <f>SUM('TOTAL VOLUME'!E81*'UPS RATES'!E82)</f>
        <v>0</v>
      </c>
      <c r="F81" s="4">
        <f>SUM('TOTAL VOLUME'!F81*'UPS RATES'!F82)</f>
        <v>123.8</v>
      </c>
      <c r="G81" s="4">
        <f>SUM('TOTAL VOLUME'!G81*'UPS RATES'!G82)</f>
        <v>0</v>
      </c>
      <c r="H81" s="4">
        <f>SUM('TOTAL VOLUME'!H81*'UPS RATES'!H82)</f>
        <v>0</v>
      </c>
      <c r="I81" s="4">
        <f>SUM('TOTAL VOLUME'!I81*'UPS RATES'!I82)</f>
        <v>0</v>
      </c>
      <c r="J81" s="4">
        <f>SUM('TOTAL VOLUME'!J81*'UPS RATES'!J82)</f>
        <v>0</v>
      </c>
      <c r="K81" s="4">
        <f>SUM('TOTAL VOLUME'!K81*'UPS RATES'!K82)</f>
        <v>0</v>
      </c>
      <c r="L81" s="4">
        <f>SUM('TOTAL VOLUME'!L81*'UPS RATES'!L82)</f>
        <v>0</v>
      </c>
      <c r="M81" s="4">
        <f>SUM('TOTAL VOLUME'!M81*'UPS RATES'!M82)</f>
        <v>0</v>
      </c>
      <c r="N81" s="4">
        <f>SUM('TOTAL VOLUME'!N81*'UPS RATES'!N82)</f>
        <v>0</v>
      </c>
      <c r="O81" s="4">
        <f>SUM('TOTAL VOLUME'!O81*'UPS RATES'!O82)</f>
        <v>133.30000000000001</v>
      </c>
      <c r="P81" s="4">
        <f>SUM('TOTAL VOLUME'!P81*'UPS RATES'!P82)</f>
        <v>697.2</v>
      </c>
      <c r="Q81" s="4">
        <f>SUM('TOTAL VOLUME'!Q81*'UPS RATES'!Q82)</f>
        <v>120.96000000000001</v>
      </c>
      <c r="R81" s="4">
        <f>SUM('TOTAL VOLUME'!R81*'UPS RATES'!R82)</f>
        <v>109.1</v>
      </c>
      <c r="S81" s="4">
        <f>SUM('TOTAL VOLUME'!S81*'UPS RATES'!S82)</f>
        <v>237.42</v>
      </c>
      <c r="T81" s="4">
        <f>SUM('TOTAL VOLUME'!T81*'UPS RATES'!T82)</f>
        <v>570.42000000000007</v>
      </c>
      <c r="U81" s="4">
        <f>SUM('TOTAL VOLUME'!U81*'UPS RATES'!U82)</f>
        <v>222.84</v>
      </c>
      <c r="V81" s="4">
        <f>SUM('TOTAL VOLUME'!V81*'UPS RATES'!V82)</f>
        <v>792</v>
      </c>
      <c r="W81" s="4">
        <f>SUM('TOTAL VOLUME'!W81*'UPS RATES'!W82)</f>
        <v>0</v>
      </c>
      <c r="X81" s="4">
        <f>SUM('TOTAL VOLUME'!X81*'UPS RATES'!X82)</f>
        <v>0</v>
      </c>
      <c r="Y81" s="4">
        <f>SUM('TOTAL VOLUME'!Y81*'UPS RATES'!Y82)</f>
        <v>0</v>
      </c>
      <c r="Z81" s="4">
        <f>SUM('TOTAL VOLUME'!Z81*'UPS RATES'!Z82)</f>
        <v>112.81</v>
      </c>
      <c r="AA81" s="4">
        <f>SUM('TOTAL VOLUME'!AA81*'UPS RATES'!AA82)</f>
        <v>116.26</v>
      </c>
      <c r="AB81" s="4">
        <f>SUM('TOTAL VOLUME'!AB81*'UPS RATES'!AB82)</f>
        <v>0</v>
      </c>
      <c r="AC81" s="4">
        <f>SUM('TOTAL VOLUME'!AC81*'UPS RATES'!AC82)</f>
        <v>266.44</v>
      </c>
    </row>
    <row r="82" spans="1:29" x14ac:dyDescent="0.2">
      <c r="A82" s="2">
        <v>81</v>
      </c>
      <c r="B82" s="4">
        <f>SUM('TOTAL VOLUME'!B82*'UPS RATES'!B83)</f>
        <v>33.619999999999997</v>
      </c>
      <c r="C82" s="4">
        <f>SUM('TOTAL VOLUME'!C82*'UPS RATES'!C83)</f>
        <v>0</v>
      </c>
      <c r="D82" s="4">
        <f>SUM('TOTAL VOLUME'!D82*'UPS RATES'!D83)</f>
        <v>0</v>
      </c>
      <c r="E82" s="4">
        <f>SUM('TOTAL VOLUME'!E82*'UPS RATES'!E83)</f>
        <v>147.69999999999999</v>
      </c>
      <c r="F82" s="4">
        <f>SUM('TOTAL VOLUME'!F82*'UPS RATES'!F83)</f>
        <v>0</v>
      </c>
      <c r="G82" s="4">
        <f>SUM('TOTAL VOLUME'!G82*'UPS RATES'!G83)</f>
        <v>0</v>
      </c>
      <c r="H82" s="4">
        <f>SUM('TOTAL VOLUME'!H82*'UPS RATES'!H83)</f>
        <v>0</v>
      </c>
      <c r="I82" s="4">
        <f>SUM('TOTAL VOLUME'!I82*'UPS RATES'!I83)</f>
        <v>0</v>
      </c>
      <c r="J82" s="4">
        <f>SUM('TOTAL VOLUME'!J82*'UPS RATES'!J83)</f>
        <v>0</v>
      </c>
      <c r="K82" s="4">
        <f>SUM('TOTAL VOLUME'!K82*'UPS RATES'!K83)</f>
        <v>0</v>
      </c>
      <c r="L82" s="4">
        <f>SUM('TOTAL VOLUME'!L82*'UPS RATES'!L83)</f>
        <v>0</v>
      </c>
      <c r="M82" s="4">
        <f>SUM('TOTAL VOLUME'!M82*'UPS RATES'!M83)</f>
        <v>0</v>
      </c>
      <c r="N82" s="4">
        <f>SUM('TOTAL VOLUME'!N82*'UPS RATES'!N83)</f>
        <v>0</v>
      </c>
      <c r="O82" s="4">
        <f>SUM('TOTAL VOLUME'!O82*'UPS RATES'!O83)</f>
        <v>0</v>
      </c>
      <c r="P82" s="4">
        <f>SUM('TOTAL VOLUME'!P82*'UPS RATES'!P83)</f>
        <v>89.25</v>
      </c>
      <c r="Q82" s="4">
        <f>SUM('TOTAL VOLUME'!Q82*'UPS RATES'!Q83)</f>
        <v>40.659999999999997</v>
      </c>
      <c r="R82" s="4">
        <f>SUM('TOTAL VOLUME'!R82*'UPS RATES'!R83)</f>
        <v>111.75</v>
      </c>
      <c r="S82" s="4">
        <f>SUM('TOTAL VOLUME'!S82*'UPS RATES'!S83)</f>
        <v>159.35999999999999</v>
      </c>
      <c r="T82" s="4">
        <f>SUM('TOTAL VOLUME'!T82*'UPS RATES'!T83)</f>
        <v>802.5</v>
      </c>
      <c r="U82" s="4">
        <f>SUM('TOTAL VOLUME'!U82*'UPS RATES'!U83)</f>
        <v>74.72</v>
      </c>
      <c r="V82" s="4">
        <f>SUM('TOTAL VOLUME'!V82*'UPS RATES'!V83)</f>
        <v>397.40000000000003</v>
      </c>
      <c r="W82" s="4">
        <f>SUM('TOTAL VOLUME'!W82*'UPS RATES'!W83)</f>
        <v>42.9</v>
      </c>
      <c r="X82" s="4">
        <f>SUM('TOTAL VOLUME'!X82*'UPS RATES'!X83)</f>
        <v>123.52</v>
      </c>
      <c r="Y82" s="4">
        <f>SUM('TOTAL VOLUME'!Y82*'UPS RATES'!Y83)</f>
        <v>0</v>
      </c>
      <c r="Z82" s="4">
        <f>SUM('TOTAL VOLUME'!Z82*'UPS RATES'!Z83)</f>
        <v>0</v>
      </c>
      <c r="AA82" s="4">
        <f>SUM('TOTAL VOLUME'!AA82*'UPS RATES'!AA83)</f>
        <v>734.58</v>
      </c>
      <c r="AB82" s="4">
        <f>SUM('TOTAL VOLUME'!AB82*'UPS RATES'!AB83)</f>
        <v>135.22999999999999</v>
      </c>
      <c r="AC82" s="4">
        <f>SUM('TOTAL VOLUME'!AC82*'UPS RATES'!AC83)</f>
        <v>273.48</v>
      </c>
    </row>
    <row r="83" spans="1:29" x14ac:dyDescent="0.2">
      <c r="A83" s="2">
        <v>82</v>
      </c>
      <c r="B83" s="4">
        <f>SUM('TOTAL VOLUME'!B83*'UPS RATES'!B84)</f>
        <v>0</v>
      </c>
      <c r="C83" s="4">
        <f>SUM('TOTAL VOLUME'!C83*'UPS RATES'!C84)</f>
        <v>0</v>
      </c>
      <c r="D83" s="4">
        <f>SUM('TOTAL VOLUME'!D83*'UPS RATES'!D84)</f>
        <v>0</v>
      </c>
      <c r="E83" s="4">
        <f>SUM('TOTAL VOLUME'!E83*'UPS RATES'!E84)</f>
        <v>74.08</v>
      </c>
      <c r="F83" s="4">
        <f>SUM('TOTAL VOLUME'!F83*'UPS RATES'!F84)</f>
        <v>0</v>
      </c>
      <c r="G83" s="4">
        <f>SUM('TOTAL VOLUME'!G83*'UPS RATES'!G84)</f>
        <v>0</v>
      </c>
      <c r="H83" s="4">
        <f>SUM('TOTAL VOLUME'!H83*'UPS RATES'!H84)</f>
        <v>0</v>
      </c>
      <c r="I83" s="4">
        <f>SUM('TOTAL VOLUME'!I83*'UPS RATES'!I84)</f>
        <v>0</v>
      </c>
      <c r="J83" s="4">
        <f>SUM('TOTAL VOLUME'!J83*'UPS RATES'!J84)</f>
        <v>0</v>
      </c>
      <c r="K83" s="4">
        <f>SUM('TOTAL VOLUME'!K83*'UPS RATES'!K84)</f>
        <v>0</v>
      </c>
      <c r="L83" s="4">
        <f>SUM('TOTAL VOLUME'!L83*'UPS RATES'!L84)</f>
        <v>0</v>
      </c>
      <c r="M83" s="4">
        <f>SUM('TOTAL VOLUME'!M83*'UPS RATES'!M84)</f>
        <v>0</v>
      </c>
      <c r="N83" s="4">
        <f>SUM('TOTAL VOLUME'!N83*'UPS RATES'!N84)</f>
        <v>0</v>
      </c>
      <c r="O83" s="4">
        <f>SUM('TOTAL VOLUME'!O83*'UPS RATES'!O84)</f>
        <v>0</v>
      </c>
      <c r="P83" s="4">
        <f>SUM('TOTAL VOLUME'!P83*'UPS RATES'!P84)</f>
        <v>110.52000000000001</v>
      </c>
      <c r="Q83" s="4">
        <f>SUM('TOTAL VOLUME'!Q83*'UPS RATES'!Q84)</f>
        <v>0</v>
      </c>
      <c r="R83" s="4">
        <f>SUM('TOTAL VOLUME'!R83*'UPS RATES'!R84)</f>
        <v>70.08</v>
      </c>
      <c r="S83" s="4">
        <f>SUM('TOTAL VOLUME'!S83*'UPS RATES'!S84)</f>
        <v>54.42</v>
      </c>
      <c r="T83" s="4">
        <f>SUM('TOTAL VOLUME'!T83*'UPS RATES'!T84)</f>
        <v>160.9</v>
      </c>
      <c r="U83" s="4">
        <f>SUM('TOTAL VOLUME'!U83*'UPS RATES'!U84)</f>
        <v>38.32</v>
      </c>
      <c r="V83" s="4">
        <f>SUM('TOTAL VOLUME'!V83*'UPS RATES'!V84)</f>
        <v>319.04000000000002</v>
      </c>
      <c r="W83" s="4">
        <f>SUM('TOTAL VOLUME'!W83*'UPS RATES'!W84)</f>
        <v>0</v>
      </c>
      <c r="X83" s="4">
        <f>SUM('TOTAL VOLUME'!X83*'UPS RATES'!X84)</f>
        <v>0</v>
      </c>
      <c r="Y83" s="4">
        <f>SUM('TOTAL VOLUME'!Y83*'UPS RATES'!Y84)</f>
        <v>0</v>
      </c>
      <c r="Z83" s="4">
        <f>SUM('TOTAL VOLUME'!Z83*'UPS RATES'!Z84)</f>
        <v>0</v>
      </c>
      <c r="AA83" s="4">
        <f>SUM('TOTAL VOLUME'!AA83*'UPS RATES'!AA84)</f>
        <v>0</v>
      </c>
      <c r="AB83" s="4">
        <f>SUM('TOTAL VOLUME'!AB83*'UPS RATES'!AB84)</f>
        <v>0</v>
      </c>
      <c r="AC83" s="4">
        <f>SUM('TOTAL VOLUME'!AC83*'UPS RATES'!AC84)</f>
        <v>137.08000000000001</v>
      </c>
    </row>
    <row r="84" spans="1:29" x14ac:dyDescent="0.2">
      <c r="A84" s="2">
        <v>83</v>
      </c>
      <c r="B84" s="4">
        <f>SUM('TOTAL VOLUME'!B84*'UPS RATES'!B85)</f>
        <v>0</v>
      </c>
      <c r="C84" s="4">
        <f>SUM('TOTAL VOLUME'!C84*'UPS RATES'!C85)</f>
        <v>0</v>
      </c>
      <c r="D84" s="4">
        <f>SUM('TOTAL VOLUME'!D84*'UPS RATES'!D85)</f>
        <v>0</v>
      </c>
      <c r="E84" s="4">
        <f>SUM('TOTAL VOLUME'!E84*'UPS RATES'!E85)</f>
        <v>0</v>
      </c>
      <c r="F84" s="4">
        <f>SUM('TOTAL VOLUME'!F84*'UPS RATES'!F85)</f>
        <v>126.64</v>
      </c>
      <c r="G84" s="4">
        <f>SUM('TOTAL VOLUME'!G84*'UPS RATES'!G85)</f>
        <v>0</v>
      </c>
      <c r="H84" s="4">
        <f>SUM('TOTAL VOLUME'!H84*'UPS RATES'!H85)</f>
        <v>133.56</v>
      </c>
      <c r="I84" s="4">
        <f>SUM('TOTAL VOLUME'!I84*'UPS RATES'!I85)</f>
        <v>0</v>
      </c>
      <c r="J84" s="4">
        <f>SUM('TOTAL VOLUME'!J84*'UPS RATES'!J85)</f>
        <v>0</v>
      </c>
      <c r="K84" s="4">
        <f>SUM('TOTAL VOLUME'!K84*'UPS RATES'!K85)</f>
        <v>0</v>
      </c>
      <c r="L84" s="4">
        <f>SUM('TOTAL VOLUME'!L84*'UPS RATES'!L85)</f>
        <v>0</v>
      </c>
      <c r="M84" s="4">
        <f>SUM('TOTAL VOLUME'!M84*'UPS RATES'!M85)</f>
        <v>0</v>
      </c>
      <c r="N84" s="4">
        <f>SUM('TOTAL VOLUME'!N84*'UPS RATES'!N85)</f>
        <v>0</v>
      </c>
      <c r="O84" s="4">
        <f>SUM('TOTAL VOLUME'!O84*'UPS RATES'!O85)</f>
        <v>0</v>
      </c>
      <c r="P84" s="4">
        <f>SUM('TOTAL VOLUME'!P84*'UPS RATES'!P85)</f>
        <v>110.64000000000001</v>
      </c>
      <c r="Q84" s="4">
        <f>SUM('TOTAL VOLUME'!Q84*'UPS RATES'!Q85)</f>
        <v>62.46</v>
      </c>
      <c r="R84" s="4">
        <f>SUM('TOTAL VOLUME'!R84*'UPS RATES'!R85)</f>
        <v>116.85000000000001</v>
      </c>
      <c r="S84" s="4">
        <f>SUM('TOTAL VOLUME'!S84*'UPS RATES'!S85)</f>
        <v>190.67999999999998</v>
      </c>
      <c r="T84" s="4">
        <f>SUM('TOTAL VOLUME'!T84*'UPS RATES'!T85)</f>
        <v>161.4</v>
      </c>
      <c r="U84" s="4">
        <f>SUM('TOTAL VOLUME'!U84*'UPS RATES'!U85)</f>
        <v>0</v>
      </c>
      <c r="V84" s="4">
        <f>SUM('TOTAL VOLUME'!V84*'UPS RATES'!V85)</f>
        <v>440.22</v>
      </c>
      <c r="W84" s="4">
        <f>SUM('TOTAL VOLUME'!W84*'UPS RATES'!W85)</f>
        <v>0</v>
      </c>
      <c r="X84" s="4">
        <f>SUM('TOTAL VOLUME'!X84*'UPS RATES'!X85)</f>
        <v>0</v>
      </c>
      <c r="Y84" s="4">
        <f>SUM('TOTAL VOLUME'!Y84*'UPS RATES'!Y85)</f>
        <v>0</v>
      </c>
      <c r="Z84" s="4">
        <f>SUM('TOTAL VOLUME'!Z84*'UPS RATES'!Z85)</f>
        <v>120.58</v>
      </c>
      <c r="AA84" s="4">
        <f>SUM('TOTAL VOLUME'!AA84*'UPS RATES'!AA85)</f>
        <v>123.22</v>
      </c>
      <c r="AB84" s="4">
        <f>SUM('TOTAL VOLUME'!AB84*'UPS RATES'!AB85)</f>
        <v>271.48</v>
      </c>
      <c r="AC84" s="4">
        <f>SUM('TOTAL VOLUME'!AC84*'UPS RATES'!AC85)</f>
        <v>411.78</v>
      </c>
    </row>
    <row r="85" spans="1:29" x14ac:dyDescent="0.2">
      <c r="A85" s="2">
        <v>84</v>
      </c>
      <c r="B85" s="4">
        <f>SUM('TOTAL VOLUME'!B85*'UPS RATES'!B86)</f>
        <v>34.64</v>
      </c>
      <c r="C85" s="4">
        <f>SUM('TOTAL VOLUME'!C85*'UPS RATES'!C86)</f>
        <v>0</v>
      </c>
      <c r="D85" s="4">
        <f>SUM('TOTAL VOLUME'!D85*'UPS RATES'!D86)</f>
        <v>0</v>
      </c>
      <c r="E85" s="4">
        <f>SUM('TOTAL VOLUME'!E85*'UPS RATES'!E86)</f>
        <v>0</v>
      </c>
      <c r="F85" s="4">
        <f>SUM('TOTAL VOLUME'!F85*'UPS RATES'!F86)</f>
        <v>0</v>
      </c>
      <c r="G85" s="4">
        <f>SUM('TOTAL VOLUME'!G85*'UPS RATES'!G86)</f>
        <v>0</v>
      </c>
      <c r="H85" s="4">
        <f>SUM('TOTAL VOLUME'!H85*'UPS RATES'!H86)</f>
        <v>135.82</v>
      </c>
      <c r="I85" s="4">
        <f>SUM('TOTAL VOLUME'!I85*'UPS RATES'!I86)</f>
        <v>0</v>
      </c>
      <c r="J85" s="4">
        <f>SUM('TOTAL VOLUME'!J85*'UPS RATES'!J86)</f>
        <v>0</v>
      </c>
      <c r="K85" s="4">
        <f>SUM('TOTAL VOLUME'!K85*'UPS RATES'!K86)</f>
        <v>0</v>
      </c>
      <c r="L85" s="4">
        <f>SUM('TOTAL VOLUME'!L85*'UPS RATES'!L86)</f>
        <v>0</v>
      </c>
      <c r="M85" s="4">
        <f>SUM('TOTAL VOLUME'!M85*'UPS RATES'!M86)</f>
        <v>0</v>
      </c>
      <c r="N85" s="4">
        <f>SUM('TOTAL VOLUME'!N85*'UPS RATES'!N86)</f>
        <v>0</v>
      </c>
      <c r="O85" s="4">
        <f>SUM('TOTAL VOLUME'!O85*'UPS RATES'!O86)</f>
        <v>138.52000000000001</v>
      </c>
      <c r="P85" s="4">
        <f>SUM('TOTAL VOLUME'!P85*'UPS RATES'!P86)</f>
        <v>95.850000000000009</v>
      </c>
      <c r="Q85" s="4">
        <f>SUM('TOTAL VOLUME'!Q85*'UPS RATES'!Q86)</f>
        <v>21.66</v>
      </c>
      <c r="R85" s="4">
        <f>SUM('TOTAL VOLUME'!R85*'UPS RATES'!R86)</f>
        <v>48.08</v>
      </c>
      <c r="S85" s="4">
        <f>SUM('TOTAL VOLUME'!S85*'UPS RATES'!S86)</f>
        <v>55</v>
      </c>
      <c r="T85" s="4">
        <f>SUM('TOTAL VOLUME'!T85*'UPS RATES'!T86)</f>
        <v>66.14</v>
      </c>
      <c r="U85" s="4">
        <f>SUM('TOTAL VOLUME'!U85*'UPS RATES'!U86)</f>
        <v>77.58</v>
      </c>
      <c r="V85" s="4">
        <f>SUM('TOTAL VOLUME'!V85*'UPS RATES'!V86)</f>
        <v>200.3</v>
      </c>
      <c r="W85" s="4">
        <f>SUM('TOTAL VOLUME'!W85*'UPS RATES'!W86)</f>
        <v>0</v>
      </c>
      <c r="X85" s="4">
        <f>SUM('TOTAL VOLUME'!X85*'UPS RATES'!X86)</f>
        <v>62.3</v>
      </c>
      <c r="Y85" s="4">
        <f>SUM('TOTAL VOLUME'!Y85*'UPS RATES'!Y86)</f>
        <v>0</v>
      </c>
      <c r="Z85" s="4">
        <f>SUM('TOTAL VOLUME'!Z85*'UPS RATES'!Z86)</f>
        <v>0</v>
      </c>
      <c r="AA85" s="4">
        <f>SUM('TOTAL VOLUME'!AA85*'UPS RATES'!AA86)</f>
        <v>0</v>
      </c>
      <c r="AB85" s="4">
        <f>SUM('TOTAL VOLUME'!AB85*'UPS RATES'!AB86)</f>
        <v>0</v>
      </c>
      <c r="AC85" s="4">
        <f>SUM('TOTAL VOLUME'!AC85*'UPS RATES'!AC86)</f>
        <v>560.55999999999995</v>
      </c>
    </row>
    <row r="86" spans="1:29" x14ac:dyDescent="0.2">
      <c r="A86" s="2">
        <v>85</v>
      </c>
      <c r="B86" s="4">
        <f>SUM('TOTAL VOLUME'!B86*'UPS RATES'!B87)</f>
        <v>0</v>
      </c>
      <c r="C86" s="4">
        <f>SUM('TOTAL VOLUME'!C86*'UPS RATES'!C87)</f>
        <v>0</v>
      </c>
      <c r="D86" s="4">
        <f>SUM('TOTAL VOLUME'!D86*'UPS RATES'!D87)</f>
        <v>0</v>
      </c>
      <c r="E86" s="4">
        <f>SUM('TOTAL VOLUME'!E86*'UPS RATES'!E87)</f>
        <v>77.61</v>
      </c>
      <c r="F86" s="4">
        <f>SUM('TOTAL VOLUME'!F86*'UPS RATES'!F87)</f>
        <v>0</v>
      </c>
      <c r="G86" s="4">
        <f>SUM('TOTAL VOLUME'!G86*'UPS RATES'!G87)</f>
        <v>0</v>
      </c>
      <c r="H86" s="4">
        <f>SUM('TOTAL VOLUME'!H86*'UPS RATES'!H87)</f>
        <v>0</v>
      </c>
      <c r="I86" s="4">
        <f>SUM('TOTAL VOLUME'!I86*'UPS RATES'!I87)</f>
        <v>0</v>
      </c>
      <c r="J86" s="4">
        <f>SUM('TOTAL VOLUME'!J86*'UPS RATES'!J87)</f>
        <v>0</v>
      </c>
      <c r="K86" s="4">
        <f>SUM('TOTAL VOLUME'!K86*'UPS RATES'!K87)</f>
        <v>0</v>
      </c>
      <c r="L86" s="4">
        <f>SUM('TOTAL VOLUME'!L86*'UPS RATES'!L87)</f>
        <v>0</v>
      </c>
      <c r="M86" s="4">
        <f>SUM('TOTAL VOLUME'!M86*'UPS RATES'!M87)</f>
        <v>0</v>
      </c>
      <c r="N86" s="4">
        <f>SUM('TOTAL VOLUME'!N86*'UPS RATES'!N87)</f>
        <v>0</v>
      </c>
      <c r="O86" s="4">
        <f>SUM('TOTAL VOLUME'!O86*'UPS RATES'!O87)</f>
        <v>0</v>
      </c>
      <c r="P86" s="4">
        <f>SUM('TOTAL VOLUME'!P86*'UPS RATES'!P87)</f>
        <v>177.21</v>
      </c>
      <c r="Q86" s="4">
        <f>SUM('TOTAL VOLUME'!Q86*'UPS RATES'!Q87)</f>
        <v>21.65</v>
      </c>
      <c r="R86" s="4">
        <f>SUM('TOTAL VOLUME'!R86*'UPS RATES'!R87)</f>
        <v>0</v>
      </c>
      <c r="S86" s="4">
        <f>SUM('TOTAL VOLUME'!S86*'UPS RATES'!S87)</f>
        <v>55.88</v>
      </c>
      <c r="T86" s="4">
        <f>SUM('TOTAL VOLUME'!T86*'UPS RATES'!T87)</f>
        <v>166.35000000000002</v>
      </c>
      <c r="U86" s="4">
        <f>SUM('TOTAL VOLUME'!U86*'UPS RATES'!U87)</f>
        <v>39.200000000000003</v>
      </c>
      <c r="V86" s="4">
        <f>SUM('TOTAL VOLUME'!V86*'UPS RATES'!V87)</f>
        <v>202.45000000000002</v>
      </c>
      <c r="W86" s="4">
        <f>SUM('TOTAL VOLUME'!W86*'UPS RATES'!W87)</f>
        <v>43.63</v>
      </c>
      <c r="X86" s="4">
        <f>SUM('TOTAL VOLUME'!X86*'UPS RATES'!X87)</f>
        <v>0</v>
      </c>
      <c r="Y86" s="4">
        <f>SUM('TOTAL VOLUME'!Y86*'UPS RATES'!Y87)</f>
        <v>0</v>
      </c>
      <c r="Z86" s="4">
        <f>SUM('TOTAL VOLUME'!Z86*'UPS RATES'!Z87)</f>
        <v>0</v>
      </c>
      <c r="AA86" s="4">
        <f>SUM('TOTAL VOLUME'!AA86*'UPS RATES'!AA87)</f>
        <v>0</v>
      </c>
      <c r="AB86" s="4">
        <f>SUM('TOTAL VOLUME'!AB86*'UPS RATES'!AB87)</f>
        <v>0</v>
      </c>
      <c r="AC86" s="4">
        <f>SUM('TOTAL VOLUME'!AC86*'UPS RATES'!AC87)</f>
        <v>0</v>
      </c>
    </row>
    <row r="87" spans="1:29" x14ac:dyDescent="0.2">
      <c r="A87" s="2">
        <v>86</v>
      </c>
      <c r="B87" s="4">
        <f>SUM('TOTAL VOLUME'!B87*'UPS RATES'!B88)</f>
        <v>0</v>
      </c>
      <c r="C87" s="4">
        <f>SUM('TOTAL VOLUME'!C87*'UPS RATES'!C88)</f>
        <v>0</v>
      </c>
      <c r="D87" s="4">
        <f>SUM('TOTAL VOLUME'!D87*'UPS RATES'!D88)</f>
        <v>0</v>
      </c>
      <c r="E87" s="4">
        <f>SUM('TOTAL VOLUME'!E87*'UPS RATES'!E88)</f>
        <v>0</v>
      </c>
      <c r="F87" s="4">
        <f>SUM('TOTAL VOLUME'!F87*'UPS RATES'!F88)</f>
        <v>0</v>
      </c>
      <c r="G87" s="4">
        <f>SUM('TOTAL VOLUME'!G87*'UPS RATES'!G88)</f>
        <v>0</v>
      </c>
      <c r="H87" s="4">
        <f>SUM('TOTAL VOLUME'!H87*'UPS RATES'!H88)</f>
        <v>0</v>
      </c>
      <c r="I87" s="4">
        <f>SUM('TOTAL VOLUME'!I87*'UPS RATES'!I88)</f>
        <v>0</v>
      </c>
      <c r="J87" s="4">
        <f>SUM('TOTAL VOLUME'!J87*'UPS RATES'!J88)</f>
        <v>0</v>
      </c>
      <c r="K87" s="4">
        <f>SUM('TOTAL VOLUME'!K87*'UPS RATES'!K88)</f>
        <v>0</v>
      </c>
      <c r="L87" s="4">
        <f>SUM('TOTAL VOLUME'!L87*'UPS RATES'!L88)</f>
        <v>0</v>
      </c>
      <c r="M87" s="4">
        <f>SUM('TOTAL VOLUME'!M87*'UPS RATES'!M88)</f>
        <v>0</v>
      </c>
      <c r="N87" s="4">
        <f>SUM('TOTAL VOLUME'!N87*'UPS RATES'!N88)</f>
        <v>0</v>
      </c>
      <c r="O87" s="4">
        <f>SUM('TOTAL VOLUME'!O87*'UPS RATES'!O88)</f>
        <v>0</v>
      </c>
      <c r="P87" s="4">
        <f>SUM('TOTAL VOLUME'!P87*'UPS RATES'!P88)</f>
        <v>0</v>
      </c>
      <c r="Q87" s="4">
        <f>SUM('TOTAL VOLUME'!Q87*'UPS RATES'!Q88)</f>
        <v>0</v>
      </c>
      <c r="R87" s="4">
        <f>SUM('TOTAL VOLUME'!R87*'UPS RATES'!R88)</f>
        <v>0</v>
      </c>
      <c r="S87" s="4">
        <f>SUM('TOTAL VOLUME'!S87*'UPS RATES'!S88)</f>
        <v>0</v>
      </c>
      <c r="T87" s="4">
        <f>SUM('TOTAL VOLUME'!T87*'UPS RATES'!T88)</f>
        <v>0</v>
      </c>
      <c r="U87" s="4">
        <f>SUM('TOTAL VOLUME'!U87*'UPS RATES'!U88)</f>
        <v>0</v>
      </c>
      <c r="V87" s="4">
        <f>SUM('TOTAL VOLUME'!V87*'UPS RATES'!V88)</f>
        <v>0</v>
      </c>
      <c r="W87" s="4">
        <f>SUM('TOTAL VOLUME'!W87*'UPS RATES'!W88)</f>
        <v>0</v>
      </c>
      <c r="X87" s="4">
        <f>SUM('TOTAL VOLUME'!X87*'UPS RATES'!X88)</f>
        <v>0</v>
      </c>
      <c r="Y87" s="4">
        <f>SUM('TOTAL VOLUME'!Y87*'UPS RATES'!Y88)</f>
        <v>0</v>
      </c>
      <c r="Z87" s="4">
        <f>SUM('TOTAL VOLUME'!Z87*'UPS RATES'!Z88)</f>
        <v>0</v>
      </c>
      <c r="AA87" s="4">
        <f>SUM('TOTAL VOLUME'!AA87*'UPS RATES'!AA88)</f>
        <v>0</v>
      </c>
      <c r="AB87" s="4">
        <f>SUM('TOTAL VOLUME'!AB87*'UPS RATES'!AB88)</f>
        <v>0</v>
      </c>
      <c r="AC87" s="4">
        <f>SUM('TOTAL VOLUME'!AC87*'UPS RATES'!AC88)</f>
        <v>0</v>
      </c>
    </row>
    <row r="88" spans="1:29" x14ac:dyDescent="0.2">
      <c r="A88" s="2">
        <v>87</v>
      </c>
      <c r="B88" s="4">
        <f>SUM('TOTAL VOLUME'!B88*'UPS RATES'!B89)</f>
        <v>0</v>
      </c>
      <c r="C88" s="4">
        <f>SUM('TOTAL VOLUME'!C88*'UPS RATES'!C89)</f>
        <v>0</v>
      </c>
      <c r="D88" s="4">
        <f>SUM('TOTAL VOLUME'!D88*'UPS RATES'!D89)</f>
        <v>0</v>
      </c>
      <c r="E88" s="4">
        <f>SUM('TOTAL VOLUME'!E88*'UPS RATES'!E89)</f>
        <v>0</v>
      </c>
      <c r="F88" s="4">
        <f>SUM('TOTAL VOLUME'!F88*'UPS RATES'!F89)</f>
        <v>0</v>
      </c>
      <c r="G88" s="4">
        <f>SUM('TOTAL VOLUME'!G88*'UPS RATES'!G89)</f>
        <v>0</v>
      </c>
      <c r="H88" s="4">
        <f>SUM('TOTAL VOLUME'!H88*'UPS RATES'!H89)</f>
        <v>0</v>
      </c>
      <c r="I88" s="4">
        <f>SUM('TOTAL VOLUME'!I88*'UPS RATES'!I89)</f>
        <v>0</v>
      </c>
      <c r="J88" s="4">
        <f>SUM('TOTAL VOLUME'!J88*'UPS RATES'!J89)</f>
        <v>0</v>
      </c>
      <c r="K88" s="4">
        <f>SUM('TOTAL VOLUME'!K88*'UPS RATES'!K89)</f>
        <v>0</v>
      </c>
      <c r="L88" s="4">
        <f>SUM('TOTAL VOLUME'!L88*'UPS RATES'!L89)</f>
        <v>0</v>
      </c>
      <c r="M88" s="4">
        <f>SUM('TOTAL VOLUME'!M88*'UPS RATES'!M89)</f>
        <v>0</v>
      </c>
      <c r="N88" s="4">
        <f>SUM('TOTAL VOLUME'!N88*'UPS RATES'!N89)</f>
        <v>0</v>
      </c>
      <c r="O88" s="4">
        <f>SUM('TOTAL VOLUME'!O88*'UPS RATES'!O89)</f>
        <v>0</v>
      </c>
      <c r="P88" s="4">
        <f>SUM('TOTAL VOLUME'!P88*'UPS RATES'!P89)</f>
        <v>0</v>
      </c>
      <c r="Q88" s="4">
        <f>SUM('TOTAL VOLUME'!Q88*'UPS RATES'!Q89)</f>
        <v>0</v>
      </c>
      <c r="R88" s="4">
        <f>SUM('TOTAL VOLUME'!R88*'UPS RATES'!R89)</f>
        <v>0</v>
      </c>
      <c r="S88" s="4">
        <f>SUM('TOTAL VOLUME'!S88*'UPS RATES'!S89)</f>
        <v>0</v>
      </c>
      <c r="T88" s="4">
        <f>SUM('TOTAL VOLUME'!T88*'UPS RATES'!T89)</f>
        <v>0</v>
      </c>
      <c r="U88" s="4">
        <f>SUM('TOTAL VOLUME'!U88*'UPS RATES'!U89)</f>
        <v>0</v>
      </c>
      <c r="V88" s="4">
        <f>SUM('TOTAL VOLUME'!V88*'UPS RATES'!V89)</f>
        <v>0</v>
      </c>
      <c r="W88" s="4">
        <f>SUM('TOTAL VOLUME'!W88*'UPS RATES'!W89)</f>
        <v>0</v>
      </c>
      <c r="X88" s="4">
        <f>SUM('TOTAL VOLUME'!X88*'UPS RATES'!X89)</f>
        <v>0</v>
      </c>
      <c r="Y88" s="4">
        <f>SUM('TOTAL VOLUME'!Y88*'UPS RATES'!Y89)</f>
        <v>0</v>
      </c>
      <c r="Z88" s="4">
        <f>SUM('TOTAL VOLUME'!Z88*'UPS RATES'!Z89)</f>
        <v>0</v>
      </c>
      <c r="AA88" s="4">
        <f>SUM('TOTAL VOLUME'!AA88*'UPS RATES'!AA89)</f>
        <v>0</v>
      </c>
      <c r="AB88" s="4">
        <f>SUM('TOTAL VOLUME'!AB88*'UPS RATES'!AB89)</f>
        <v>0</v>
      </c>
      <c r="AC88" s="4">
        <f>SUM('TOTAL VOLUME'!AC88*'UPS RATES'!AC89)</f>
        <v>0</v>
      </c>
    </row>
    <row r="89" spans="1:29" x14ac:dyDescent="0.2">
      <c r="A89" s="2">
        <v>88</v>
      </c>
      <c r="B89" s="4">
        <f>SUM('TOTAL VOLUME'!B89*'UPS RATES'!B90)</f>
        <v>0</v>
      </c>
      <c r="C89" s="4">
        <f>SUM('TOTAL VOLUME'!C89*'UPS RATES'!C90)</f>
        <v>0</v>
      </c>
      <c r="D89" s="4">
        <f>SUM('TOTAL VOLUME'!D89*'UPS RATES'!D90)</f>
        <v>0</v>
      </c>
      <c r="E89" s="4">
        <f>SUM('TOTAL VOLUME'!E89*'UPS RATES'!E90)</f>
        <v>0</v>
      </c>
      <c r="F89" s="4">
        <f>SUM('TOTAL VOLUME'!F89*'UPS RATES'!F90)</f>
        <v>128.94</v>
      </c>
      <c r="G89" s="4">
        <f>SUM('TOTAL VOLUME'!G89*'UPS RATES'!G90)</f>
        <v>135.53</v>
      </c>
      <c r="H89" s="4">
        <f>SUM('TOTAL VOLUME'!H89*'UPS RATES'!H90)</f>
        <v>0</v>
      </c>
      <c r="I89" s="4">
        <f>SUM('TOTAL VOLUME'!I89*'UPS RATES'!I90)</f>
        <v>0</v>
      </c>
      <c r="J89" s="4">
        <f>SUM('TOTAL VOLUME'!J89*'UPS RATES'!J90)</f>
        <v>0</v>
      </c>
      <c r="K89" s="4">
        <f>SUM('TOTAL VOLUME'!K89*'UPS RATES'!K90)</f>
        <v>0</v>
      </c>
      <c r="L89" s="4">
        <f>SUM('TOTAL VOLUME'!L89*'UPS RATES'!L90)</f>
        <v>0</v>
      </c>
      <c r="M89" s="4">
        <f>SUM('TOTAL VOLUME'!M89*'UPS RATES'!M90)</f>
        <v>0</v>
      </c>
      <c r="N89" s="4">
        <f>SUM('TOTAL VOLUME'!N89*'UPS RATES'!N90)</f>
        <v>0</v>
      </c>
      <c r="O89" s="4">
        <f>SUM('TOTAL VOLUME'!O89*'UPS RATES'!O90)</f>
        <v>0</v>
      </c>
      <c r="P89" s="4">
        <f>SUM('TOTAL VOLUME'!P89*'UPS RATES'!P90)</f>
        <v>173.52</v>
      </c>
      <c r="Q89" s="4">
        <f>SUM('TOTAL VOLUME'!Q89*'UPS RATES'!Q90)</f>
        <v>70.14</v>
      </c>
      <c r="R89" s="4">
        <f>SUM('TOTAL VOLUME'!R89*'UPS RATES'!R90)</f>
        <v>77.37</v>
      </c>
      <c r="S89" s="4">
        <f>SUM('TOTAL VOLUME'!S89*'UPS RATES'!S90)</f>
        <v>58.78</v>
      </c>
      <c r="T89" s="4">
        <f>SUM('TOTAL VOLUME'!T89*'UPS RATES'!T90)</f>
        <v>69.12</v>
      </c>
      <c r="U89" s="4">
        <f>SUM('TOTAL VOLUME'!U89*'UPS RATES'!U90)</f>
        <v>121.17</v>
      </c>
      <c r="V89" s="4">
        <f>SUM('TOTAL VOLUME'!V89*'UPS RATES'!V90)</f>
        <v>464.75</v>
      </c>
      <c r="W89" s="4">
        <f>SUM('TOTAL VOLUME'!W89*'UPS RATES'!W90)</f>
        <v>137.97</v>
      </c>
      <c r="X89" s="4">
        <f>SUM('TOTAL VOLUME'!X89*'UPS RATES'!X90)</f>
        <v>0</v>
      </c>
      <c r="Y89" s="4">
        <f>SUM('TOTAL VOLUME'!Y89*'UPS RATES'!Y90)</f>
        <v>0</v>
      </c>
      <c r="Z89" s="4">
        <f>SUM('TOTAL VOLUME'!Z89*'UPS RATES'!Z90)</f>
        <v>0</v>
      </c>
      <c r="AA89" s="4">
        <f>SUM('TOTAL VOLUME'!AA89*'UPS RATES'!AA90)</f>
        <v>0</v>
      </c>
      <c r="AB89" s="4">
        <f>SUM('TOTAL VOLUME'!AB89*'UPS RATES'!AB90)</f>
        <v>0</v>
      </c>
      <c r="AC89" s="4">
        <f>SUM('TOTAL VOLUME'!AC89*'UPS RATES'!AC90)</f>
        <v>283.14</v>
      </c>
    </row>
    <row r="90" spans="1:29" x14ac:dyDescent="0.2">
      <c r="A90" s="2">
        <v>89</v>
      </c>
      <c r="B90" s="4">
        <f>SUM('TOTAL VOLUME'!B90*'UPS RATES'!B91)</f>
        <v>0</v>
      </c>
      <c r="C90" s="4">
        <f>SUM('TOTAL VOLUME'!C90*'UPS RATES'!C91)</f>
        <v>43.94</v>
      </c>
      <c r="D90" s="4">
        <f>SUM('TOTAL VOLUME'!D90*'UPS RATES'!D91)</f>
        <v>0</v>
      </c>
      <c r="E90" s="4">
        <f>SUM('TOTAL VOLUME'!E90*'UPS RATES'!E91)</f>
        <v>0</v>
      </c>
      <c r="F90" s="4">
        <f>SUM('TOTAL VOLUME'!F90*'UPS RATES'!F91)</f>
        <v>0</v>
      </c>
      <c r="G90" s="4">
        <f>SUM('TOTAL VOLUME'!G90*'UPS RATES'!G91)</f>
        <v>135.76</v>
      </c>
      <c r="H90" s="4">
        <f>SUM('TOTAL VOLUME'!H90*'UPS RATES'!H91)</f>
        <v>138.47999999999999</v>
      </c>
      <c r="I90" s="4">
        <f>SUM('TOTAL VOLUME'!I90*'UPS RATES'!I91)</f>
        <v>0</v>
      </c>
      <c r="J90" s="4">
        <f>SUM('TOTAL VOLUME'!J90*'UPS RATES'!J91)</f>
        <v>0</v>
      </c>
      <c r="K90" s="4">
        <f>SUM('TOTAL VOLUME'!K90*'UPS RATES'!K91)</f>
        <v>0</v>
      </c>
      <c r="L90" s="4">
        <f>SUM('TOTAL VOLUME'!L90*'UPS RATES'!L91)</f>
        <v>0</v>
      </c>
      <c r="M90" s="4">
        <f>SUM('TOTAL VOLUME'!M90*'UPS RATES'!M91)</f>
        <v>0</v>
      </c>
      <c r="N90" s="4">
        <f>SUM('TOTAL VOLUME'!N90*'UPS RATES'!N91)</f>
        <v>0</v>
      </c>
      <c r="O90" s="4">
        <f>SUM('TOTAL VOLUME'!O90*'UPS RATES'!O91)</f>
        <v>0</v>
      </c>
      <c r="P90" s="4">
        <f>SUM('TOTAL VOLUME'!P90*'UPS RATES'!P91)</f>
        <v>22.66</v>
      </c>
      <c r="Q90" s="4">
        <f>SUM('TOTAL VOLUME'!Q90*'UPS RATES'!Q91)</f>
        <v>24.03</v>
      </c>
      <c r="R90" s="4">
        <f>SUM('TOTAL VOLUME'!R90*'UPS RATES'!R91)</f>
        <v>105.24</v>
      </c>
      <c r="S90" s="4">
        <f>SUM('TOTAL VOLUME'!S90*'UPS RATES'!S91)</f>
        <v>29.5</v>
      </c>
      <c r="T90" s="4">
        <f>SUM('TOTAL VOLUME'!T90*'UPS RATES'!T91)</f>
        <v>105.93</v>
      </c>
      <c r="U90" s="4">
        <f>SUM('TOTAL VOLUME'!U90*'UPS RATES'!U91)</f>
        <v>122.39999999999999</v>
      </c>
      <c r="V90" s="4">
        <f>SUM('TOTAL VOLUME'!V90*'UPS RATES'!V91)</f>
        <v>215.7</v>
      </c>
      <c r="W90" s="4">
        <f>SUM('TOTAL VOLUME'!W90*'UPS RATES'!W91)</f>
        <v>0</v>
      </c>
      <c r="X90" s="4">
        <f>SUM('TOTAL VOLUME'!X90*'UPS RATES'!X91)</f>
        <v>130.74</v>
      </c>
      <c r="Y90" s="4">
        <f>SUM('TOTAL VOLUME'!Y90*'UPS RATES'!Y91)</f>
        <v>232.78</v>
      </c>
      <c r="Z90" s="4">
        <f>SUM('TOTAL VOLUME'!Z90*'UPS RATES'!Z91)</f>
        <v>0</v>
      </c>
      <c r="AA90" s="4">
        <f>SUM('TOTAL VOLUME'!AA90*'UPS RATES'!AA91)</f>
        <v>130.99</v>
      </c>
      <c r="AB90" s="4">
        <f>SUM('TOTAL VOLUME'!AB90*'UPS RATES'!AB91)</f>
        <v>0</v>
      </c>
      <c r="AC90" s="4">
        <f>SUM('TOTAL VOLUME'!AC90*'UPS RATES'!AC91)</f>
        <v>155.79</v>
      </c>
    </row>
    <row r="91" spans="1:29" x14ac:dyDescent="0.2">
      <c r="A91" s="2">
        <v>90</v>
      </c>
      <c r="B91" s="4">
        <f>SUM('TOTAL VOLUME'!B91*'UPS RATES'!B92)</f>
        <v>0</v>
      </c>
      <c r="C91" s="4">
        <f>SUM('TOTAL VOLUME'!C91*'UPS RATES'!C92)</f>
        <v>43.95</v>
      </c>
      <c r="D91" s="4">
        <f>SUM('TOTAL VOLUME'!D91*'UPS RATES'!D92)</f>
        <v>0</v>
      </c>
      <c r="E91" s="4">
        <f>SUM('TOTAL VOLUME'!E91*'UPS RATES'!E92)</f>
        <v>0</v>
      </c>
      <c r="F91" s="4">
        <f>SUM('TOTAL VOLUME'!F91*'UPS RATES'!F92)</f>
        <v>0</v>
      </c>
      <c r="G91" s="4">
        <f>SUM('TOTAL VOLUME'!G91*'UPS RATES'!G92)</f>
        <v>0</v>
      </c>
      <c r="H91" s="4">
        <f>SUM('TOTAL VOLUME'!H91*'UPS RATES'!H92)</f>
        <v>0</v>
      </c>
      <c r="I91" s="4">
        <f>SUM('TOTAL VOLUME'!I91*'UPS RATES'!I92)</f>
        <v>0</v>
      </c>
      <c r="J91" s="4">
        <f>SUM('TOTAL VOLUME'!J91*'UPS RATES'!J92)</f>
        <v>0</v>
      </c>
      <c r="K91" s="4">
        <f>SUM('TOTAL VOLUME'!K91*'UPS RATES'!K92)</f>
        <v>0</v>
      </c>
      <c r="L91" s="4">
        <f>SUM('TOTAL VOLUME'!L91*'UPS RATES'!L92)</f>
        <v>0</v>
      </c>
      <c r="M91" s="4">
        <f>SUM('TOTAL VOLUME'!M91*'UPS RATES'!M92)</f>
        <v>0</v>
      </c>
      <c r="N91" s="4">
        <f>SUM('TOTAL VOLUME'!N91*'UPS RATES'!N92)</f>
        <v>0</v>
      </c>
      <c r="O91" s="4">
        <f>SUM('TOTAL VOLUME'!O91*'UPS RATES'!O92)</f>
        <v>0</v>
      </c>
      <c r="P91" s="4">
        <f>SUM('TOTAL VOLUME'!P91*'UPS RATES'!P92)</f>
        <v>72.09</v>
      </c>
      <c r="Q91" s="4">
        <f>SUM('TOTAL VOLUME'!Q91*'UPS RATES'!Q92)</f>
        <v>0</v>
      </c>
      <c r="R91" s="4">
        <f>SUM('TOTAL VOLUME'!R91*'UPS RATES'!R92)</f>
        <v>0</v>
      </c>
      <c r="S91" s="4">
        <f>SUM('TOTAL VOLUME'!S91*'UPS RATES'!S92)</f>
        <v>121.44</v>
      </c>
      <c r="T91" s="4">
        <f>SUM('TOTAL VOLUME'!T91*'UPS RATES'!T92)</f>
        <v>35.82</v>
      </c>
      <c r="U91" s="4">
        <f>SUM('TOTAL VOLUME'!U91*'UPS RATES'!U92)</f>
        <v>0</v>
      </c>
      <c r="V91" s="4">
        <f>SUM('TOTAL VOLUME'!V91*'UPS RATES'!V92)</f>
        <v>307.93</v>
      </c>
      <c r="W91" s="4">
        <f>SUM('TOTAL VOLUME'!W91*'UPS RATES'!W92)</f>
        <v>92.7</v>
      </c>
      <c r="X91" s="4">
        <f>SUM('TOTAL VOLUME'!X91*'UPS RATES'!X92)</f>
        <v>0</v>
      </c>
      <c r="Y91" s="4">
        <f>SUM('TOTAL VOLUME'!Y91*'UPS RATES'!Y92)</f>
        <v>119.69</v>
      </c>
      <c r="Z91" s="4">
        <f>SUM('TOTAL VOLUME'!Z91*'UPS RATES'!Z92)</f>
        <v>0</v>
      </c>
      <c r="AA91" s="4">
        <f>SUM('TOTAL VOLUME'!AA91*'UPS RATES'!AA92)</f>
        <v>265.26</v>
      </c>
      <c r="AB91" s="4">
        <f>SUM('TOTAL VOLUME'!AB91*'UPS RATES'!AB92)</f>
        <v>155.65</v>
      </c>
      <c r="AC91" s="4">
        <f>SUM('TOTAL VOLUME'!AC91*'UPS RATES'!AC92)</f>
        <v>317.48</v>
      </c>
    </row>
    <row r="92" spans="1:29" x14ac:dyDescent="0.2">
      <c r="A92" s="2">
        <v>91</v>
      </c>
      <c r="B92" s="4">
        <f>SUM('TOTAL VOLUME'!B92*'UPS RATES'!B93)</f>
        <v>0</v>
      </c>
      <c r="C92" s="4">
        <f>SUM('TOTAL VOLUME'!C92*'UPS RATES'!C93)</f>
        <v>0</v>
      </c>
      <c r="D92" s="4">
        <f>SUM('TOTAL VOLUME'!D92*'UPS RATES'!D93)</f>
        <v>0</v>
      </c>
      <c r="E92" s="4">
        <f>SUM('TOTAL VOLUME'!E92*'UPS RATES'!E93)</f>
        <v>0</v>
      </c>
      <c r="F92" s="4">
        <f>SUM('TOTAL VOLUME'!F92*'UPS RATES'!F93)</f>
        <v>0</v>
      </c>
      <c r="G92" s="4">
        <f>SUM('TOTAL VOLUME'!G92*'UPS RATES'!G93)</f>
        <v>0</v>
      </c>
      <c r="H92" s="4">
        <f>SUM('TOTAL VOLUME'!H92*'UPS RATES'!H93)</f>
        <v>0</v>
      </c>
      <c r="I92" s="4">
        <f>SUM('TOTAL VOLUME'!I92*'UPS RATES'!I93)</f>
        <v>0</v>
      </c>
      <c r="J92" s="4">
        <f>SUM('TOTAL VOLUME'!J92*'UPS RATES'!J93)</f>
        <v>0</v>
      </c>
      <c r="K92" s="4">
        <f>SUM('TOTAL VOLUME'!K92*'UPS RATES'!K93)</f>
        <v>0</v>
      </c>
      <c r="L92" s="4">
        <f>SUM('TOTAL VOLUME'!L92*'UPS RATES'!L93)</f>
        <v>79.569999999999993</v>
      </c>
      <c r="M92" s="4">
        <f>SUM('TOTAL VOLUME'!M92*'UPS RATES'!M93)</f>
        <v>0</v>
      </c>
      <c r="N92" s="4">
        <f>SUM('TOTAL VOLUME'!N92*'UPS RATES'!N93)</f>
        <v>134.52000000000001</v>
      </c>
      <c r="O92" s="4">
        <f>SUM('TOTAL VOLUME'!O92*'UPS RATES'!O93)</f>
        <v>0</v>
      </c>
      <c r="P92" s="4">
        <f>SUM('TOTAL VOLUME'!P92*'UPS RATES'!P93)</f>
        <v>0</v>
      </c>
      <c r="Q92" s="4">
        <f>SUM('TOTAL VOLUME'!Q92*'UPS RATES'!Q93)</f>
        <v>0</v>
      </c>
      <c r="R92" s="4">
        <f>SUM('TOTAL VOLUME'!R92*'UPS RATES'!R93)</f>
        <v>0</v>
      </c>
      <c r="S92" s="4">
        <f>SUM('TOTAL VOLUME'!S92*'UPS RATES'!S93)</f>
        <v>0</v>
      </c>
      <c r="T92" s="4">
        <f>SUM('TOTAL VOLUME'!T92*'UPS RATES'!T93)</f>
        <v>0</v>
      </c>
      <c r="U92" s="4">
        <f>SUM('TOTAL VOLUME'!U92*'UPS RATES'!U93)</f>
        <v>0</v>
      </c>
      <c r="V92" s="4">
        <f>SUM('TOTAL VOLUME'!V92*'UPS RATES'!V93)</f>
        <v>0</v>
      </c>
      <c r="W92" s="4">
        <f>SUM('TOTAL VOLUME'!W92*'UPS RATES'!W93)</f>
        <v>0</v>
      </c>
      <c r="X92" s="4">
        <f>SUM('TOTAL VOLUME'!X92*'UPS RATES'!X93)</f>
        <v>0</v>
      </c>
      <c r="Y92" s="4">
        <f>SUM('TOTAL VOLUME'!Y92*'UPS RATES'!Y93)</f>
        <v>0</v>
      </c>
      <c r="Z92" s="4">
        <f>SUM('TOTAL VOLUME'!Z92*'UPS RATES'!Z93)</f>
        <v>0</v>
      </c>
      <c r="AA92" s="4">
        <f>SUM('TOTAL VOLUME'!AA92*'UPS RATES'!AA93)</f>
        <v>0</v>
      </c>
      <c r="AB92" s="4">
        <f>SUM('TOTAL VOLUME'!AB92*'UPS RATES'!AB93)</f>
        <v>0</v>
      </c>
      <c r="AC92" s="4">
        <f>SUM('TOTAL VOLUME'!AC92*'UPS RATES'!AC93)</f>
        <v>0</v>
      </c>
    </row>
    <row r="93" spans="1:29" x14ac:dyDescent="0.2">
      <c r="A93" s="2">
        <v>92</v>
      </c>
      <c r="B93" s="4">
        <f>SUM('TOTAL VOLUME'!B93*'UPS RATES'!B94)</f>
        <v>0</v>
      </c>
      <c r="C93" s="4">
        <f>SUM('TOTAL VOLUME'!C93*'UPS RATES'!C94)</f>
        <v>0</v>
      </c>
      <c r="D93" s="4">
        <f>SUM('TOTAL VOLUME'!D93*'UPS RATES'!D94)</f>
        <v>0</v>
      </c>
      <c r="E93" s="4">
        <f>SUM('TOTAL VOLUME'!E93*'UPS RATES'!E94)</f>
        <v>0</v>
      </c>
      <c r="F93" s="4">
        <f>SUM('TOTAL VOLUME'!F93*'UPS RATES'!F94)</f>
        <v>0</v>
      </c>
      <c r="G93" s="4">
        <f>SUM('TOTAL VOLUME'!G93*'UPS RATES'!G94)</f>
        <v>0</v>
      </c>
      <c r="H93" s="4">
        <f>SUM('TOTAL VOLUME'!H93*'UPS RATES'!H94)</f>
        <v>0</v>
      </c>
      <c r="I93" s="4">
        <f>SUM('TOTAL VOLUME'!I93*'UPS RATES'!I94)</f>
        <v>0</v>
      </c>
      <c r="J93" s="4">
        <f>SUM('TOTAL VOLUME'!J93*'UPS RATES'!J94)</f>
        <v>0</v>
      </c>
      <c r="K93" s="4">
        <f>SUM('TOTAL VOLUME'!K93*'UPS RATES'!K94)</f>
        <v>0</v>
      </c>
      <c r="L93" s="4">
        <f>SUM('TOTAL VOLUME'!L93*'UPS RATES'!L94)</f>
        <v>0</v>
      </c>
      <c r="M93" s="4">
        <f>SUM('TOTAL VOLUME'!M93*'UPS RATES'!M94)</f>
        <v>0</v>
      </c>
      <c r="N93" s="4">
        <f>SUM('TOTAL VOLUME'!N93*'UPS RATES'!N94)</f>
        <v>0</v>
      </c>
      <c r="O93" s="4">
        <f>SUM('TOTAL VOLUME'!O93*'UPS RATES'!O94)</f>
        <v>152.5</v>
      </c>
      <c r="P93" s="4">
        <f>SUM('TOTAL VOLUME'!P93*'UPS RATES'!P94)</f>
        <v>73.679999999999993</v>
      </c>
      <c r="Q93" s="4">
        <f>SUM('TOTAL VOLUME'!Q93*'UPS RATES'!Q94)</f>
        <v>25.29</v>
      </c>
      <c r="R93" s="4">
        <f>SUM('TOTAL VOLUME'!R93*'UPS RATES'!R94)</f>
        <v>0</v>
      </c>
      <c r="S93" s="4">
        <f>SUM('TOTAL VOLUME'!S93*'UPS RATES'!S94)</f>
        <v>30.61</v>
      </c>
      <c r="T93" s="4">
        <f>SUM('TOTAL VOLUME'!T93*'UPS RATES'!T94)</f>
        <v>72.42</v>
      </c>
      <c r="U93" s="4">
        <f>SUM('TOTAL VOLUME'!U93*'UPS RATES'!U94)</f>
        <v>0</v>
      </c>
      <c r="V93" s="4">
        <f>SUM('TOTAL VOLUME'!V93*'UPS RATES'!V94)</f>
        <v>176.28</v>
      </c>
      <c r="W93" s="4">
        <f>SUM('TOTAL VOLUME'!W93*'UPS RATES'!W94)</f>
        <v>0</v>
      </c>
      <c r="X93" s="4">
        <f>SUM('TOTAL VOLUME'!X93*'UPS RATES'!X94)</f>
        <v>0</v>
      </c>
      <c r="Y93" s="4">
        <f>SUM('TOTAL VOLUME'!Y93*'UPS RATES'!Y94)</f>
        <v>0</v>
      </c>
      <c r="Z93" s="4">
        <f>SUM('TOTAL VOLUME'!Z93*'UPS RATES'!Z94)</f>
        <v>0</v>
      </c>
      <c r="AA93" s="4">
        <f>SUM('TOTAL VOLUME'!AA93*'UPS RATES'!AA94)</f>
        <v>0</v>
      </c>
      <c r="AB93" s="4">
        <f>SUM('TOTAL VOLUME'!AB93*'UPS RATES'!AB94)</f>
        <v>0</v>
      </c>
      <c r="AC93" s="4">
        <f>SUM('TOTAL VOLUME'!AC93*'UPS RATES'!AC94)</f>
        <v>0</v>
      </c>
    </row>
    <row r="94" spans="1:29" x14ac:dyDescent="0.2">
      <c r="A94" s="2">
        <v>93</v>
      </c>
      <c r="B94" s="4">
        <f>SUM('TOTAL VOLUME'!B94*'UPS RATES'!B95)</f>
        <v>0</v>
      </c>
      <c r="C94" s="4">
        <f>SUM('TOTAL VOLUME'!C94*'UPS RATES'!C95)</f>
        <v>0</v>
      </c>
      <c r="D94" s="4">
        <f>SUM('TOTAL VOLUME'!D94*'UPS RATES'!D95)</f>
        <v>0</v>
      </c>
      <c r="E94" s="4">
        <f>SUM('TOTAL VOLUME'!E94*'UPS RATES'!E95)</f>
        <v>0</v>
      </c>
      <c r="F94" s="4">
        <f>SUM('TOTAL VOLUME'!F94*'UPS RATES'!F95)</f>
        <v>0</v>
      </c>
      <c r="G94" s="4">
        <f>SUM('TOTAL VOLUME'!G94*'UPS RATES'!G95)</f>
        <v>0</v>
      </c>
      <c r="H94" s="4">
        <f>SUM('TOTAL VOLUME'!H94*'UPS RATES'!H95)</f>
        <v>139.38999999999999</v>
      </c>
      <c r="I94" s="4">
        <f>SUM('TOTAL VOLUME'!I94*'UPS RATES'!I95)</f>
        <v>0</v>
      </c>
      <c r="J94" s="4">
        <f>SUM('TOTAL VOLUME'!J94*'UPS RATES'!J95)</f>
        <v>0</v>
      </c>
      <c r="K94" s="4">
        <f>SUM('TOTAL VOLUME'!K94*'UPS RATES'!K95)</f>
        <v>0</v>
      </c>
      <c r="L94" s="4">
        <f>SUM('TOTAL VOLUME'!L94*'UPS RATES'!L95)</f>
        <v>0</v>
      </c>
      <c r="M94" s="4">
        <f>SUM('TOTAL VOLUME'!M94*'UPS RATES'!M95)</f>
        <v>0</v>
      </c>
      <c r="N94" s="4">
        <f>SUM('TOTAL VOLUME'!N94*'UPS RATES'!N95)</f>
        <v>0</v>
      </c>
      <c r="O94" s="4">
        <f>SUM('TOTAL VOLUME'!O94*'UPS RATES'!O95)</f>
        <v>0</v>
      </c>
      <c r="P94" s="4">
        <f>SUM('TOTAL VOLUME'!P94*'UPS RATES'!P95)</f>
        <v>0</v>
      </c>
      <c r="Q94" s="4">
        <f>SUM('TOTAL VOLUME'!Q94*'UPS RATES'!Q95)</f>
        <v>0</v>
      </c>
      <c r="R94" s="4">
        <f>SUM('TOTAL VOLUME'!R94*'UPS RATES'!R95)</f>
        <v>0</v>
      </c>
      <c r="S94" s="4">
        <f>SUM('TOTAL VOLUME'!S94*'UPS RATES'!S95)</f>
        <v>0</v>
      </c>
      <c r="T94" s="4">
        <f>SUM('TOTAL VOLUME'!T94*'UPS RATES'!T95)</f>
        <v>0</v>
      </c>
      <c r="U94" s="4">
        <f>SUM('TOTAL VOLUME'!U94*'UPS RATES'!U95)</f>
        <v>0</v>
      </c>
      <c r="V94" s="4">
        <f>SUM('TOTAL VOLUME'!V94*'UPS RATES'!V95)</f>
        <v>0</v>
      </c>
      <c r="W94" s="4">
        <f>SUM('TOTAL VOLUME'!W94*'UPS RATES'!W95)</f>
        <v>0</v>
      </c>
      <c r="X94" s="4">
        <f>SUM('TOTAL VOLUME'!X94*'UPS RATES'!X95)</f>
        <v>0</v>
      </c>
      <c r="Y94" s="4">
        <f>SUM('TOTAL VOLUME'!Y94*'UPS RATES'!Y95)</f>
        <v>0</v>
      </c>
      <c r="Z94" s="4">
        <f>SUM('TOTAL VOLUME'!Z94*'UPS RATES'!Z95)</f>
        <v>0</v>
      </c>
      <c r="AA94" s="4">
        <f>SUM('TOTAL VOLUME'!AA94*'UPS RATES'!AA95)</f>
        <v>399.59999999999997</v>
      </c>
      <c r="AB94" s="4">
        <f>SUM('TOTAL VOLUME'!AB94*'UPS RATES'!AB95)</f>
        <v>0</v>
      </c>
      <c r="AC94" s="4">
        <f>SUM('TOTAL VOLUME'!AC94*'UPS RATES'!AC95)</f>
        <v>0</v>
      </c>
    </row>
    <row r="95" spans="1:29" x14ac:dyDescent="0.2">
      <c r="A95" s="2">
        <v>94</v>
      </c>
      <c r="B95" s="4">
        <f>SUM('TOTAL VOLUME'!B95*'UPS RATES'!B96)</f>
        <v>0</v>
      </c>
      <c r="C95" s="4">
        <f>SUM('TOTAL VOLUME'!C95*'UPS RATES'!C96)</f>
        <v>0</v>
      </c>
      <c r="D95" s="4">
        <f>SUM('TOTAL VOLUME'!D95*'UPS RATES'!D96)</f>
        <v>0</v>
      </c>
      <c r="E95" s="4">
        <f>SUM('TOTAL VOLUME'!E95*'UPS RATES'!E96)</f>
        <v>0</v>
      </c>
      <c r="F95" s="4">
        <f>SUM('TOTAL VOLUME'!F95*'UPS RATES'!F96)</f>
        <v>0</v>
      </c>
      <c r="G95" s="4">
        <f>SUM('TOTAL VOLUME'!G95*'UPS RATES'!G96)</f>
        <v>0</v>
      </c>
      <c r="H95" s="4">
        <f>SUM('TOTAL VOLUME'!H95*'UPS RATES'!H96)</f>
        <v>0</v>
      </c>
      <c r="I95" s="4">
        <f>SUM('TOTAL VOLUME'!I95*'UPS RATES'!I96)</f>
        <v>0</v>
      </c>
      <c r="J95" s="4">
        <f>SUM('TOTAL VOLUME'!J95*'UPS RATES'!J96)</f>
        <v>0</v>
      </c>
      <c r="K95" s="4">
        <f>SUM('TOTAL VOLUME'!K95*'UPS RATES'!K96)</f>
        <v>0</v>
      </c>
      <c r="L95" s="4">
        <f>SUM('TOTAL VOLUME'!L95*'UPS RATES'!L96)</f>
        <v>0</v>
      </c>
      <c r="M95" s="4">
        <f>SUM('TOTAL VOLUME'!M95*'UPS RATES'!M96)</f>
        <v>0</v>
      </c>
      <c r="N95" s="4">
        <f>SUM('TOTAL VOLUME'!N95*'UPS RATES'!N96)</f>
        <v>0</v>
      </c>
      <c r="O95" s="4">
        <f>SUM('TOTAL VOLUME'!O95*'UPS RATES'!O96)</f>
        <v>0</v>
      </c>
      <c r="P95" s="4">
        <f>SUM('TOTAL VOLUME'!P95*'UPS RATES'!P96)</f>
        <v>0</v>
      </c>
      <c r="Q95" s="4">
        <f>SUM('TOTAL VOLUME'!Q95*'UPS RATES'!Q96)</f>
        <v>0</v>
      </c>
      <c r="R95" s="4">
        <f>SUM('TOTAL VOLUME'!R95*'UPS RATES'!R96)</f>
        <v>0</v>
      </c>
      <c r="S95" s="4">
        <f>SUM('TOTAL VOLUME'!S95*'UPS RATES'!S96)</f>
        <v>0</v>
      </c>
      <c r="T95" s="4">
        <f>SUM('TOTAL VOLUME'!T95*'UPS RATES'!T96)</f>
        <v>0</v>
      </c>
      <c r="U95" s="4">
        <f>SUM('TOTAL VOLUME'!U95*'UPS RATES'!U96)</f>
        <v>0</v>
      </c>
      <c r="V95" s="4">
        <f>SUM('TOTAL VOLUME'!V95*'UPS RATES'!V96)</f>
        <v>0</v>
      </c>
      <c r="W95" s="4">
        <f>SUM('TOTAL VOLUME'!W95*'UPS RATES'!W96)</f>
        <v>0</v>
      </c>
      <c r="X95" s="4">
        <f>SUM('TOTAL VOLUME'!X95*'UPS RATES'!X96)</f>
        <v>0</v>
      </c>
      <c r="Y95" s="4">
        <f>SUM('TOTAL VOLUME'!Y95*'UPS RATES'!Y96)</f>
        <v>0</v>
      </c>
      <c r="Z95" s="4">
        <f>SUM('TOTAL VOLUME'!Z95*'UPS RATES'!Z96)</f>
        <v>0</v>
      </c>
      <c r="AA95" s="4">
        <f>SUM('TOTAL VOLUME'!AA95*'UPS RATES'!AA96)</f>
        <v>0</v>
      </c>
      <c r="AB95" s="4">
        <f>SUM('TOTAL VOLUME'!AB95*'UPS RATES'!AB96)</f>
        <v>0</v>
      </c>
      <c r="AC95" s="4">
        <f>SUM('TOTAL VOLUME'!AC95*'UPS RATES'!AC96)</f>
        <v>0</v>
      </c>
    </row>
    <row r="96" spans="1:29" x14ac:dyDescent="0.2">
      <c r="A96" s="2">
        <v>95</v>
      </c>
      <c r="B96" s="4">
        <f>SUM('TOTAL VOLUME'!B96*'UPS RATES'!B97)</f>
        <v>0</v>
      </c>
      <c r="C96" s="4">
        <f>SUM('TOTAL VOLUME'!C96*'UPS RATES'!C97)</f>
        <v>45.08</v>
      </c>
      <c r="D96" s="4">
        <f>SUM('TOTAL VOLUME'!D96*'UPS RATES'!D97)</f>
        <v>53.54</v>
      </c>
      <c r="E96" s="4">
        <f>SUM('TOTAL VOLUME'!E96*'UPS RATES'!E97)</f>
        <v>0</v>
      </c>
      <c r="F96" s="4">
        <f>SUM('TOTAL VOLUME'!F96*'UPS RATES'!F97)</f>
        <v>0</v>
      </c>
      <c r="G96" s="4">
        <f>SUM('TOTAL VOLUME'!G96*'UPS RATES'!G97)</f>
        <v>0</v>
      </c>
      <c r="H96" s="4">
        <f>SUM('TOTAL VOLUME'!H96*'UPS RATES'!H97)</f>
        <v>140.87</v>
      </c>
      <c r="I96" s="4">
        <f>SUM('TOTAL VOLUME'!I96*'UPS RATES'!I97)</f>
        <v>0</v>
      </c>
      <c r="J96" s="4">
        <f>SUM('TOTAL VOLUME'!J96*'UPS RATES'!J97)</f>
        <v>0</v>
      </c>
      <c r="K96" s="4">
        <f>SUM('TOTAL VOLUME'!K96*'UPS RATES'!K97)</f>
        <v>0</v>
      </c>
      <c r="L96" s="4">
        <f>SUM('TOTAL VOLUME'!L96*'UPS RATES'!L97)</f>
        <v>0</v>
      </c>
      <c r="M96" s="4">
        <f>SUM('TOTAL VOLUME'!M96*'UPS RATES'!M97)</f>
        <v>0</v>
      </c>
      <c r="N96" s="4">
        <f>SUM('TOTAL VOLUME'!N96*'UPS RATES'!N97)</f>
        <v>141.26</v>
      </c>
      <c r="O96" s="4">
        <f>SUM('TOTAL VOLUME'!O96*'UPS RATES'!O97)</f>
        <v>0</v>
      </c>
      <c r="P96" s="4">
        <f>SUM('TOTAL VOLUME'!P96*'UPS RATES'!P97)</f>
        <v>101.48</v>
      </c>
      <c r="Q96" s="4">
        <f>SUM('TOTAL VOLUME'!Q96*'UPS RATES'!Q97)</f>
        <v>0</v>
      </c>
      <c r="R96" s="4">
        <f>SUM('TOTAL VOLUME'!R96*'UPS RATES'!R97)</f>
        <v>56.88</v>
      </c>
      <c r="S96" s="4">
        <f>SUM('TOTAL VOLUME'!S96*'UPS RATES'!S97)</f>
        <v>63</v>
      </c>
      <c r="T96" s="4">
        <f>SUM('TOTAL VOLUME'!T96*'UPS RATES'!T97)</f>
        <v>0</v>
      </c>
      <c r="U96" s="4">
        <f>SUM('TOTAL VOLUME'!U96*'UPS RATES'!U97)</f>
        <v>0</v>
      </c>
      <c r="V96" s="4">
        <f>SUM('TOTAL VOLUME'!V96*'UPS RATES'!V97)</f>
        <v>136.44</v>
      </c>
      <c r="W96" s="4">
        <f>SUM('TOTAL VOLUME'!W96*'UPS RATES'!W97)</f>
        <v>0</v>
      </c>
      <c r="X96" s="4">
        <f>SUM('TOTAL VOLUME'!X96*'UPS RATES'!X97)</f>
        <v>132.47999999999999</v>
      </c>
      <c r="Y96" s="4">
        <f>SUM('TOTAL VOLUME'!Y96*'UPS RATES'!Y97)</f>
        <v>0</v>
      </c>
      <c r="Z96" s="4">
        <f>SUM('TOTAL VOLUME'!Z96*'UPS RATES'!Z97)</f>
        <v>0</v>
      </c>
      <c r="AA96" s="4">
        <f>SUM('TOTAL VOLUME'!AA96*'UPS RATES'!AA97)</f>
        <v>0</v>
      </c>
      <c r="AB96" s="4">
        <f>SUM('TOTAL VOLUME'!AB96*'UPS RATES'!AB97)</f>
        <v>0</v>
      </c>
      <c r="AC96" s="4">
        <f>SUM('TOTAL VOLUME'!AC96*'UPS RATES'!AC97)</f>
        <v>159.80000000000001</v>
      </c>
    </row>
    <row r="97" spans="1:29" x14ac:dyDescent="0.2">
      <c r="A97" s="2">
        <v>96</v>
      </c>
      <c r="B97" s="4">
        <f>SUM('TOTAL VOLUME'!B97*'UPS RATES'!B98)</f>
        <v>39.11</v>
      </c>
      <c r="C97" s="4">
        <f>SUM('TOTAL VOLUME'!C97*'UPS RATES'!C98)</f>
        <v>0</v>
      </c>
      <c r="D97" s="4">
        <f>SUM('TOTAL VOLUME'!D97*'UPS RATES'!D98)</f>
        <v>0</v>
      </c>
      <c r="E97" s="4">
        <f>SUM('TOTAL VOLUME'!E97*'UPS RATES'!E98)</f>
        <v>81.47</v>
      </c>
      <c r="F97" s="4">
        <f>SUM('TOTAL VOLUME'!F97*'UPS RATES'!F98)</f>
        <v>0</v>
      </c>
      <c r="G97" s="4">
        <f>SUM('TOTAL VOLUME'!G97*'UPS RATES'!G98)</f>
        <v>0</v>
      </c>
      <c r="H97" s="4">
        <f>SUM('TOTAL VOLUME'!H97*'UPS RATES'!H98)</f>
        <v>0</v>
      </c>
      <c r="I97" s="4">
        <f>SUM('TOTAL VOLUME'!I97*'UPS RATES'!I98)</f>
        <v>0</v>
      </c>
      <c r="J97" s="4">
        <f>SUM('TOTAL VOLUME'!J97*'UPS RATES'!J98)</f>
        <v>0</v>
      </c>
      <c r="K97" s="4">
        <f>SUM('TOTAL VOLUME'!K97*'UPS RATES'!K98)</f>
        <v>0</v>
      </c>
      <c r="L97" s="4">
        <f>SUM('TOTAL VOLUME'!L97*'UPS RATES'!L98)</f>
        <v>0</v>
      </c>
      <c r="M97" s="4">
        <f>SUM('TOTAL VOLUME'!M97*'UPS RATES'!M98)</f>
        <v>0</v>
      </c>
      <c r="N97" s="4">
        <f>SUM('TOTAL VOLUME'!N97*'UPS RATES'!N98)</f>
        <v>0</v>
      </c>
      <c r="O97" s="4">
        <f>SUM('TOTAL VOLUME'!O97*'UPS RATES'!O98)</f>
        <v>0</v>
      </c>
      <c r="P97" s="4">
        <f>SUM('TOTAL VOLUME'!P97*'UPS RATES'!P98)</f>
        <v>26.18</v>
      </c>
      <c r="Q97" s="4">
        <f>SUM('TOTAL VOLUME'!Q97*'UPS RATES'!Q98)</f>
        <v>0</v>
      </c>
      <c r="R97" s="4">
        <f>SUM('TOTAL VOLUME'!R97*'UPS RATES'!R98)</f>
        <v>29.47</v>
      </c>
      <c r="S97" s="4">
        <f>SUM('TOTAL VOLUME'!S97*'UPS RATES'!S98)</f>
        <v>63.7</v>
      </c>
      <c r="T97" s="4">
        <f>SUM('TOTAL VOLUME'!T97*'UPS RATES'!T98)</f>
        <v>74.34</v>
      </c>
      <c r="U97" s="4">
        <f>SUM('TOTAL VOLUME'!U97*'UPS RATES'!U98)</f>
        <v>41.92</v>
      </c>
      <c r="V97" s="4">
        <f>SUM('TOTAL VOLUME'!V97*'UPS RATES'!V98)</f>
        <v>0</v>
      </c>
      <c r="W97" s="4">
        <f>SUM('TOTAL VOLUME'!W97*'UPS RATES'!W98)</f>
        <v>0</v>
      </c>
      <c r="X97" s="4">
        <f>SUM('TOTAL VOLUME'!X97*'UPS RATES'!X98)</f>
        <v>0</v>
      </c>
      <c r="Y97" s="4">
        <f>SUM('TOTAL VOLUME'!Y97*'UPS RATES'!Y98)</f>
        <v>0</v>
      </c>
      <c r="Z97" s="4">
        <f>SUM('TOTAL VOLUME'!Z97*'UPS RATES'!Z98)</f>
        <v>0</v>
      </c>
      <c r="AA97" s="4">
        <f>SUM('TOTAL VOLUME'!AA97*'UPS RATES'!AA98)</f>
        <v>403.71</v>
      </c>
      <c r="AB97" s="4">
        <f>SUM('TOTAL VOLUME'!AB97*'UPS RATES'!AB98)</f>
        <v>0</v>
      </c>
      <c r="AC97" s="4">
        <f>SUM('TOTAL VOLUME'!AC97*'UPS RATES'!AC98)</f>
        <v>159.97</v>
      </c>
    </row>
    <row r="98" spans="1:29" x14ac:dyDescent="0.2">
      <c r="A98" s="2">
        <v>97</v>
      </c>
      <c r="B98" s="4">
        <f>SUM('TOTAL VOLUME'!B98*'UPS RATES'!B99)</f>
        <v>0</v>
      </c>
      <c r="C98" s="4">
        <f>SUM('TOTAL VOLUME'!C98*'UPS RATES'!C99)</f>
        <v>0</v>
      </c>
      <c r="D98" s="4">
        <f>SUM('TOTAL VOLUME'!D98*'UPS RATES'!D99)</f>
        <v>0</v>
      </c>
      <c r="E98" s="4">
        <f>SUM('TOTAL VOLUME'!E98*'UPS RATES'!E99)</f>
        <v>0</v>
      </c>
      <c r="F98" s="4">
        <f>SUM('TOTAL VOLUME'!F98*'UPS RATES'!F99)</f>
        <v>0</v>
      </c>
      <c r="G98" s="4">
        <f>SUM('TOTAL VOLUME'!G98*'UPS RATES'!G99)</f>
        <v>0</v>
      </c>
      <c r="H98" s="4">
        <f>SUM('TOTAL VOLUME'!H98*'UPS RATES'!H99)</f>
        <v>144.06</v>
      </c>
      <c r="I98" s="4">
        <f>SUM('TOTAL VOLUME'!I98*'UPS RATES'!I99)</f>
        <v>0</v>
      </c>
      <c r="J98" s="4">
        <f>SUM('TOTAL VOLUME'!J98*'UPS RATES'!J99)</f>
        <v>0</v>
      </c>
      <c r="K98" s="4">
        <f>SUM('TOTAL VOLUME'!K98*'UPS RATES'!K99)</f>
        <v>0</v>
      </c>
      <c r="L98" s="4">
        <f>SUM('TOTAL VOLUME'!L98*'UPS RATES'!L99)</f>
        <v>0</v>
      </c>
      <c r="M98" s="4">
        <f>SUM('TOTAL VOLUME'!M98*'UPS RATES'!M99)</f>
        <v>244</v>
      </c>
      <c r="N98" s="4">
        <f>SUM('TOTAL VOLUME'!N98*'UPS RATES'!N99)</f>
        <v>144.15</v>
      </c>
      <c r="O98" s="4">
        <f>SUM('TOTAL VOLUME'!O98*'UPS RATES'!O99)</f>
        <v>0</v>
      </c>
      <c r="P98" s="4">
        <f>SUM('TOTAL VOLUME'!P98*'UPS RATES'!P99)</f>
        <v>81.12</v>
      </c>
      <c r="Q98" s="4">
        <f>SUM('TOTAL VOLUME'!Q98*'UPS RATES'!Q99)</f>
        <v>0</v>
      </c>
      <c r="R98" s="4">
        <f>SUM('TOTAL VOLUME'!R98*'UPS RATES'!R99)</f>
        <v>0</v>
      </c>
      <c r="S98" s="4">
        <f>SUM('TOTAL VOLUME'!S98*'UPS RATES'!S99)</f>
        <v>129.32</v>
      </c>
      <c r="T98" s="4">
        <f>SUM('TOTAL VOLUME'!T98*'UPS RATES'!T99)</f>
        <v>0</v>
      </c>
      <c r="U98" s="4">
        <f>SUM('TOTAL VOLUME'!U98*'UPS RATES'!U99)</f>
        <v>85.04</v>
      </c>
      <c r="V98" s="4">
        <f>SUM('TOTAL VOLUME'!V98*'UPS RATES'!V99)</f>
        <v>140.55000000000001</v>
      </c>
      <c r="W98" s="4">
        <f>SUM('TOTAL VOLUME'!W98*'UPS RATES'!W99)</f>
        <v>0</v>
      </c>
      <c r="X98" s="4">
        <f>SUM('TOTAL VOLUME'!X98*'UPS RATES'!X99)</f>
        <v>0</v>
      </c>
      <c r="Y98" s="4">
        <f>SUM('TOTAL VOLUME'!Y98*'UPS RATES'!Y99)</f>
        <v>0</v>
      </c>
      <c r="Z98" s="4">
        <f>SUM('TOTAL VOLUME'!Z98*'UPS RATES'!Z99)</f>
        <v>0</v>
      </c>
      <c r="AA98" s="4">
        <f>SUM('TOTAL VOLUME'!AA98*'UPS RATES'!AA99)</f>
        <v>0</v>
      </c>
      <c r="AB98" s="4">
        <f>SUM('TOTAL VOLUME'!AB98*'UPS RATES'!AB99)</f>
        <v>0</v>
      </c>
      <c r="AC98" s="4">
        <f>SUM('TOTAL VOLUME'!AC98*'UPS RATES'!AC99)</f>
        <v>160.18</v>
      </c>
    </row>
    <row r="99" spans="1:29" x14ac:dyDescent="0.2">
      <c r="A99" s="2">
        <v>98</v>
      </c>
      <c r="B99" s="4">
        <f>SUM('TOTAL VOLUME'!B99*'UPS RATES'!B100)</f>
        <v>0</v>
      </c>
      <c r="C99" s="4">
        <f>SUM('TOTAL VOLUME'!C99*'UPS RATES'!C100)</f>
        <v>0</v>
      </c>
      <c r="D99" s="4">
        <f>SUM('TOTAL VOLUME'!D99*'UPS RATES'!D100)</f>
        <v>0</v>
      </c>
      <c r="E99" s="4">
        <f>SUM('TOTAL VOLUME'!E99*'UPS RATES'!E100)</f>
        <v>0</v>
      </c>
      <c r="F99" s="4">
        <f>SUM('TOTAL VOLUME'!F99*'UPS RATES'!F100)</f>
        <v>0</v>
      </c>
      <c r="G99" s="4">
        <f>SUM('TOTAL VOLUME'!G99*'UPS RATES'!G100)</f>
        <v>0</v>
      </c>
      <c r="H99" s="4">
        <f>SUM('TOTAL VOLUME'!H99*'UPS RATES'!H100)</f>
        <v>0</v>
      </c>
      <c r="I99" s="4">
        <f>SUM('TOTAL VOLUME'!I99*'UPS RATES'!I100)</f>
        <v>0</v>
      </c>
      <c r="J99" s="4">
        <f>SUM('TOTAL VOLUME'!J99*'UPS RATES'!J100)</f>
        <v>0</v>
      </c>
      <c r="K99" s="4">
        <f>SUM('TOTAL VOLUME'!K99*'UPS RATES'!K100)</f>
        <v>0</v>
      </c>
      <c r="L99" s="4">
        <f>SUM('TOTAL VOLUME'!L99*'UPS RATES'!L100)</f>
        <v>0</v>
      </c>
      <c r="M99" s="4">
        <f>SUM('TOTAL VOLUME'!M99*'UPS RATES'!M100)</f>
        <v>0</v>
      </c>
      <c r="N99" s="4">
        <f>SUM('TOTAL VOLUME'!N99*'UPS RATES'!N100)</f>
        <v>146.26</v>
      </c>
      <c r="O99" s="4">
        <f>SUM('TOTAL VOLUME'!O99*'UPS RATES'!O100)</f>
        <v>0</v>
      </c>
      <c r="P99" s="4">
        <f>SUM('TOTAL VOLUME'!P99*'UPS RATES'!P100)</f>
        <v>0</v>
      </c>
      <c r="Q99" s="4">
        <f>SUM('TOTAL VOLUME'!Q99*'UPS RATES'!Q100)</f>
        <v>0</v>
      </c>
      <c r="R99" s="4">
        <f>SUM('TOTAL VOLUME'!R99*'UPS RATES'!R100)</f>
        <v>0</v>
      </c>
      <c r="S99" s="4">
        <f>SUM('TOTAL VOLUME'!S99*'UPS RATES'!S100)</f>
        <v>0</v>
      </c>
      <c r="T99" s="4">
        <f>SUM('TOTAL VOLUME'!T99*'UPS RATES'!T100)</f>
        <v>0</v>
      </c>
      <c r="U99" s="4">
        <f>SUM('TOTAL VOLUME'!U99*'UPS RATES'!U100)</f>
        <v>0</v>
      </c>
      <c r="V99" s="4">
        <f>SUM('TOTAL VOLUME'!V99*'UPS RATES'!V100)</f>
        <v>0</v>
      </c>
      <c r="W99" s="4">
        <f>SUM('TOTAL VOLUME'!W99*'UPS RATES'!W100)</f>
        <v>0</v>
      </c>
      <c r="X99" s="4">
        <f>SUM('TOTAL VOLUME'!X99*'UPS RATES'!X100)</f>
        <v>0</v>
      </c>
      <c r="Y99" s="4">
        <f>SUM('TOTAL VOLUME'!Y99*'UPS RATES'!Y100)</f>
        <v>0</v>
      </c>
      <c r="Z99" s="4">
        <f>SUM('TOTAL VOLUME'!Z99*'UPS RATES'!Z100)</f>
        <v>0</v>
      </c>
      <c r="AA99" s="4">
        <f>SUM('TOTAL VOLUME'!AA99*'UPS RATES'!AA100)</f>
        <v>0</v>
      </c>
      <c r="AB99" s="4">
        <f>SUM('TOTAL VOLUME'!AB99*'UPS RATES'!AB100)</f>
        <v>0</v>
      </c>
      <c r="AC99" s="4">
        <f>SUM('TOTAL VOLUME'!AC99*'UPS RATES'!AC100)</f>
        <v>0</v>
      </c>
    </row>
    <row r="100" spans="1:29" x14ac:dyDescent="0.2">
      <c r="A100" s="2">
        <v>99</v>
      </c>
      <c r="B100" s="4">
        <f>SUM('TOTAL VOLUME'!B100*'UPS RATES'!B101)</f>
        <v>0</v>
      </c>
      <c r="C100" s="4">
        <f>SUM('TOTAL VOLUME'!C100*'UPS RATES'!C101)</f>
        <v>0</v>
      </c>
      <c r="D100" s="4">
        <f>SUM('TOTAL VOLUME'!D100*'UPS RATES'!D101)</f>
        <v>0</v>
      </c>
      <c r="E100" s="4">
        <f>SUM('TOTAL VOLUME'!E100*'UPS RATES'!E101)</f>
        <v>0</v>
      </c>
      <c r="F100" s="4">
        <f>SUM('TOTAL VOLUME'!F100*'UPS RATES'!F101)</f>
        <v>0</v>
      </c>
      <c r="G100" s="4">
        <f>SUM('TOTAL VOLUME'!G100*'UPS RATES'!G101)</f>
        <v>0</v>
      </c>
      <c r="H100" s="4">
        <f>SUM('TOTAL VOLUME'!H100*'UPS RATES'!H101)</f>
        <v>0</v>
      </c>
      <c r="I100" s="4">
        <f>SUM('TOTAL VOLUME'!I100*'UPS RATES'!I101)</f>
        <v>0</v>
      </c>
      <c r="J100" s="4">
        <f>SUM('TOTAL VOLUME'!J100*'UPS RATES'!J101)</f>
        <v>0</v>
      </c>
      <c r="K100" s="4">
        <f>SUM('TOTAL VOLUME'!K100*'UPS RATES'!K101)</f>
        <v>0</v>
      </c>
      <c r="L100" s="4">
        <f>SUM('TOTAL VOLUME'!L100*'UPS RATES'!L101)</f>
        <v>0</v>
      </c>
      <c r="M100" s="4">
        <f>SUM('TOTAL VOLUME'!M100*'UPS RATES'!M101)</f>
        <v>0</v>
      </c>
      <c r="N100" s="4">
        <f>SUM('TOTAL VOLUME'!N100*'UPS RATES'!N101)</f>
        <v>0</v>
      </c>
      <c r="O100" s="4">
        <f>SUM('TOTAL VOLUME'!O100*'UPS RATES'!O101)</f>
        <v>0</v>
      </c>
      <c r="P100" s="4">
        <f>SUM('TOTAL VOLUME'!P100*'UPS RATES'!P101)</f>
        <v>0</v>
      </c>
      <c r="Q100" s="4">
        <f>SUM('TOTAL VOLUME'!Q100*'UPS RATES'!Q101)</f>
        <v>0</v>
      </c>
      <c r="R100" s="4">
        <f>SUM('TOTAL VOLUME'!R100*'UPS RATES'!R101)</f>
        <v>0</v>
      </c>
      <c r="S100" s="4">
        <f>SUM('TOTAL VOLUME'!S100*'UPS RATES'!S101)</f>
        <v>0</v>
      </c>
      <c r="T100" s="4">
        <f>SUM('TOTAL VOLUME'!T100*'UPS RATES'!T101)</f>
        <v>0</v>
      </c>
      <c r="U100" s="4">
        <f>SUM('TOTAL VOLUME'!U100*'UPS RATES'!U101)</f>
        <v>0</v>
      </c>
      <c r="V100" s="4">
        <f>SUM('TOTAL VOLUME'!V100*'UPS RATES'!V101)</f>
        <v>0</v>
      </c>
      <c r="W100" s="4">
        <f>SUM('TOTAL VOLUME'!W100*'UPS RATES'!W101)</f>
        <v>0</v>
      </c>
      <c r="X100" s="4">
        <f>SUM('TOTAL VOLUME'!X100*'UPS RATES'!X101)</f>
        <v>0</v>
      </c>
      <c r="Y100" s="4">
        <f>SUM('TOTAL VOLUME'!Y100*'UPS RATES'!Y101)</f>
        <v>0</v>
      </c>
      <c r="Z100" s="4">
        <f>SUM('TOTAL VOLUME'!Z100*'UPS RATES'!Z101)</f>
        <v>0</v>
      </c>
      <c r="AA100" s="4">
        <f>SUM('TOTAL VOLUME'!AA100*'UPS RATES'!AA101)</f>
        <v>0</v>
      </c>
      <c r="AB100" s="4">
        <f>SUM('TOTAL VOLUME'!AB100*'UPS RATES'!AB101)</f>
        <v>0</v>
      </c>
      <c r="AC100" s="4">
        <f>SUM('TOTAL VOLUME'!AC100*'UPS RATES'!AC101)</f>
        <v>0</v>
      </c>
    </row>
    <row r="101" spans="1:29" x14ac:dyDescent="0.2">
      <c r="B101" s="4">
        <f>SUM(B2:B100)</f>
        <v>2922.9199999999996</v>
      </c>
      <c r="C101" s="4">
        <f t="shared" ref="C101:AC101" si="0">SUM(C2:C100)</f>
        <v>1549.3699999999994</v>
      </c>
      <c r="D101" s="4">
        <f t="shared" si="0"/>
        <v>3338.1099999999997</v>
      </c>
      <c r="E101" s="4">
        <f t="shared" si="0"/>
        <v>11218.310000000001</v>
      </c>
      <c r="F101" s="4">
        <f t="shared" si="0"/>
        <v>10043.559999999994</v>
      </c>
      <c r="G101" s="4">
        <f t="shared" si="0"/>
        <v>8821.5000000000018</v>
      </c>
      <c r="H101" s="4">
        <f t="shared" si="0"/>
        <v>31159.890000000007</v>
      </c>
      <c r="I101" s="4">
        <f t="shared" si="0"/>
        <v>398.75</v>
      </c>
      <c r="J101" s="4">
        <f t="shared" si="0"/>
        <v>150.23000000000002</v>
      </c>
      <c r="K101" s="4">
        <f t="shared" si="0"/>
        <v>402.21000000000004</v>
      </c>
      <c r="L101" s="4">
        <f t="shared" si="0"/>
        <v>1896.5399999999995</v>
      </c>
      <c r="M101" s="4">
        <f t="shared" si="0"/>
        <v>2390.0300000000002</v>
      </c>
      <c r="N101" s="4">
        <f t="shared" si="0"/>
        <v>4398.6299999999992</v>
      </c>
      <c r="O101" s="4">
        <f t="shared" si="0"/>
        <v>19032.049999999996</v>
      </c>
      <c r="P101" s="4">
        <f t="shared" si="0"/>
        <v>202903.31999999998</v>
      </c>
      <c r="Q101" s="4">
        <f t="shared" si="0"/>
        <v>79233.739999999991</v>
      </c>
      <c r="R101" s="4">
        <f t="shared" si="0"/>
        <v>152451.73000000004</v>
      </c>
      <c r="S101" s="4">
        <f t="shared" si="0"/>
        <v>306981.51999999996</v>
      </c>
      <c r="T101" s="4">
        <f t="shared" si="0"/>
        <v>242976.6999999999</v>
      </c>
      <c r="U101" s="4">
        <f t="shared" si="0"/>
        <v>155767.08000000002</v>
      </c>
      <c r="V101" s="4">
        <f t="shared" si="0"/>
        <v>476745.70000000007</v>
      </c>
      <c r="W101" s="4">
        <f t="shared" si="0"/>
        <v>84892.510000000009</v>
      </c>
      <c r="X101" s="4">
        <f t="shared" si="0"/>
        <v>31368.420000000002</v>
      </c>
      <c r="Y101" s="4">
        <f t="shared" si="0"/>
        <v>85492.350000000035</v>
      </c>
      <c r="Z101" s="4">
        <f t="shared" si="0"/>
        <v>208485.41999999995</v>
      </c>
      <c r="AA101" s="4">
        <f t="shared" si="0"/>
        <v>162184.71999999991</v>
      </c>
      <c r="AB101" s="4">
        <f t="shared" si="0"/>
        <v>102876.93999999996</v>
      </c>
      <c r="AC101" s="4">
        <f t="shared" si="0"/>
        <v>372921.33999999979</v>
      </c>
    </row>
    <row r="102" spans="1:29" x14ac:dyDescent="0.2">
      <c r="B102" s="2" t="s">
        <v>29</v>
      </c>
      <c r="P102" s="5" t="e">
        <f>SUM(#REF!)</f>
        <v>#REF!</v>
      </c>
    </row>
    <row r="103" spans="1:29" x14ac:dyDescent="0.2">
      <c r="A103" s="2" t="s">
        <v>31</v>
      </c>
      <c r="B103" s="4">
        <f>SUM(B101:AE101)</f>
        <v>2763003.59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100"/>
  <sheetViews>
    <sheetView workbookViewId="0">
      <selection activeCell="P20" sqref="P20"/>
    </sheetView>
  </sheetViews>
  <sheetFormatPr defaultColWidth="9.140625" defaultRowHeight="15" x14ac:dyDescent="0.25"/>
  <cols>
    <col min="1" max="1" width="4.5703125" bestFit="1" customWidth="1"/>
    <col min="2" max="15" width="7.28515625" style="9" bestFit="1" customWidth="1"/>
    <col min="16" max="22" width="9.5703125" style="9" bestFit="1" customWidth="1"/>
    <col min="23" max="29" width="14.5703125" style="9" bestFit="1" customWidth="1"/>
  </cols>
  <sheetData>
    <row r="1" spans="1:29" x14ac:dyDescent="0.25">
      <c r="A1" t="s">
        <v>28</v>
      </c>
      <c r="B1" s="9" t="s">
        <v>3</v>
      </c>
      <c r="C1" s="9" t="s">
        <v>6</v>
      </c>
      <c r="D1" s="9" t="s">
        <v>5</v>
      </c>
      <c r="E1" s="9" t="s">
        <v>1</v>
      </c>
      <c r="F1" s="9" t="s">
        <v>4</v>
      </c>
      <c r="G1" s="9" t="s">
        <v>2</v>
      </c>
      <c r="H1" s="9" t="s">
        <v>0</v>
      </c>
      <c r="I1" s="9" t="s">
        <v>17</v>
      </c>
      <c r="J1" s="9" t="s">
        <v>20</v>
      </c>
      <c r="K1" s="9" t="s">
        <v>16</v>
      </c>
      <c r="L1" s="9" t="s">
        <v>18</v>
      </c>
      <c r="M1" s="9" t="s">
        <v>19</v>
      </c>
      <c r="N1" s="9" t="s">
        <v>14</v>
      </c>
      <c r="O1" s="9" t="s">
        <v>15</v>
      </c>
      <c r="P1" s="9" t="s">
        <v>23</v>
      </c>
      <c r="Q1" s="9" t="s">
        <v>22</v>
      </c>
      <c r="R1" s="9" t="s">
        <v>27</v>
      </c>
      <c r="S1" s="9" t="s">
        <v>25</v>
      </c>
      <c r="T1" s="9" t="s">
        <v>26</v>
      </c>
      <c r="U1" s="9" t="s">
        <v>24</v>
      </c>
      <c r="V1" s="9" t="s">
        <v>21</v>
      </c>
      <c r="W1" s="9" t="s">
        <v>10</v>
      </c>
      <c r="X1" s="9" t="s">
        <v>9</v>
      </c>
      <c r="Y1" s="9" t="s">
        <v>13</v>
      </c>
      <c r="Z1" s="9" t="s">
        <v>11</v>
      </c>
      <c r="AA1" s="9" t="s">
        <v>12</v>
      </c>
      <c r="AB1" s="9" t="s">
        <v>8</v>
      </c>
      <c r="AC1" s="9" t="s">
        <v>7</v>
      </c>
    </row>
    <row r="2" spans="1:29" x14ac:dyDescent="0.25">
      <c r="A2">
        <v>1</v>
      </c>
      <c r="B2" s="10">
        <v>6.11</v>
      </c>
      <c r="C2" s="10">
        <v>6.11</v>
      </c>
      <c r="D2" s="10">
        <v>6.11</v>
      </c>
      <c r="E2" s="10">
        <v>6.11</v>
      </c>
      <c r="F2" s="10">
        <v>6.11</v>
      </c>
      <c r="G2" s="10">
        <v>6.11</v>
      </c>
      <c r="H2" s="10">
        <v>6.11</v>
      </c>
      <c r="I2" s="10">
        <v>5.87</v>
      </c>
      <c r="J2" s="10">
        <v>5.87</v>
      </c>
      <c r="K2" s="10">
        <v>5.87</v>
      </c>
      <c r="L2" s="10">
        <v>5.87</v>
      </c>
      <c r="M2" s="10">
        <v>5.87</v>
      </c>
      <c r="N2" s="10">
        <v>5.87</v>
      </c>
      <c r="O2" s="10" t="s">
        <v>1236</v>
      </c>
      <c r="P2" s="10">
        <v>6.25</v>
      </c>
      <c r="Q2" s="10">
        <v>6.25</v>
      </c>
      <c r="R2" s="10">
        <v>6.25</v>
      </c>
      <c r="S2" s="10">
        <v>6.25</v>
      </c>
      <c r="T2" s="10">
        <v>6.25</v>
      </c>
      <c r="U2" s="10">
        <v>6.25</v>
      </c>
      <c r="V2" s="10">
        <v>6.25</v>
      </c>
      <c r="W2" s="10">
        <v>7.81</v>
      </c>
      <c r="X2" s="10">
        <v>7.81</v>
      </c>
      <c r="Y2" s="10">
        <v>7.81</v>
      </c>
      <c r="Z2" s="10">
        <v>7.81</v>
      </c>
      <c r="AA2" s="10">
        <v>7.81</v>
      </c>
      <c r="AB2" s="10" t="s">
        <v>33</v>
      </c>
      <c r="AC2" s="10" t="s">
        <v>34</v>
      </c>
    </row>
    <row r="3" spans="1:29" x14ac:dyDescent="0.25">
      <c r="A3">
        <v>2</v>
      </c>
      <c r="B3" s="10">
        <v>6.11</v>
      </c>
      <c r="C3" s="10">
        <v>6.11</v>
      </c>
      <c r="D3" s="10">
        <v>6.11</v>
      </c>
      <c r="E3" s="10">
        <v>6.11</v>
      </c>
      <c r="F3" s="10">
        <v>6.11</v>
      </c>
      <c r="G3" s="10">
        <v>6.11</v>
      </c>
      <c r="H3" s="10">
        <v>6.11</v>
      </c>
      <c r="I3" s="10">
        <v>5.87</v>
      </c>
      <c r="J3" s="10">
        <v>5.87</v>
      </c>
      <c r="K3" s="10">
        <v>5.87</v>
      </c>
      <c r="L3" s="10">
        <v>5.87</v>
      </c>
      <c r="M3" s="10">
        <v>5.87</v>
      </c>
      <c r="N3" s="10" t="s">
        <v>1237</v>
      </c>
      <c r="O3" s="10" t="s">
        <v>1238</v>
      </c>
      <c r="P3" s="10">
        <v>6.25</v>
      </c>
      <c r="Q3" s="10">
        <v>6.25</v>
      </c>
      <c r="R3" s="10">
        <v>6.25</v>
      </c>
      <c r="S3" s="10">
        <v>6.25</v>
      </c>
      <c r="T3" s="10">
        <v>6.25</v>
      </c>
      <c r="U3" s="10">
        <v>6.25</v>
      </c>
      <c r="V3" s="10">
        <v>6.25</v>
      </c>
      <c r="W3" s="10">
        <v>7.81</v>
      </c>
      <c r="X3" s="10">
        <v>7.81</v>
      </c>
      <c r="Y3" s="10">
        <v>7.81</v>
      </c>
      <c r="Z3" s="10">
        <v>7.81</v>
      </c>
      <c r="AA3" s="10">
        <v>7.81</v>
      </c>
      <c r="AB3" s="10" t="s">
        <v>35</v>
      </c>
      <c r="AC3" s="10" t="s">
        <v>36</v>
      </c>
    </row>
    <row r="4" spans="1:29" x14ac:dyDescent="0.25">
      <c r="A4">
        <v>3</v>
      </c>
      <c r="B4" s="10">
        <v>6.11</v>
      </c>
      <c r="C4" s="10">
        <v>6.11</v>
      </c>
      <c r="D4" s="10">
        <v>6.11</v>
      </c>
      <c r="E4" s="10">
        <v>6.11</v>
      </c>
      <c r="F4" s="10" t="s">
        <v>657</v>
      </c>
      <c r="G4" s="10" t="s">
        <v>658</v>
      </c>
      <c r="H4" s="10" t="s">
        <v>41</v>
      </c>
      <c r="I4" s="10">
        <v>5.87</v>
      </c>
      <c r="J4" s="10">
        <v>5.87</v>
      </c>
      <c r="K4" s="10">
        <v>5.87</v>
      </c>
      <c r="L4" s="10">
        <v>5.87</v>
      </c>
      <c r="M4" s="10" t="s">
        <v>1239</v>
      </c>
      <c r="N4" s="10" t="s">
        <v>1240</v>
      </c>
      <c r="O4" s="10" t="s">
        <v>84</v>
      </c>
      <c r="P4" s="10">
        <v>6.25</v>
      </c>
      <c r="Q4" s="10">
        <v>6.25</v>
      </c>
      <c r="R4" s="10">
        <v>6.25</v>
      </c>
      <c r="S4" s="10">
        <v>6.25</v>
      </c>
      <c r="T4" s="10">
        <v>6.25</v>
      </c>
      <c r="U4" s="10">
        <v>6.25</v>
      </c>
      <c r="V4" s="10">
        <v>6.25</v>
      </c>
      <c r="W4" s="10">
        <v>7.81</v>
      </c>
      <c r="X4" s="10">
        <v>7.81</v>
      </c>
      <c r="Y4" s="10">
        <v>7.81</v>
      </c>
      <c r="Z4" s="10" t="s">
        <v>34</v>
      </c>
      <c r="AA4" s="10" t="s">
        <v>37</v>
      </c>
      <c r="AB4" s="10" t="s">
        <v>38</v>
      </c>
      <c r="AC4" s="10" t="s">
        <v>39</v>
      </c>
    </row>
    <row r="5" spans="1:29" x14ac:dyDescent="0.25">
      <c r="A5">
        <v>4</v>
      </c>
      <c r="B5" s="10">
        <v>6.11</v>
      </c>
      <c r="C5" s="10">
        <v>6.11</v>
      </c>
      <c r="D5" s="10">
        <v>6.11</v>
      </c>
      <c r="E5" s="10" t="s">
        <v>659</v>
      </c>
      <c r="F5" s="10" t="s">
        <v>660</v>
      </c>
      <c r="G5" s="10" t="s">
        <v>661</v>
      </c>
      <c r="H5" s="10" t="s">
        <v>662</v>
      </c>
      <c r="I5" s="10">
        <v>5.87</v>
      </c>
      <c r="J5" s="10">
        <v>5.87</v>
      </c>
      <c r="K5" s="10">
        <v>5.87</v>
      </c>
      <c r="L5" s="10">
        <v>5.87</v>
      </c>
      <c r="M5" s="10" t="s">
        <v>1241</v>
      </c>
      <c r="N5" s="10" t="s">
        <v>1242</v>
      </c>
      <c r="O5" s="10" t="s">
        <v>696</v>
      </c>
      <c r="P5" s="10">
        <v>6.25</v>
      </c>
      <c r="Q5" s="10">
        <v>6.25</v>
      </c>
      <c r="R5" s="10">
        <v>6.25</v>
      </c>
      <c r="S5" s="10">
        <v>6.25</v>
      </c>
      <c r="T5" s="10">
        <v>6.25</v>
      </c>
      <c r="U5" s="10">
        <v>6.25</v>
      </c>
      <c r="V5" s="10">
        <v>6.25</v>
      </c>
      <c r="W5" s="10">
        <v>7.81</v>
      </c>
      <c r="X5" s="10">
        <v>7.81</v>
      </c>
      <c r="Y5" s="10" t="s">
        <v>40</v>
      </c>
      <c r="Z5" s="10" t="s">
        <v>41</v>
      </c>
      <c r="AA5" s="10" t="s">
        <v>42</v>
      </c>
      <c r="AB5" s="10" t="s">
        <v>43</v>
      </c>
      <c r="AC5" s="10" t="s">
        <v>44</v>
      </c>
    </row>
    <row r="6" spans="1:29" x14ac:dyDescent="0.25">
      <c r="A6">
        <v>5</v>
      </c>
      <c r="B6" s="10">
        <v>6.11</v>
      </c>
      <c r="C6" s="10">
        <v>6.11</v>
      </c>
      <c r="D6" s="10">
        <v>6.11</v>
      </c>
      <c r="E6" s="10" t="s">
        <v>663</v>
      </c>
      <c r="F6" s="10" t="s">
        <v>664</v>
      </c>
      <c r="G6" s="10" t="s">
        <v>665</v>
      </c>
      <c r="H6" s="10" t="s">
        <v>666</v>
      </c>
      <c r="I6" s="10">
        <v>5.87</v>
      </c>
      <c r="J6" s="10">
        <v>5.87</v>
      </c>
      <c r="K6" s="10">
        <v>5.87</v>
      </c>
      <c r="L6" s="10">
        <v>6.01</v>
      </c>
      <c r="M6" s="10" t="s">
        <v>1243</v>
      </c>
      <c r="N6" s="10" t="s">
        <v>668</v>
      </c>
      <c r="O6" s="10" t="s">
        <v>1244</v>
      </c>
      <c r="P6" s="10">
        <v>6.25</v>
      </c>
      <c r="Q6" s="10">
        <v>6.25</v>
      </c>
      <c r="R6" s="10">
        <v>6.25</v>
      </c>
      <c r="S6" s="10">
        <v>6.25</v>
      </c>
      <c r="T6" s="10">
        <v>6.25</v>
      </c>
      <c r="U6" s="10">
        <v>6.25</v>
      </c>
      <c r="V6" s="10" t="s">
        <v>1280</v>
      </c>
      <c r="W6" s="10">
        <v>7.81</v>
      </c>
      <c r="X6" s="10">
        <v>7.81</v>
      </c>
      <c r="Y6" s="10" t="s">
        <v>45</v>
      </c>
      <c r="Z6" s="10" t="s">
        <v>46</v>
      </c>
      <c r="AA6" s="10" t="s">
        <v>47</v>
      </c>
      <c r="AB6" s="10" t="s">
        <v>48</v>
      </c>
      <c r="AC6" s="10" t="s">
        <v>49</v>
      </c>
    </row>
    <row r="7" spans="1:29" x14ac:dyDescent="0.25">
      <c r="A7">
        <v>6</v>
      </c>
      <c r="B7" s="10">
        <v>6.11</v>
      </c>
      <c r="C7" s="10">
        <v>6.11</v>
      </c>
      <c r="D7" s="10" t="s">
        <v>667</v>
      </c>
      <c r="E7" s="10" t="s">
        <v>668</v>
      </c>
      <c r="F7" s="10" t="s">
        <v>669</v>
      </c>
      <c r="G7" s="10" t="s">
        <v>670</v>
      </c>
      <c r="H7" s="10" t="s">
        <v>224</v>
      </c>
      <c r="I7" s="10">
        <v>5.87</v>
      </c>
      <c r="J7" s="10">
        <v>5.87</v>
      </c>
      <c r="K7" s="10">
        <v>5.87</v>
      </c>
      <c r="L7" s="10" t="s">
        <v>1245</v>
      </c>
      <c r="M7" s="10" t="s">
        <v>37</v>
      </c>
      <c r="N7" s="10" t="s">
        <v>1246</v>
      </c>
      <c r="O7" s="10" t="s">
        <v>1247</v>
      </c>
      <c r="P7" s="10">
        <v>6.25</v>
      </c>
      <c r="Q7" s="10">
        <v>6.25</v>
      </c>
      <c r="R7" s="10">
        <v>6.25</v>
      </c>
      <c r="S7" s="10">
        <v>6.25</v>
      </c>
      <c r="T7" s="10">
        <v>6.25</v>
      </c>
      <c r="U7" s="10">
        <v>6.25</v>
      </c>
      <c r="V7" s="10" t="s">
        <v>1280</v>
      </c>
      <c r="W7" s="10">
        <v>7.81</v>
      </c>
      <c r="X7" s="10">
        <v>7.81</v>
      </c>
      <c r="Y7" s="10" t="s">
        <v>47</v>
      </c>
      <c r="Z7" s="10" t="s">
        <v>50</v>
      </c>
      <c r="AA7" s="10" t="s">
        <v>51</v>
      </c>
      <c r="AB7" s="10" t="s">
        <v>52</v>
      </c>
      <c r="AC7" s="10" t="s">
        <v>53</v>
      </c>
    </row>
    <row r="8" spans="1:29" x14ac:dyDescent="0.25">
      <c r="A8">
        <v>7</v>
      </c>
      <c r="B8" s="10">
        <v>6.11</v>
      </c>
      <c r="C8" s="10">
        <v>6.11</v>
      </c>
      <c r="D8" s="10" t="s">
        <v>671</v>
      </c>
      <c r="E8" s="10" t="s">
        <v>672</v>
      </c>
      <c r="F8" s="10" t="s">
        <v>673</v>
      </c>
      <c r="G8" s="10" t="s">
        <v>674</v>
      </c>
      <c r="H8" s="10" t="s">
        <v>675</v>
      </c>
      <c r="I8" s="10">
        <v>5.87</v>
      </c>
      <c r="J8" s="10">
        <v>5.87</v>
      </c>
      <c r="K8" s="10" t="s">
        <v>1248</v>
      </c>
      <c r="L8" s="10" t="s">
        <v>1249</v>
      </c>
      <c r="M8" s="10" t="s">
        <v>1250</v>
      </c>
      <c r="N8" s="10" t="s">
        <v>1251</v>
      </c>
      <c r="O8" s="10" t="s">
        <v>822</v>
      </c>
      <c r="P8" s="10">
        <v>6.25</v>
      </c>
      <c r="Q8" s="10">
        <v>6.25</v>
      </c>
      <c r="R8" s="10">
        <v>6.25</v>
      </c>
      <c r="S8" s="10">
        <v>6.25</v>
      </c>
      <c r="T8" s="10">
        <v>6.25</v>
      </c>
      <c r="U8" s="10" t="s">
        <v>1769</v>
      </c>
      <c r="V8" s="10" t="s">
        <v>1770</v>
      </c>
      <c r="W8" s="10">
        <v>7.81</v>
      </c>
      <c r="X8" s="10">
        <v>7.81</v>
      </c>
      <c r="Y8" s="10" t="s">
        <v>54</v>
      </c>
      <c r="Z8" s="10" t="s">
        <v>55</v>
      </c>
      <c r="AA8" s="10" t="s">
        <v>56</v>
      </c>
      <c r="AB8" s="10" t="s">
        <v>57</v>
      </c>
      <c r="AC8" s="10" t="s">
        <v>58</v>
      </c>
    </row>
    <row r="9" spans="1:29" x14ac:dyDescent="0.25">
      <c r="A9">
        <v>8</v>
      </c>
      <c r="B9" s="10">
        <v>6.11</v>
      </c>
      <c r="C9" s="10">
        <v>6.11</v>
      </c>
      <c r="D9" s="10" t="s">
        <v>676</v>
      </c>
      <c r="E9" s="10" t="s">
        <v>136</v>
      </c>
      <c r="F9" s="10" t="s">
        <v>71</v>
      </c>
      <c r="G9" s="10" t="s">
        <v>677</v>
      </c>
      <c r="H9" s="10" t="s">
        <v>678</v>
      </c>
      <c r="I9" s="10">
        <v>5.87</v>
      </c>
      <c r="J9" s="10">
        <v>5.87</v>
      </c>
      <c r="K9" s="10" t="s">
        <v>1252</v>
      </c>
      <c r="L9" s="10" t="s">
        <v>1253</v>
      </c>
      <c r="M9" s="10" t="s">
        <v>662</v>
      </c>
      <c r="N9" s="10" t="s">
        <v>1254</v>
      </c>
      <c r="O9" s="10" t="s">
        <v>1255</v>
      </c>
      <c r="P9" s="10">
        <v>6.25</v>
      </c>
      <c r="Q9" s="10">
        <v>6.25</v>
      </c>
      <c r="R9" s="10">
        <v>6.25</v>
      </c>
      <c r="S9" s="10">
        <v>6.25</v>
      </c>
      <c r="T9" s="10">
        <v>6.25</v>
      </c>
      <c r="U9" s="10" t="s">
        <v>1771</v>
      </c>
      <c r="V9" s="10" t="s">
        <v>1772</v>
      </c>
      <c r="W9" s="10">
        <v>7.81</v>
      </c>
      <c r="X9" s="10">
        <v>7.81</v>
      </c>
      <c r="Y9" s="10" t="s">
        <v>59</v>
      </c>
      <c r="Z9" s="10" t="s">
        <v>60</v>
      </c>
      <c r="AA9" s="10" t="s">
        <v>61</v>
      </c>
      <c r="AB9" s="10" t="s">
        <v>62</v>
      </c>
      <c r="AC9" s="10" t="s">
        <v>63</v>
      </c>
    </row>
    <row r="10" spans="1:29" x14ac:dyDescent="0.25">
      <c r="A10">
        <v>9</v>
      </c>
      <c r="B10" s="10">
        <v>6.11</v>
      </c>
      <c r="C10" s="10" t="s">
        <v>679</v>
      </c>
      <c r="D10" s="10" t="s">
        <v>680</v>
      </c>
      <c r="E10" s="10" t="s">
        <v>68</v>
      </c>
      <c r="F10" s="10" t="s">
        <v>681</v>
      </c>
      <c r="G10" s="10" t="s">
        <v>682</v>
      </c>
      <c r="H10" s="10" t="s">
        <v>683</v>
      </c>
      <c r="I10" s="10">
        <v>5.87</v>
      </c>
      <c r="J10" s="10">
        <v>5.87</v>
      </c>
      <c r="K10" s="10" t="s">
        <v>1256</v>
      </c>
      <c r="L10" s="10" t="s">
        <v>1257</v>
      </c>
      <c r="M10" s="10" t="s">
        <v>1258</v>
      </c>
      <c r="N10" s="10" t="s">
        <v>1259</v>
      </c>
      <c r="O10" s="10" t="s">
        <v>1260</v>
      </c>
      <c r="P10" s="10">
        <v>6.25</v>
      </c>
      <c r="Q10" s="10">
        <v>6.25</v>
      </c>
      <c r="R10" s="10">
        <v>6.25</v>
      </c>
      <c r="S10" s="10">
        <v>6.25</v>
      </c>
      <c r="T10" s="10" t="s">
        <v>1769</v>
      </c>
      <c r="U10" s="10" t="s">
        <v>1773</v>
      </c>
      <c r="V10" s="10" t="s">
        <v>1774</v>
      </c>
      <c r="W10" s="10">
        <v>7.81</v>
      </c>
      <c r="X10" s="10">
        <v>7.81</v>
      </c>
      <c r="Y10" s="10" t="s">
        <v>50</v>
      </c>
      <c r="Z10" s="10" t="s">
        <v>64</v>
      </c>
      <c r="AA10" s="10" t="s">
        <v>65</v>
      </c>
      <c r="AB10" s="10" t="s">
        <v>66</v>
      </c>
      <c r="AC10" s="10" t="s">
        <v>67</v>
      </c>
    </row>
    <row r="11" spans="1:29" x14ac:dyDescent="0.25">
      <c r="A11">
        <v>10</v>
      </c>
      <c r="B11" s="10">
        <v>6.11</v>
      </c>
      <c r="C11" s="10" t="s">
        <v>684</v>
      </c>
      <c r="D11" s="10" t="s">
        <v>685</v>
      </c>
      <c r="E11" s="10" t="s">
        <v>290</v>
      </c>
      <c r="F11" s="10" t="s">
        <v>686</v>
      </c>
      <c r="G11" s="10" t="s">
        <v>687</v>
      </c>
      <c r="H11" s="10" t="s">
        <v>688</v>
      </c>
      <c r="I11" s="10">
        <v>5.87</v>
      </c>
      <c r="J11" s="10">
        <v>5.87</v>
      </c>
      <c r="K11" s="10" t="s">
        <v>689</v>
      </c>
      <c r="L11" s="10" t="s">
        <v>1261</v>
      </c>
      <c r="M11" s="10" t="s">
        <v>1262</v>
      </c>
      <c r="N11" s="10" t="s">
        <v>1263</v>
      </c>
      <c r="O11" s="10" t="s">
        <v>1264</v>
      </c>
      <c r="P11" s="10">
        <v>6.25</v>
      </c>
      <c r="Q11" s="10">
        <v>6.25</v>
      </c>
      <c r="R11" s="10">
        <v>6.25</v>
      </c>
      <c r="S11" s="10">
        <v>6.25</v>
      </c>
      <c r="T11" s="10" t="s">
        <v>1775</v>
      </c>
      <c r="U11" s="10" t="s">
        <v>676</v>
      </c>
      <c r="V11" s="10" t="s">
        <v>1776</v>
      </c>
      <c r="W11" s="10">
        <v>7.81</v>
      </c>
      <c r="X11" s="10">
        <v>7.81</v>
      </c>
      <c r="Y11" s="10" t="s">
        <v>68</v>
      </c>
      <c r="Z11" s="10" t="s">
        <v>69</v>
      </c>
      <c r="AA11" s="10" t="s">
        <v>70</v>
      </c>
      <c r="AB11" s="10" t="s">
        <v>71</v>
      </c>
      <c r="AC11" s="10" t="s">
        <v>72</v>
      </c>
    </row>
    <row r="12" spans="1:29" x14ac:dyDescent="0.25">
      <c r="A12">
        <v>11</v>
      </c>
      <c r="B12" s="10">
        <v>6.11</v>
      </c>
      <c r="C12" s="10" t="s">
        <v>689</v>
      </c>
      <c r="D12" s="10" t="s">
        <v>690</v>
      </c>
      <c r="E12" s="10" t="s">
        <v>691</v>
      </c>
      <c r="F12" s="10" t="s">
        <v>692</v>
      </c>
      <c r="G12" s="10" t="s">
        <v>693</v>
      </c>
      <c r="H12" s="10" t="s">
        <v>694</v>
      </c>
      <c r="I12" s="10">
        <v>5.87</v>
      </c>
      <c r="J12" s="10" t="s">
        <v>1265</v>
      </c>
      <c r="K12" s="10" t="s">
        <v>1266</v>
      </c>
      <c r="L12" s="10" t="s">
        <v>1267</v>
      </c>
      <c r="M12" s="10" t="s">
        <v>673</v>
      </c>
      <c r="N12" s="10" t="s">
        <v>372</v>
      </c>
      <c r="O12" s="10" t="s">
        <v>1268</v>
      </c>
      <c r="P12" s="10">
        <v>6.25</v>
      </c>
      <c r="Q12" s="10">
        <v>6.25</v>
      </c>
      <c r="R12" s="10">
        <v>6.25</v>
      </c>
      <c r="S12" s="10">
        <v>6.25</v>
      </c>
      <c r="T12" s="10" t="s">
        <v>1771</v>
      </c>
      <c r="U12" s="10" t="s">
        <v>1777</v>
      </c>
      <c r="V12" s="10" t="s">
        <v>1778</v>
      </c>
      <c r="W12" s="10">
        <v>7.81</v>
      </c>
      <c r="X12" s="10">
        <v>7.81</v>
      </c>
      <c r="Y12" s="10" t="s">
        <v>73</v>
      </c>
      <c r="Z12" s="10" t="s">
        <v>74</v>
      </c>
      <c r="AA12" s="10" t="s">
        <v>75</v>
      </c>
      <c r="AB12" s="10" t="s">
        <v>76</v>
      </c>
      <c r="AC12" s="10" t="s">
        <v>77</v>
      </c>
    </row>
    <row r="13" spans="1:29" x14ac:dyDescent="0.25">
      <c r="A13">
        <v>12</v>
      </c>
      <c r="B13" s="10">
        <v>6.15</v>
      </c>
      <c r="C13" s="10" t="s">
        <v>695</v>
      </c>
      <c r="D13" s="10" t="s">
        <v>696</v>
      </c>
      <c r="E13" s="10" t="s">
        <v>697</v>
      </c>
      <c r="F13" s="10" t="s">
        <v>698</v>
      </c>
      <c r="G13" s="10" t="s">
        <v>699</v>
      </c>
      <c r="H13" s="10" t="s">
        <v>700</v>
      </c>
      <c r="I13" s="10">
        <v>5.87</v>
      </c>
      <c r="J13" s="10" t="s">
        <v>1269</v>
      </c>
      <c r="K13" s="10" t="s">
        <v>1270</v>
      </c>
      <c r="L13" s="10" t="s">
        <v>1271</v>
      </c>
      <c r="M13" s="10" t="s">
        <v>1272</v>
      </c>
      <c r="N13" s="10" t="s">
        <v>906</v>
      </c>
      <c r="O13" s="10" t="s">
        <v>1273</v>
      </c>
      <c r="P13" s="10">
        <v>6.25</v>
      </c>
      <c r="Q13" s="10">
        <v>6.25</v>
      </c>
      <c r="R13" s="10">
        <v>6.25</v>
      </c>
      <c r="S13" s="10">
        <v>6.25</v>
      </c>
      <c r="T13" s="10" t="s">
        <v>1779</v>
      </c>
      <c r="U13" s="10" t="s">
        <v>1780</v>
      </c>
      <c r="V13" s="10" t="s">
        <v>1781</v>
      </c>
      <c r="W13" s="10">
        <v>7.81</v>
      </c>
      <c r="X13" s="10" t="s">
        <v>78</v>
      </c>
      <c r="Y13" s="10" t="s">
        <v>79</v>
      </c>
      <c r="Z13" s="10" t="s">
        <v>80</v>
      </c>
      <c r="AA13" s="10" t="s">
        <v>81</v>
      </c>
      <c r="AB13" s="10" t="s">
        <v>82</v>
      </c>
      <c r="AC13" s="10" t="s">
        <v>83</v>
      </c>
    </row>
    <row r="14" spans="1:29" x14ac:dyDescent="0.25">
      <c r="A14">
        <v>13</v>
      </c>
      <c r="B14" s="10" t="s">
        <v>701</v>
      </c>
      <c r="C14" s="10" t="s">
        <v>702</v>
      </c>
      <c r="D14" s="10" t="s">
        <v>703</v>
      </c>
      <c r="E14" s="10" t="s">
        <v>252</v>
      </c>
      <c r="F14" s="10" t="s">
        <v>704</v>
      </c>
      <c r="G14" s="10" t="s">
        <v>705</v>
      </c>
      <c r="H14" s="10" t="s">
        <v>706</v>
      </c>
      <c r="I14" s="10" t="s">
        <v>1274</v>
      </c>
      <c r="J14" s="10" t="s">
        <v>1275</v>
      </c>
      <c r="K14" s="10" t="s">
        <v>1276</v>
      </c>
      <c r="L14" s="10" t="s">
        <v>1277</v>
      </c>
      <c r="M14" s="10" t="s">
        <v>855</v>
      </c>
      <c r="N14" s="10" t="s">
        <v>1278</v>
      </c>
      <c r="O14" s="10" t="s">
        <v>1279</v>
      </c>
      <c r="P14" s="10">
        <v>6.25</v>
      </c>
      <c r="Q14" s="10">
        <v>6.25</v>
      </c>
      <c r="R14" s="10">
        <v>6.25</v>
      </c>
      <c r="S14" s="10" t="s">
        <v>1782</v>
      </c>
      <c r="T14" s="10" t="s">
        <v>1783</v>
      </c>
      <c r="U14" s="10" t="s">
        <v>192</v>
      </c>
      <c r="V14" s="10" t="s">
        <v>696</v>
      </c>
      <c r="W14" s="10">
        <v>7.81</v>
      </c>
      <c r="X14" s="10" t="s">
        <v>84</v>
      </c>
      <c r="Y14" s="10" t="s">
        <v>85</v>
      </c>
      <c r="Z14" s="10" t="s">
        <v>86</v>
      </c>
      <c r="AA14" s="10" t="s">
        <v>87</v>
      </c>
      <c r="AB14" s="10" t="s">
        <v>88</v>
      </c>
      <c r="AC14" s="10" t="s">
        <v>89</v>
      </c>
    </row>
    <row r="15" spans="1:29" x14ac:dyDescent="0.25">
      <c r="A15">
        <v>14</v>
      </c>
      <c r="B15" s="10" t="s">
        <v>707</v>
      </c>
      <c r="C15" s="10" t="s">
        <v>708</v>
      </c>
      <c r="D15" s="10" t="s">
        <v>709</v>
      </c>
      <c r="E15" s="10" t="s">
        <v>710</v>
      </c>
      <c r="F15" s="10" t="s">
        <v>711</v>
      </c>
      <c r="G15" s="10" t="s">
        <v>712</v>
      </c>
      <c r="H15" s="10" t="s">
        <v>414</v>
      </c>
      <c r="I15" s="10" t="s">
        <v>1280</v>
      </c>
      <c r="J15" s="10" t="s">
        <v>1253</v>
      </c>
      <c r="K15" s="10" t="s">
        <v>1281</v>
      </c>
      <c r="L15" s="10" t="s">
        <v>768</v>
      </c>
      <c r="M15" s="10" t="s">
        <v>769</v>
      </c>
      <c r="N15" s="10" t="s">
        <v>1282</v>
      </c>
      <c r="O15" s="10" t="s">
        <v>1283</v>
      </c>
      <c r="P15" s="10">
        <v>6.25</v>
      </c>
      <c r="Q15" s="10">
        <v>6.25</v>
      </c>
      <c r="R15" s="10">
        <v>6.25</v>
      </c>
      <c r="S15" s="10" t="s">
        <v>1284</v>
      </c>
      <c r="T15" s="10" t="s">
        <v>720</v>
      </c>
      <c r="U15" s="10" t="s">
        <v>1784</v>
      </c>
      <c r="V15" s="10" t="s">
        <v>744</v>
      </c>
      <c r="W15" s="10">
        <v>7.81</v>
      </c>
      <c r="X15" s="10" t="s">
        <v>90</v>
      </c>
      <c r="Y15" s="10" t="s">
        <v>91</v>
      </c>
      <c r="Z15" s="10" t="s">
        <v>92</v>
      </c>
      <c r="AA15" s="10" t="s">
        <v>93</v>
      </c>
      <c r="AB15" s="10" t="s">
        <v>94</v>
      </c>
      <c r="AC15" s="10" t="s">
        <v>95</v>
      </c>
    </row>
    <row r="16" spans="1:29" x14ac:dyDescent="0.25">
      <c r="A16">
        <v>15</v>
      </c>
      <c r="B16" s="10" t="s">
        <v>713</v>
      </c>
      <c r="C16" s="10" t="s">
        <v>714</v>
      </c>
      <c r="D16" s="10" t="s">
        <v>715</v>
      </c>
      <c r="E16" s="10" t="s">
        <v>716</v>
      </c>
      <c r="F16" s="10" t="s">
        <v>717</v>
      </c>
      <c r="G16" s="10" t="s">
        <v>718</v>
      </c>
      <c r="H16" s="10" t="s">
        <v>719</v>
      </c>
      <c r="I16" s="10" t="s">
        <v>1284</v>
      </c>
      <c r="J16" s="10" t="s">
        <v>1285</v>
      </c>
      <c r="K16" s="10" t="s">
        <v>1286</v>
      </c>
      <c r="L16" s="10" t="s">
        <v>1287</v>
      </c>
      <c r="M16" s="10" t="s">
        <v>1288</v>
      </c>
      <c r="N16" s="10" t="s">
        <v>1289</v>
      </c>
      <c r="O16" s="10" t="s">
        <v>1290</v>
      </c>
      <c r="P16" s="10">
        <v>6.25</v>
      </c>
      <c r="Q16" s="10">
        <v>6.25</v>
      </c>
      <c r="R16" s="10">
        <v>6.25</v>
      </c>
      <c r="S16" s="10" t="s">
        <v>1785</v>
      </c>
      <c r="T16" s="10" t="s">
        <v>1253</v>
      </c>
      <c r="U16" s="10" t="s">
        <v>1786</v>
      </c>
      <c r="V16" s="10" t="s">
        <v>1787</v>
      </c>
      <c r="W16" s="10">
        <v>7.81</v>
      </c>
      <c r="X16" s="10" t="s">
        <v>96</v>
      </c>
      <c r="Y16" s="10" t="s">
        <v>97</v>
      </c>
      <c r="Z16" s="10" t="s">
        <v>98</v>
      </c>
      <c r="AA16" s="10" t="s">
        <v>99</v>
      </c>
      <c r="AB16" s="10" t="s">
        <v>100</v>
      </c>
      <c r="AC16" s="10" t="s">
        <v>101</v>
      </c>
    </row>
    <row r="17" spans="1:29" x14ac:dyDescent="0.25">
      <c r="A17">
        <v>16</v>
      </c>
      <c r="B17" s="10" t="s">
        <v>720</v>
      </c>
      <c r="C17" s="10" t="s">
        <v>721</v>
      </c>
      <c r="D17" s="10" t="s">
        <v>722</v>
      </c>
      <c r="E17" s="10" t="s">
        <v>723</v>
      </c>
      <c r="F17" s="10" t="s">
        <v>724</v>
      </c>
      <c r="G17" s="10" t="s">
        <v>725</v>
      </c>
      <c r="H17" s="10" t="s">
        <v>726</v>
      </c>
      <c r="I17" s="10" t="s">
        <v>1291</v>
      </c>
      <c r="J17" s="10" t="s">
        <v>1292</v>
      </c>
      <c r="K17" s="10" t="s">
        <v>1293</v>
      </c>
      <c r="L17" s="10" t="s">
        <v>1294</v>
      </c>
      <c r="M17" s="10" t="s">
        <v>723</v>
      </c>
      <c r="N17" s="10" t="s">
        <v>1003</v>
      </c>
      <c r="O17" s="10" t="s">
        <v>613</v>
      </c>
      <c r="P17" s="10">
        <v>6.25</v>
      </c>
      <c r="Q17" s="10">
        <v>6.25</v>
      </c>
      <c r="R17" s="10">
        <v>6.25</v>
      </c>
      <c r="S17" s="10" t="s">
        <v>1788</v>
      </c>
      <c r="T17" s="10" t="s">
        <v>1789</v>
      </c>
      <c r="U17" s="10" t="s">
        <v>1790</v>
      </c>
      <c r="V17" s="10" t="s">
        <v>1258</v>
      </c>
      <c r="W17" s="10">
        <v>7.81</v>
      </c>
      <c r="X17" s="10" t="s">
        <v>102</v>
      </c>
      <c r="Y17" s="10" t="s">
        <v>103</v>
      </c>
      <c r="Z17" s="10" t="s">
        <v>104</v>
      </c>
      <c r="AA17" s="10" t="s">
        <v>105</v>
      </c>
      <c r="AB17" s="10" t="s">
        <v>106</v>
      </c>
      <c r="AC17" s="10" t="s">
        <v>107</v>
      </c>
    </row>
    <row r="18" spans="1:29" x14ac:dyDescent="0.25">
      <c r="A18">
        <v>17</v>
      </c>
      <c r="B18" s="10" t="s">
        <v>727</v>
      </c>
      <c r="C18" s="10" t="s">
        <v>728</v>
      </c>
      <c r="D18" s="10" t="s">
        <v>729</v>
      </c>
      <c r="E18" s="10" t="s">
        <v>730</v>
      </c>
      <c r="F18" s="10" t="s">
        <v>731</v>
      </c>
      <c r="G18" s="10" t="s">
        <v>732</v>
      </c>
      <c r="H18" s="10" t="s">
        <v>733</v>
      </c>
      <c r="I18" s="10" t="s">
        <v>1295</v>
      </c>
      <c r="J18" s="10" t="s">
        <v>1296</v>
      </c>
      <c r="K18" s="10" t="s">
        <v>1297</v>
      </c>
      <c r="L18" s="10" t="s">
        <v>1298</v>
      </c>
      <c r="M18" s="10" t="s">
        <v>98</v>
      </c>
      <c r="N18" s="10" t="s">
        <v>1299</v>
      </c>
      <c r="O18" s="10" t="s">
        <v>1300</v>
      </c>
      <c r="P18" s="10">
        <v>6.25</v>
      </c>
      <c r="Q18" s="10">
        <v>6.25</v>
      </c>
      <c r="R18" s="10">
        <v>6.25</v>
      </c>
      <c r="S18" s="10" t="s">
        <v>1791</v>
      </c>
      <c r="T18" s="10" t="s">
        <v>1792</v>
      </c>
      <c r="U18" s="10" t="s">
        <v>1326</v>
      </c>
      <c r="V18" s="10" t="s">
        <v>1277</v>
      </c>
      <c r="W18" s="10">
        <v>7.81</v>
      </c>
      <c r="X18" s="10" t="s">
        <v>108</v>
      </c>
      <c r="Y18" s="10" t="s">
        <v>109</v>
      </c>
      <c r="Z18" s="10" t="s">
        <v>110</v>
      </c>
      <c r="AA18" s="10" t="s">
        <v>111</v>
      </c>
      <c r="AB18" s="10" t="s">
        <v>112</v>
      </c>
      <c r="AC18" s="10" t="s">
        <v>113</v>
      </c>
    </row>
    <row r="19" spans="1:29" x14ac:dyDescent="0.25">
      <c r="A19">
        <v>18</v>
      </c>
      <c r="B19" s="10" t="s">
        <v>734</v>
      </c>
      <c r="C19" s="10" t="s">
        <v>735</v>
      </c>
      <c r="D19" s="10" t="s">
        <v>304</v>
      </c>
      <c r="E19" s="10" t="s">
        <v>736</v>
      </c>
      <c r="F19" s="10" t="s">
        <v>737</v>
      </c>
      <c r="G19" s="10" t="s">
        <v>184</v>
      </c>
      <c r="H19" s="10" t="s">
        <v>738</v>
      </c>
      <c r="I19" s="10" t="s">
        <v>1301</v>
      </c>
      <c r="J19" s="10" t="s">
        <v>37</v>
      </c>
      <c r="K19" s="10" t="s">
        <v>1302</v>
      </c>
      <c r="L19" s="10" t="s">
        <v>1303</v>
      </c>
      <c r="M19" s="10" t="s">
        <v>1304</v>
      </c>
      <c r="N19" s="10" t="s">
        <v>1305</v>
      </c>
      <c r="O19" s="10" t="s">
        <v>1306</v>
      </c>
      <c r="P19" s="10">
        <v>6.25</v>
      </c>
      <c r="Q19" s="10">
        <v>6.25</v>
      </c>
      <c r="R19" s="10">
        <v>6.25</v>
      </c>
      <c r="S19" s="10" t="s">
        <v>1774</v>
      </c>
      <c r="T19" s="10" t="s">
        <v>1793</v>
      </c>
      <c r="U19" s="10" t="s">
        <v>1794</v>
      </c>
      <c r="V19" s="10" t="s">
        <v>1795</v>
      </c>
      <c r="W19" s="10">
        <v>7.81</v>
      </c>
      <c r="X19" s="10" t="s">
        <v>114</v>
      </c>
      <c r="Y19" s="10" t="s">
        <v>115</v>
      </c>
      <c r="Z19" s="10" t="s">
        <v>100</v>
      </c>
      <c r="AA19" s="10" t="s">
        <v>101</v>
      </c>
      <c r="AB19" s="10" t="s">
        <v>116</v>
      </c>
      <c r="AC19" s="10" t="s">
        <v>117</v>
      </c>
    </row>
    <row r="20" spans="1:29" x14ac:dyDescent="0.25">
      <c r="A20">
        <v>19</v>
      </c>
      <c r="B20" s="10" t="s">
        <v>179</v>
      </c>
      <c r="C20" s="10" t="s">
        <v>739</v>
      </c>
      <c r="D20" s="10" t="s">
        <v>740</v>
      </c>
      <c r="E20" s="10" t="s">
        <v>741</v>
      </c>
      <c r="F20" s="10" t="s">
        <v>742</v>
      </c>
      <c r="G20" s="10" t="s">
        <v>191</v>
      </c>
      <c r="H20" s="10" t="s">
        <v>743</v>
      </c>
      <c r="I20" s="10" t="s">
        <v>1253</v>
      </c>
      <c r="J20" s="10" t="s">
        <v>1307</v>
      </c>
      <c r="K20" s="10" t="s">
        <v>1308</v>
      </c>
      <c r="L20" s="10" t="s">
        <v>809</v>
      </c>
      <c r="M20" s="10" t="s">
        <v>1309</v>
      </c>
      <c r="N20" s="10" t="s">
        <v>1310</v>
      </c>
      <c r="O20" s="10" t="s">
        <v>1311</v>
      </c>
      <c r="P20" s="10">
        <v>6.25</v>
      </c>
      <c r="Q20" s="10" t="s">
        <v>1782</v>
      </c>
      <c r="R20" s="10" t="s">
        <v>1796</v>
      </c>
      <c r="S20" s="10" t="s">
        <v>1266</v>
      </c>
      <c r="T20" s="10" t="s">
        <v>37</v>
      </c>
      <c r="U20" s="10" t="s">
        <v>1797</v>
      </c>
      <c r="V20" s="10" t="s">
        <v>1798</v>
      </c>
      <c r="W20" s="10">
        <v>7.81</v>
      </c>
      <c r="X20" s="10" t="s">
        <v>118</v>
      </c>
      <c r="Y20" s="10" t="s">
        <v>119</v>
      </c>
      <c r="Z20" s="10" t="s">
        <v>120</v>
      </c>
      <c r="AA20" s="10" t="s">
        <v>121</v>
      </c>
      <c r="AB20" s="10" t="s">
        <v>122</v>
      </c>
      <c r="AC20" s="10" t="s">
        <v>123</v>
      </c>
    </row>
    <row r="21" spans="1:29" x14ac:dyDescent="0.25">
      <c r="A21">
        <v>20</v>
      </c>
      <c r="B21" s="10" t="s">
        <v>714</v>
      </c>
      <c r="C21" s="10" t="s">
        <v>744</v>
      </c>
      <c r="D21" s="10" t="s">
        <v>214</v>
      </c>
      <c r="E21" s="10" t="s">
        <v>745</v>
      </c>
      <c r="F21" s="10" t="s">
        <v>746</v>
      </c>
      <c r="G21" s="10" t="s">
        <v>747</v>
      </c>
      <c r="H21" s="10" t="s">
        <v>748</v>
      </c>
      <c r="I21" s="10" t="s">
        <v>1312</v>
      </c>
      <c r="J21" s="10" t="s">
        <v>1313</v>
      </c>
      <c r="K21" s="10" t="s">
        <v>1314</v>
      </c>
      <c r="L21" s="10" t="s">
        <v>1315</v>
      </c>
      <c r="M21" s="10" t="s">
        <v>1316</v>
      </c>
      <c r="N21" s="10" t="s">
        <v>1317</v>
      </c>
      <c r="O21" s="10" t="s">
        <v>1318</v>
      </c>
      <c r="P21" s="10">
        <v>6.25</v>
      </c>
      <c r="Q21" s="10" t="s">
        <v>1274</v>
      </c>
      <c r="R21" s="10" t="s">
        <v>1799</v>
      </c>
      <c r="S21" s="10" t="s">
        <v>1319</v>
      </c>
      <c r="T21" s="10" t="s">
        <v>1281</v>
      </c>
      <c r="U21" s="10" t="s">
        <v>51</v>
      </c>
      <c r="V21" s="10" t="s">
        <v>1800</v>
      </c>
      <c r="W21" s="10">
        <v>7.81</v>
      </c>
      <c r="X21" s="10" t="s">
        <v>124</v>
      </c>
      <c r="Y21" s="10" t="s">
        <v>125</v>
      </c>
      <c r="Z21" s="10" t="s">
        <v>126</v>
      </c>
      <c r="AA21" s="10" t="s">
        <v>127</v>
      </c>
      <c r="AB21" s="10" t="s">
        <v>128</v>
      </c>
      <c r="AC21" s="10" t="s">
        <v>129</v>
      </c>
    </row>
    <row r="22" spans="1:29" x14ac:dyDescent="0.25">
      <c r="A22">
        <v>21</v>
      </c>
      <c r="B22" s="10" t="s">
        <v>749</v>
      </c>
      <c r="C22" s="10" t="s">
        <v>142</v>
      </c>
      <c r="D22" s="10" t="s">
        <v>750</v>
      </c>
      <c r="E22" s="10" t="s">
        <v>751</v>
      </c>
      <c r="F22" s="10" t="s">
        <v>752</v>
      </c>
      <c r="G22" s="10" t="s">
        <v>753</v>
      </c>
      <c r="H22" s="10" t="s">
        <v>754</v>
      </c>
      <c r="I22" s="10" t="s">
        <v>1319</v>
      </c>
      <c r="J22" s="10" t="s">
        <v>1320</v>
      </c>
      <c r="K22" s="10" t="s">
        <v>1321</v>
      </c>
      <c r="L22" s="10" t="s">
        <v>1322</v>
      </c>
      <c r="M22" s="10" t="s">
        <v>1323</v>
      </c>
      <c r="N22" s="10" t="s">
        <v>1324</v>
      </c>
      <c r="O22" s="10" t="s">
        <v>1325</v>
      </c>
      <c r="P22" s="10">
        <v>6.25</v>
      </c>
      <c r="Q22" s="10" t="s">
        <v>1801</v>
      </c>
      <c r="R22" s="10" t="s">
        <v>1802</v>
      </c>
      <c r="S22" s="10" t="s">
        <v>179</v>
      </c>
      <c r="T22" s="10" t="s">
        <v>1803</v>
      </c>
      <c r="U22" s="10" t="s">
        <v>1804</v>
      </c>
      <c r="V22" s="10" t="s">
        <v>1805</v>
      </c>
      <c r="W22" s="10">
        <v>7.81</v>
      </c>
      <c r="X22" s="10" t="s">
        <v>130</v>
      </c>
      <c r="Y22" s="10" t="s">
        <v>131</v>
      </c>
      <c r="Z22" s="10" t="s">
        <v>132</v>
      </c>
      <c r="AA22" s="10" t="s">
        <v>133</v>
      </c>
      <c r="AB22" s="10" t="s">
        <v>134</v>
      </c>
      <c r="AC22" s="10" t="s">
        <v>135</v>
      </c>
    </row>
    <row r="23" spans="1:29" x14ac:dyDescent="0.25">
      <c r="A23">
        <v>22</v>
      </c>
      <c r="B23" s="10" t="s">
        <v>755</v>
      </c>
      <c r="C23" s="10" t="s">
        <v>756</v>
      </c>
      <c r="D23" s="10" t="s">
        <v>757</v>
      </c>
      <c r="E23" s="10" t="s">
        <v>758</v>
      </c>
      <c r="F23" s="10" t="s">
        <v>759</v>
      </c>
      <c r="G23" s="10" t="s">
        <v>760</v>
      </c>
      <c r="H23" s="10" t="s">
        <v>761</v>
      </c>
      <c r="I23" s="10" t="s">
        <v>1276</v>
      </c>
      <c r="J23" s="10" t="s">
        <v>1326</v>
      </c>
      <c r="K23" s="10" t="s">
        <v>1327</v>
      </c>
      <c r="L23" s="10" t="s">
        <v>1328</v>
      </c>
      <c r="M23" s="10" t="s">
        <v>1329</v>
      </c>
      <c r="N23" s="10" t="s">
        <v>998</v>
      </c>
      <c r="O23" s="10" t="s">
        <v>957</v>
      </c>
      <c r="P23" s="10">
        <v>6.25</v>
      </c>
      <c r="Q23" s="10" t="s">
        <v>1806</v>
      </c>
      <c r="R23" s="10" t="s">
        <v>1807</v>
      </c>
      <c r="S23" s="10" t="s">
        <v>1792</v>
      </c>
      <c r="T23" s="10" t="s">
        <v>1808</v>
      </c>
      <c r="U23" s="10" t="s">
        <v>1809</v>
      </c>
      <c r="V23" s="10" t="s">
        <v>1810</v>
      </c>
      <c r="W23" s="10">
        <v>7.81</v>
      </c>
      <c r="X23" s="10" t="s">
        <v>136</v>
      </c>
      <c r="Y23" s="10" t="s">
        <v>137</v>
      </c>
      <c r="Z23" s="10" t="s">
        <v>138</v>
      </c>
      <c r="AA23" s="10" t="s">
        <v>139</v>
      </c>
      <c r="AB23" s="10" t="s">
        <v>140</v>
      </c>
      <c r="AC23" s="10" t="s">
        <v>141</v>
      </c>
    </row>
    <row r="24" spans="1:29" x14ac:dyDescent="0.25">
      <c r="A24">
        <v>23</v>
      </c>
      <c r="B24" s="10" t="s">
        <v>762</v>
      </c>
      <c r="C24" s="10" t="s">
        <v>763</v>
      </c>
      <c r="D24" s="10" t="s">
        <v>71</v>
      </c>
      <c r="E24" s="10" t="s">
        <v>544</v>
      </c>
      <c r="F24" s="10" t="s">
        <v>764</v>
      </c>
      <c r="G24" s="10" t="s">
        <v>765</v>
      </c>
      <c r="H24" s="10" t="s">
        <v>766</v>
      </c>
      <c r="I24" s="10" t="s">
        <v>1330</v>
      </c>
      <c r="J24" s="10" t="s">
        <v>1331</v>
      </c>
      <c r="K24" s="10" t="s">
        <v>1332</v>
      </c>
      <c r="L24" s="10" t="s">
        <v>1333</v>
      </c>
      <c r="M24" s="10" t="s">
        <v>106</v>
      </c>
      <c r="N24" s="10" t="s">
        <v>176</v>
      </c>
      <c r="O24" s="10" t="s">
        <v>1173</v>
      </c>
      <c r="P24" s="10">
        <v>6.25</v>
      </c>
      <c r="Q24" s="10" t="s">
        <v>1256</v>
      </c>
      <c r="R24" s="10" t="s">
        <v>1249</v>
      </c>
      <c r="S24" s="10" t="s">
        <v>1292</v>
      </c>
      <c r="T24" s="10" t="s">
        <v>1811</v>
      </c>
      <c r="U24" s="10" t="s">
        <v>1327</v>
      </c>
      <c r="V24" s="10" t="s">
        <v>1812</v>
      </c>
      <c r="W24" s="10">
        <v>7.81</v>
      </c>
      <c r="X24" s="10" t="s">
        <v>142</v>
      </c>
      <c r="Y24" s="10" t="s">
        <v>143</v>
      </c>
      <c r="Z24" s="10" t="s">
        <v>144</v>
      </c>
      <c r="AA24" s="10" t="s">
        <v>145</v>
      </c>
      <c r="AB24" s="10" t="s">
        <v>146</v>
      </c>
      <c r="AC24" s="10" t="s">
        <v>147</v>
      </c>
    </row>
    <row r="25" spans="1:29" x14ac:dyDescent="0.25">
      <c r="A25">
        <v>24</v>
      </c>
      <c r="B25" s="10" t="s">
        <v>767</v>
      </c>
      <c r="C25" s="10" t="s">
        <v>768</v>
      </c>
      <c r="D25" s="10" t="s">
        <v>769</v>
      </c>
      <c r="E25" s="10" t="s">
        <v>359</v>
      </c>
      <c r="F25" s="10" t="s">
        <v>770</v>
      </c>
      <c r="G25" s="10" t="s">
        <v>771</v>
      </c>
      <c r="H25" s="10" t="s">
        <v>326</v>
      </c>
      <c r="I25" s="10" t="s">
        <v>1334</v>
      </c>
      <c r="J25" s="10" t="s">
        <v>665</v>
      </c>
      <c r="K25" s="10" t="s">
        <v>331</v>
      </c>
      <c r="L25" s="10" t="s">
        <v>291</v>
      </c>
      <c r="M25" s="10" t="s">
        <v>1335</v>
      </c>
      <c r="N25" s="10" t="s">
        <v>1336</v>
      </c>
      <c r="O25" s="10" t="s">
        <v>220</v>
      </c>
      <c r="P25" s="10">
        <v>6.25</v>
      </c>
      <c r="Q25" s="10" t="s">
        <v>1813</v>
      </c>
      <c r="R25" s="10" t="s">
        <v>1814</v>
      </c>
      <c r="S25" s="10" t="s">
        <v>1815</v>
      </c>
      <c r="T25" s="10" t="s">
        <v>277</v>
      </c>
      <c r="U25" s="10" t="s">
        <v>1816</v>
      </c>
      <c r="V25" s="10" t="s">
        <v>372</v>
      </c>
      <c r="W25" s="10">
        <v>7.81</v>
      </c>
      <c r="X25" s="10" t="s">
        <v>148</v>
      </c>
      <c r="Y25" s="10" t="s">
        <v>149</v>
      </c>
      <c r="Z25" s="10" t="s">
        <v>150</v>
      </c>
      <c r="AA25" s="10" t="s">
        <v>151</v>
      </c>
      <c r="AB25" s="10" t="s">
        <v>147</v>
      </c>
      <c r="AC25" s="10" t="s">
        <v>152</v>
      </c>
    </row>
    <row r="26" spans="1:29" x14ac:dyDescent="0.25">
      <c r="A26">
        <v>25</v>
      </c>
      <c r="B26" s="10" t="s">
        <v>251</v>
      </c>
      <c r="C26" s="10" t="s">
        <v>772</v>
      </c>
      <c r="D26" s="10" t="s">
        <v>773</v>
      </c>
      <c r="E26" s="10" t="s">
        <v>774</v>
      </c>
      <c r="F26" s="10" t="s">
        <v>775</v>
      </c>
      <c r="G26" s="10" t="s">
        <v>776</v>
      </c>
      <c r="H26" s="10" t="s">
        <v>777</v>
      </c>
      <c r="I26" s="10" t="s">
        <v>1337</v>
      </c>
      <c r="J26" s="10" t="s">
        <v>1338</v>
      </c>
      <c r="K26" s="10" t="s">
        <v>85</v>
      </c>
      <c r="L26" s="10" t="s">
        <v>1339</v>
      </c>
      <c r="M26" s="10" t="s">
        <v>1340</v>
      </c>
      <c r="N26" s="10" t="s">
        <v>477</v>
      </c>
      <c r="O26" s="10" t="s">
        <v>1341</v>
      </c>
      <c r="P26" s="10">
        <v>6.25</v>
      </c>
      <c r="Q26" s="10" t="s">
        <v>1817</v>
      </c>
      <c r="R26" s="10" t="s">
        <v>1818</v>
      </c>
      <c r="S26" s="10" t="s">
        <v>1819</v>
      </c>
      <c r="T26" s="10" t="s">
        <v>1820</v>
      </c>
      <c r="U26" s="10" t="s">
        <v>1821</v>
      </c>
      <c r="V26" s="10" t="s">
        <v>1822</v>
      </c>
      <c r="W26" s="10">
        <v>7.81</v>
      </c>
      <c r="X26" s="10" t="s">
        <v>153</v>
      </c>
      <c r="Y26" s="10" t="s">
        <v>154</v>
      </c>
      <c r="Z26" s="10" t="s">
        <v>155</v>
      </c>
      <c r="AA26" s="10" t="s">
        <v>156</v>
      </c>
      <c r="AB26" s="10" t="s">
        <v>157</v>
      </c>
      <c r="AC26" s="10" t="s">
        <v>158</v>
      </c>
    </row>
    <row r="27" spans="1:29" x14ac:dyDescent="0.25">
      <c r="A27">
        <v>26</v>
      </c>
      <c r="B27" s="10" t="s">
        <v>778</v>
      </c>
      <c r="C27" s="10" t="s">
        <v>779</v>
      </c>
      <c r="D27" s="10" t="s">
        <v>780</v>
      </c>
      <c r="E27" s="10" t="s">
        <v>781</v>
      </c>
      <c r="F27" s="10" t="s">
        <v>782</v>
      </c>
      <c r="G27" s="10" t="s">
        <v>281</v>
      </c>
      <c r="H27" s="10" t="s">
        <v>783</v>
      </c>
      <c r="I27" s="10" t="s">
        <v>1342</v>
      </c>
      <c r="J27" s="10" t="s">
        <v>1343</v>
      </c>
      <c r="K27" s="10" t="s">
        <v>1344</v>
      </c>
      <c r="L27" s="10" t="s">
        <v>455</v>
      </c>
      <c r="M27" s="10" t="s">
        <v>1345</v>
      </c>
      <c r="N27" s="10" t="s">
        <v>1346</v>
      </c>
      <c r="O27" s="10" t="s">
        <v>1347</v>
      </c>
      <c r="P27" s="10" t="s">
        <v>1252</v>
      </c>
      <c r="Q27" s="10" t="s">
        <v>1823</v>
      </c>
      <c r="R27" s="10" t="s">
        <v>1824</v>
      </c>
      <c r="S27" s="10" t="s">
        <v>767</v>
      </c>
      <c r="T27" s="10" t="s">
        <v>1825</v>
      </c>
      <c r="U27" s="10" t="s">
        <v>1826</v>
      </c>
      <c r="V27" s="10" t="s">
        <v>406</v>
      </c>
      <c r="W27" s="10" t="s">
        <v>159</v>
      </c>
      <c r="X27" s="10" t="s">
        <v>160</v>
      </c>
      <c r="Y27" s="10" t="s">
        <v>161</v>
      </c>
      <c r="Z27" s="10" t="s">
        <v>162</v>
      </c>
      <c r="AA27" s="10" t="s">
        <v>163</v>
      </c>
      <c r="AB27" s="10" t="s">
        <v>164</v>
      </c>
      <c r="AC27" s="10" t="s">
        <v>165</v>
      </c>
    </row>
    <row r="28" spans="1:29" x14ac:dyDescent="0.25">
      <c r="A28">
        <v>27</v>
      </c>
      <c r="B28" s="10" t="s">
        <v>784</v>
      </c>
      <c r="C28" s="10" t="s">
        <v>785</v>
      </c>
      <c r="D28" s="10" t="s">
        <v>786</v>
      </c>
      <c r="E28" s="10" t="s">
        <v>787</v>
      </c>
      <c r="F28" s="10" t="s">
        <v>257</v>
      </c>
      <c r="G28" s="10" t="s">
        <v>788</v>
      </c>
      <c r="H28" s="10" t="s">
        <v>789</v>
      </c>
      <c r="I28" s="10" t="s">
        <v>1348</v>
      </c>
      <c r="J28" s="10" t="s">
        <v>1349</v>
      </c>
      <c r="K28" s="10" t="s">
        <v>379</v>
      </c>
      <c r="L28" s="10" t="s">
        <v>1350</v>
      </c>
      <c r="M28" s="10" t="s">
        <v>1351</v>
      </c>
      <c r="N28" s="10" t="s">
        <v>1352</v>
      </c>
      <c r="O28" s="10" t="s">
        <v>1353</v>
      </c>
      <c r="P28" s="10" t="s">
        <v>701</v>
      </c>
      <c r="Q28" s="10" t="s">
        <v>727</v>
      </c>
      <c r="R28" s="10" t="s">
        <v>96</v>
      </c>
      <c r="S28" s="10" t="s">
        <v>1827</v>
      </c>
      <c r="T28" s="10" t="s">
        <v>779</v>
      </c>
      <c r="U28" s="10" t="s">
        <v>1828</v>
      </c>
      <c r="V28" s="10" t="s">
        <v>926</v>
      </c>
      <c r="W28" s="10" t="s">
        <v>166</v>
      </c>
      <c r="X28" s="10" t="s">
        <v>49</v>
      </c>
      <c r="Y28" s="10" t="s">
        <v>167</v>
      </c>
      <c r="Z28" s="10" t="s">
        <v>168</v>
      </c>
      <c r="AA28" s="10" t="s">
        <v>169</v>
      </c>
      <c r="AB28" s="10" t="s">
        <v>170</v>
      </c>
      <c r="AC28" s="10" t="s">
        <v>171</v>
      </c>
    </row>
    <row r="29" spans="1:29" x14ac:dyDescent="0.25">
      <c r="A29">
        <v>28</v>
      </c>
      <c r="B29" s="10" t="s">
        <v>790</v>
      </c>
      <c r="C29" s="10" t="s">
        <v>791</v>
      </c>
      <c r="D29" s="10" t="s">
        <v>792</v>
      </c>
      <c r="E29" s="10" t="s">
        <v>421</v>
      </c>
      <c r="F29" s="10" t="s">
        <v>793</v>
      </c>
      <c r="G29" s="10" t="s">
        <v>794</v>
      </c>
      <c r="H29" s="10" t="s">
        <v>795</v>
      </c>
      <c r="I29" s="10" t="s">
        <v>1354</v>
      </c>
      <c r="J29" s="10" t="s">
        <v>1355</v>
      </c>
      <c r="K29" s="10" t="s">
        <v>894</v>
      </c>
      <c r="L29" s="10" t="s">
        <v>1356</v>
      </c>
      <c r="M29" s="10" t="s">
        <v>1357</v>
      </c>
      <c r="N29" s="10" t="s">
        <v>1358</v>
      </c>
      <c r="O29" s="10" t="s">
        <v>1201</v>
      </c>
      <c r="P29" s="10" t="s">
        <v>1779</v>
      </c>
      <c r="Q29" s="10" t="s">
        <v>1829</v>
      </c>
      <c r="R29" s="10" t="s">
        <v>1830</v>
      </c>
      <c r="S29" s="10" t="s">
        <v>1831</v>
      </c>
      <c r="T29" s="10" t="s">
        <v>1832</v>
      </c>
      <c r="U29" s="10" t="s">
        <v>1833</v>
      </c>
      <c r="V29" s="10" t="s">
        <v>1834</v>
      </c>
      <c r="W29" s="10" t="s">
        <v>172</v>
      </c>
      <c r="X29" s="10" t="s">
        <v>173</v>
      </c>
      <c r="Y29" s="10" t="s">
        <v>174</v>
      </c>
      <c r="Z29" s="10" t="s">
        <v>175</v>
      </c>
      <c r="AA29" s="10" t="s">
        <v>176</v>
      </c>
      <c r="AB29" s="10" t="s">
        <v>177</v>
      </c>
      <c r="AC29" s="10" t="s">
        <v>178</v>
      </c>
    </row>
    <row r="30" spans="1:29" x14ac:dyDescent="0.25">
      <c r="A30">
        <v>29</v>
      </c>
      <c r="B30" s="10" t="s">
        <v>722</v>
      </c>
      <c r="C30" s="10" t="s">
        <v>796</v>
      </c>
      <c r="D30" s="10" t="s">
        <v>797</v>
      </c>
      <c r="E30" s="10" t="s">
        <v>798</v>
      </c>
      <c r="F30" s="10" t="s">
        <v>799</v>
      </c>
      <c r="G30" s="10" t="s">
        <v>800</v>
      </c>
      <c r="H30" s="10" t="s">
        <v>801</v>
      </c>
      <c r="I30" s="10" t="s">
        <v>1359</v>
      </c>
      <c r="J30" s="10" t="s">
        <v>691</v>
      </c>
      <c r="K30" s="10" t="s">
        <v>1360</v>
      </c>
      <c r="L30" s="10" t="s">
        <v>1361</v>
      </c>
      <c r="M30" s="10" t="s">
        <v>1362</v>
      </c>
      <c r="N30" s="10" t="s">
        <v>1363</v>
      </c>
      <c r="O30" s="10" t="s">
        <v>1364</v>
      </c>
      <c r="P30" s="10" t="s">
        <v>1835</v>
      </c>
      <c r="Q30" s="10" t="s">
        <v>657</v>
      </c>
      <c r="R30" s="10" t="s">
        <v>1836</v>
      </c>
      <c r="S30" s="10" t="s">
        <v>1831</v>
      </c>
      <c r="T30" s="10" t="s">
        <v>1837</v>
      </c>
      <c r="U30" s="10" t="s">
        <v>888</v>
      </c>
      <c r="V30" s="10" t="s">
        <v>1838</v>
      </c>
      <c r="W30" s="10" t="s">
        <v>179</v>
      </c>
      <c r="X30" s="10" t="s">
        <v>180</v>
      </c>
      <c r="Y30" s="10" t="s">
        <v>181</v>
      </c>
      <c r="Z30" s="10" t="s">
        <v>182</v>
      </c>
      <c r="AA30" s="10" t="s">
        <v>183</v>
      </c>
      <c r="AB30" s="10" t="s">
        <v>184</v>
      </c>
      <c r="AC30" s="10" t="s">
        <v>185</v>
      </c>
    </row>
    <row r="31" spans="1:29" x14ac:dyDescent="0.25">
      <c r="A31">
        <v>30</v>
      </c>
      <c r="B31" s="10" t="s">
        <v>802</v>
      </c>
      <c r="C31" s="10" t="s">
        <v>803</v>
      </c>
      <c r="D31" s="10" t="s">
        <v>804</v>
      </c>
      <c r="E31" s="10" t="s">
        <v>435</v>
      </c>
      <c r="F31" s="10" t="s">
        <v>805</v>
      </c>
      <c r="G31" s="10" t="s">
        <v>806</v>
      </c>
      <c r="H31" s="10" t="s">
        <v>807</v>
      </c>
      <c r="I31" s="10" t="s">
        <v>1331</v>
      </c>
      <c r="J31" s="10" t="s">
        <v>1365</v>
      </c>
      <c r="K31" s="10" t="s">
        <v>1366</v>
      </c>
      <c r="L31" s="10" t="s">
        <v>1367</v>
      </c>
      <c r="M31" s="10" t="s">
        <v>1368</v>
      </c>
      <c r="N31" s="10" t="s">
        <v>1369</v>
      </c>
      <c r="O31" s="10" t="s">
        <v>1370</v>
      </c>
      <c r="P31" s="10" t="s">
        <v>1240</v>
      </c>
      <c r="Q31" s="10" t="s">
        <v>1257</v>
      </c>
      <c r="R31" s="10" t="s">
        <v>1839</v>
      </c>
      <c r="S31" s="10" t="s">
        <v>1840</v>
      </c>
      <c r="T31" s="10" t="s">
        <v>1841</v>
      </c>
      <c r="U31" s="10" t="s">
        <v>1842</v>
      </c>
      <c r="V31" s="10" t="s">
        <v>462</v>
      </c>
      <c r="W31" s="10" t="s">
        <v>186</v>
      </c>
      <c r="X31" s="10" t="s">
        <v>55</v>
      </c>
      <c r="Y31" s="10" t="s">
        <v>187</v>
      </c>
      <c r="Z31" s="10" t="s">
        <v>188</v>
      </c>
      <c r="AA31" s="10" t="s">
        <v>189</v>
      </c>
      <c r="AB31" s="10" t="s">
        <v>190</v>
      </c>
      <c r="AC31" s="10" t="s">
        <v>191</v>
      </c>
    </row>
    <row r="32" spans="1:29" x14ac:dyDescent="0.25">
      <c r="A32">
        <v>31</v>
      </c>
      <c r="B32" s="10" t="s">
        <v>808</v>
      </c>
      <c r="C32" s="10" t="s">
        <v>809</v>
      </c>
      <c r="D32" s="10" t="s">
        <v>810</v>
      </c>
      <c r="E32" s="10" t="s">
        <v>811</v>
      </c>
      <c r="F32" s="10" t="s">
        <v>812</v>
      </c>
      <c r="G32" s="10" t="s">
        <v>813</v>
      </c>
      <c r="H32" s="10" t="s">
        <v>814</v>
      </c>
      <c r="I32" s="10" t="s">
        <v>1302</v>
      </c>
      <c r="J32" s="10" t="s">
        <v>1371</v>
      </c>
      <c r="K32" s="10" t="s">
        <v>686</v>
      </c>
      <c r="L32" s="10" t="s">
        <v>139</v>
      </c>
      <c r="M32" s="10" t="s">
        <v>738</v>
      </c>
      <c r="N32" s="10" t="s">
        <v>1372</v>
      </c>
      <c r="O32" s="10" t="s">
        <v>1373</v>
      </c>
      <c r="P32" s="10" t="s">
        <v>1813</v>
      </c>
      <c r="Q32" s="10" t="s">
        <v>1843</v>
      </c>
      <c r="R32" s="10" t="s">
        <v>1784</v>
      </c>
      <c r="S32" s="10" t="s">
        <v>790</v>
      </c>
      <c r="T32" s="10" t="s">
        <v>1371</v>
      </c>
      <c r="U32" s="10" t="s">
        <v>1844</v>
      </c>
      <c r="V32" s="10" t="s">
        <v>1845</v>
      </c>
      <c r="W32" s="10" t="s">
        <v>192</v>
      </c>
      <c r="X32" s="10" t="s">
        <v>193</v>
      </c>
      <c r="Y32" s="10" t="s">
        <v>194</v>
      </c>
      <c r="Z32" s="10" t="s">
        <v>195</v>
      </c>
      <c r="AA32" s="10" t="s">
        <v>196</v>
      </c>
      <c r="AB32" s="10" t="s">
        <v>197</v>
      </c>
      <c r="AC32" s="10" t="s">
        <v>198</v>
      </c>
    </row>
    <row r="33" spans="1:29" x14ac:dyDescent="0.25">
      <c r="A33">
        <v>32</v>
      </c>
      <c r="B33" s="10" t="s">
        <v>815</v>
      </c>
      <c r="C33" s="10" t="s">
        <v>816</v>
      </c>
      <c r="D33" s="10" t="s">
        <v>817</v>
      </c>
      <c r="E33" s="10" t="s">
        <v>818</v>
      </c>
      <c r="F33" s="10" t="s">
        <v>819</v>
      </c>
      <c r="G33" s="10" t="s">
        <v>820</v>
      </c>
      <c r="H33" s="10" t="s">
        <v>821</v>
      </c>
      <c r="I33" s="10" t="s">
        <v>1374</v>
      </c>
      <c r="J33" s="10" t="s">
        <v>1375</v>
      </c>
      <c r="K33" s="10" t="s">
        <v>109</v>
      </c>
      <c r="L33" s="10" t="s">
        <v>558</v>
      </c>
      <c r="M33" s="10" t="s">
        <v>1376</v>
      </c>
      <c r="N33" s="10" t="s">
        <v>292</v>
      </c>
      <c r="O33" s="10" t="s">
        <v>1377</v>
      </c>
      <c r="P33" s="10" t="s">
        <v>1846</v>
      </c>
      <c r="Q33" s="10" t="s">
        <v>685</v>
      </c>
      <c r="R33" s="10" t="s">
        <v>1784</v>
      </c>
      <c r="S33" s="10" t="s">
        <v>790</v>
      </c>
      <c r="T33" s="10" t="s">
        <v>1371</v>
      </c>
      <c r="U33" s="10" t="s">
        <v>1844</v>
      </c>
      <c r="V33" s="10" t="s">
        <v>1847</v>
      </c>
      <c r="W33" s="10" t="s">
        <v>199</v>
      </c>
      <c r="X33" s="10" t="s">
        <v>200</v>
      </c>
      <c r="Y33" s="10" t="s">
        <v>201</v>
      </c>
      <c r="Z33" s="10" t="s">
        <v>202</v>
      </c>
      <c r="AA33" s="10" t="s">
        <v>203</v>
      </c>
      <c r="AB33" s="10" t="s">
        <v>204</v>
      </c>
      <c r="AC33" s="10" t="s">
        <v>205</v>
      </c>
    </row>
    <row r="34" spans="1:29" x14ac:dyDescent="0.25">
      <c r="A34">
        <v>33</v>
      </c>
      <c r="B34" s="10" t="s">
        <v>822</v>
      </c>
      <c r="C34" s="10" t="s">
        <v>823</v>
      </c>
      <c r="D34" s="10" t="s">
        <v>824</v>
      </c>
      <c r="E34" s="10" t="s">
        <v>825</v>
      </c>
      <c r="F34" s="10" t="s">
        <v>402</v>
      </c>
      <c r="G34" s="10" t="s">
        <v>826</v>
      </c>
      <c r="H34" s="10" t="s">
        <v>827</v>
      </c>
      <c r="I34" s="10" t="s">
        <v>1378</v>
      </c>
      <c r="J34" s="10" t="s">
        <v>85</v>
      </c>
      <c r="K34" s="10" t="s">
        <v>1379</v>
      </c>
      <c r="L34" s="10" t="s">
        <v>1380</v>
      </c>
      <c r="M34" s="10" t="s">
        <v>1381</v>
      </c>
      <c r="N34" s="10" t="s">
        <v>1382</v>
      </c>
      <c r="O34" s="10" t="s">
        <v>1383</v>
      </c>
      <c r="P34" s="10" t="s">
        <v>1848</v>
      </c>
      <c r="Q34" s="10" t="s">
        <v>1849</v>
      </c>
      <c r="R34" s="10" t="s">
        <v>1850</v>
      </c>
      <c r="S34" s="10" t="s">
        <v>1851</v>
      </c>
      <c r="T34" s="10" t="s">
        <v>1852</v>
      </c>
      <c r="U34" s="10" t="s">
        <v>291</v>
      </c>
      <c r="V34" s="10" t="s">
        <v>1560</v>
      </c>
      <c r="W34" s="10" t="s">
        <v>206</v>
      </c>
      <c r="X34" s="10" t="s">
        <v>207</v>
      </c>
      <c r="Y34" s="10" t="s">
        <v>208</v>
      </c>
      <c r="Z34" s="10" t="s">
        <v>209</v>
      </c>
      <c r="AA34" s="10" t="s">
        <v>210</v>
      </c>
      <c r="AB34" s="10" t="s">
        <v>211</v>
      </c>
      <c r="AC34" s="10" t="s">
        <v>212</v>
      </c>
    </row>
    <row r="35" spans="1:29" x14ac:dyDescent="0.25">
      <c r="A35">
        <v>34</v>
      </c>
      <c r="B35" s="10" t="s">
        <v>670</v>
      </c>
      <c r="C35" s="10" t="s">
        <v>710</v>
      </c>
      <c r="D35" s="10" t="s">
        <v>89</v>
      </c>
      <c r="E35" s="10" t="s">
        <v>828</v>
      </c>
      <c r="F35" s="10" t="s">
        <v>829</v>
      </c>
      <c r="G35" s="10" t="s">
        <v>830</v>
      </c>
      <c r="H35" s="10" t="s">
        <v>831</v>
      </c>
      <c r="I35" s="10" t="s">
        <v>1384</v>
      </c>
      <c r="J35" s="10" t="s">
        <v>1385</v>
      </c>
      <c r="K35" s="10" t="s">
        <v>1386</v>
      </c>
      <c r="L35" s="10" t="s">
        <v>1387</v>
      </c>
      <c r="M35" s="10" t="s">
        <v>1388</v>
      </c>
      <c r="N35" s="10" t="s">
        <v>1389</v>
      </c>
      <c r="O35" s="10" t="s">
        <v>1390</v>
      </c>
      <c r="P35" s="10" t="s">
        <v>1853</v>
      </c>
      <c r="Q35" s="10" t="s">
        <v>45</v>
      </c>
      <c r="R35" s="10" t="s">
        <v>1854</v>
      </c>
      <c r="S35" s="10" t="s">
        <v>1795</v>
      </c>
      <c r="T35" s="10" t="s">
        <v>1852</v>
      </c>
      <c r="U35" s="10" t="s">
        <v>427</v>
      </c>
      <c r="V35" s="10" t="s">
        <v>1855</v>
      </c>
      <c r="W35" s="10" t="s">
        <v>213</v>
      </c>
      <c r="X35" s="10" t="s">
        <v>214</v>
      </c>
      <c r="Y35" s="10" t="s">
        <v>164</v>
      </c>
      <c r="Z35" s="10" t="s">
        <v>215</v>
      </c>
      <c r="AA35" s="10" t="s">
        <v>216</v>
      </c>
      <c r="AB35" s="10" t="s">
        <v>217</v>
      </c>
      <c r="AC35" s="10" t="s">
        <v>218</v>
      </c>
    </row>
    <row r="36" spans="1:29" x14ac:dyDescent="0.25">
      <c r="A36">
        <v>35</v>
      </c>
      <c r="B36" s="10" t="s">
        <v>673</v>
      </c>
      <c r="C36" s="10" t="s">
        <v>681</v>
      </c>
      <c r="D36" s="10" t="s">
        <v>832</v>
      </c>
      <c r="E36" s="10" t="s">
        <v>833</v>
      </c>
      <c r="F36" s="10" t="s">
        <v>429</v>
      </c>
      <c r="G36" s="10" t="s">
        <v>834</v>
      </c>
      <c r="H36" s="10" t="s">
        <v>835</v>
      </c>
      <c r="I36" s="10" t="s">
        <v>1391</v>
      </c>
      <c r="J36" s="10" t="s">
        <v>1392</v>
      </c>
      <c r="K36" s="10" t="s">
        <v>1393</v>
      </c>
      <c r="L36" s="10" t="s">
        <v>1394</v>
      </c>
      <c r="M36" s="10" t="s">
        <v>1395</v>
      </c>
      <c r="N36" s="10" t="s">
        <v>1396</v>
      </c>
      <c r="O36" s="10" t="s">
        <v>1397</v>
      </c>
      <c r="P36" s="10" t="s">
        <v>1856</v>
      </c>
      <c r="Q36" s="10" t="s">
        <v>1857</v>
      </c>
      <c r="R36" s="10" t="s">
        <v>661</v>
      </c>
      <c r="S36" s="10" t="s">
        <v>1858</v>
      </c>
      <c r="T36" s="10" t="s">
        <v>874</v>
      </c>
      <c r="U36" s="10" t="s">
        <v>1859</v>
      </c>
      <c r="V36" s="10" t="s">
        <v>154</v>
      </c>
      <c r="W36" s="10" t="s">
        <v>46</v>
      </c>
      <c r="X36" s="10" t="s">
        <v>219</v>
      </c>
      <c r="Y36" s="10" t="s">
        <v>195</v>
      </c>
      <c r="Z36" s="10" t="s">
        <v>190</v>
      </c>
      <c r="AA36" s="10" t="s">
        <v>220</v>
      </c>
      <c r="AB36" s="10" t="s">
        <v>221</v>
      </c>
      <c r="AC36" s="10" t="s">
        <v>222</v>
      </c>
    </row>
    <row r="37" spans="1:29" x14ac:dyDescent="0.25">
      <c r="A37">
        <v>36</v>
      </c>
      <c r="B37" s="10" t="s">
        <v>836</v>
      </c>
      <c r="C37" s="10" t="s">
        <v>837</v>
      </c>
      <c r="D37" s="10" t="s">
        <v>838</v>
      </c>
      <c r="E37" s="10" t="s">
        <v>839</v>
      </c>
      <c r="F37" s="10" t="s">
        <v>840</v>
      </c>
      <c r="G37" s="10" t="s">
        <v>841</v>
      </c>
      <c r="H37" s="10" t="s">
        <v>842</v>
      </c>
      <c r="I37" s="10" t="s">
        <v>1398</v>
      </c>
      <c r="J37" s="10" t="s">
        <v>1399</v>
      </c>
      <c r="K37" s="10" t="s">
        <v>1400</v>
      </c>
      <c r="L37" s="10" t="s">
        <v>1401</v>
      </c>
      <c r="M37" s="10" t="s">
        <v>1402</v>
      </c>
      <c r="N37" s="10" t="s">
        <v>1403</v>
      </c>
      <c r="O37" s="10" t="s">
        <v>1404</v>
      </c>
      <c r="P37" s="10" t="s">
        <v>1860</v>
      </c>
      <c r="Q37" s="10" t="s">
        <v>1337</v>
      </c>
      <c r="R37" s="10" t="s">
        <v>1861</v>
      </c>
      <c r="S37" s="10" t="s">
        <v>1862</v>
      </c>
      <c r="T37" s="10" t="s">
        <v>74</v>
      </c>
      <c r="U37" s="10" t="s">
        <v>1863</v>
      </c>
      <c r="V37" s="10" t="s">
        <v>1443</v>
      </c>
      <c r="W37" s="10" t="s">
        <v>223</v>
      </c>
      <c r="X37" s="10" t="s">
        <v>224</v>
      </c>
      <c r="Y37" s="10" t="s">
        <v>225</v>
      </c>
      <c r="Z37" s="10" t="s">
        <v>226</v>
      </c>
      <c r="AA37" s="10" t="s">
        <v>227</v>
      </c>
      <c r="AB37" s="10" t="s">
        <v>228</v>
      </c>
      <c r="AC37" s="10" t="s">
        <v>229</v>
      </c>
    </row>
    <row r="38" spans="1:29" x14ac:dyDescent="0.25">
      <c r="A38">
        <v>37</v>
      </c>
      <c r="B38" s="10" t="s">
        <v>843</v>
      </c>
      <c r="C38" s="10" t="s">
        <v>844</v>
      </c>
      <c r="D38" s="10" t="s">
        <v>845</v>
      </c>
      <c r="E38" s="10" t="s">
        <v>846</v>
      </c>
      <c r="F38" s="10" t="s">
        <v>847</v>
      </c>
      <c r="G38" s="10" t="s">
        <v>848</v>
      </c>
      <c r="H38" s="10" t="s">
        <v>849</v>
      </c>
      <c r="I38" s="10" t="s">
        <v>1405</v>
      </c>
      <c r="J38" s="10" t="s">
        <v>1406</v>
      </c>
      <c r="K38" s="10" t="s">
        <v>1407</v>
      </c>
      <c r="L38" s="10" t="s">
        <v>1408</v>
      </c>
      <c r="M38" s="10" t="s">
        <v>1409</v>
      </c>
      <c r="N38" s="10" t="s">
        <v>1410</v>
      </c>
      <c r="O38" s="10" t="s">
        <v>1411</v>
      </c>
      <c r="P38" s="10" t="s">
        <v>1864</v>
      </c>
      <c r="Q38" s="10" t="s">
        <v>1865</v>
      </c>
      <c r="R38" s="10" t="s">
        <v>1866</v>
      </c>
      <c r="S38" s="10" t="s">
        <v>1867</v>
      </c>
      <c r="T38" s="10" t="s">
        <v>716</v>
      </c>
      <c r="U38" s="10" t="s">
        <v>824</v>
      </c>
      <c r="V38" s="10" t="s">
        <v>1868</v>
      </c>
      <c r="W38" s="10" t="s">
        <v>230</v>
      </c>
      <c r="X38" s="10" t="s">
        <v>231</v>
      </c>
      <c r="Y38" s="10" t="s">
        <v>232</v>
      </c>
      <c r="Z38" s="10" t="s">
        <v>233</v>
      </c>
      <c r="AA38" s="10" t="s">
        <v>234</v>
      </c>
      <c r="AB38" s="10" t="s">
        <v>235</v>
      </c>
      <c r="AC38" s="10" t="s">
        <v>236</v>
      </c>
    </row>
    <row r="39" spans="1:29" x14ac:dyDescent="0.25">
      <c r="A39">
        <v>38</v>
      </c>
      <c r="B39" s="10" t="s">
        <v>850</v>
      </c>
      <c r="C39" s="10" t="s">
        <v>851</v>
      </c>
      <c r="D39" s="10" t="s">
        <v>852</v>
      </c>
      <c r="E39" s="10" t="s">
        <v>853</v>
      </c>
      <c r="F39" s="10" t="s">
        <v>478</v>
      </c>
      <c r="G39" s="10" t="s">
        <v>398</v>
      </c>
      <c r="H39" s="10" t="s">
        <v>854</v>
      </c>
      <c r="I39" s="10" t="s">
        <v>52</v>
      </c>
      <c r="J39" s="10" t="s">
        <v>1412</v>
      </c>
      <c r="K39" s="10" t="s">
        <v>1413</v>
      </c>
      <c r="L39" s="10" t="s">
        <v>1414</v>
      </c>
      <c r="M39" s="10" t="s">
        <v>1415</v>
      </c>
      <c r="N39" s="10" t="s">
        <v>1416</v>
      </c>
      <c r="O39" s="10" t="s">
        <v>1417</v>
      </c>
      <c r="P39" s="10" t="s">
        <v>680</v>
      </c>
      <c r="Q39" s="10" t="s">
        <v>124</v>
      </c>
      <c r="R39" s="10" t="s">
        <v>1869</v>
      </c>
      <c r="S39" s="10" t="s">
        <v>1870</v>
      </c>
      <c r="T39" s="10" t="s">
        <v>1871</v>
      </c>
      <c r="U39" s="10" t="s">
        <v>1356</v>
      </c>
      <c r="V39" s="10" t="s">
        <v>705</v>
      </c>
      <c r="W39" s="10" t="s">
        <v>237</v>
      </c>
      <c r="X39" s="10" t="s">
        <v>238</v>
      </c>
      <c r="Y39" s="10" t="s">
        <v>239</v>
      </c>
      <c r="Z39" s="10" t="s">
        <v>240</v>
      </c>
      <c r="AA39" s="10" t="s">
        <v>241</v>
      </c>
      <c r="AB39" s="10" t="s">
        <v>242</v>
      </c>
      <c r="AC39" s="10" t="s">
        <v>243</v>
      </c>
    </row>
    <row r="40" spans="1:29" x14ac:dyDescent="0.25">
      <c r="A40">
        <v>39</v>
      </c>
      <c r="B40" s="10" t="s">
        <v>855</v>
      </c>
      <c r="C40" s="10" t="s">
        <v>856</v>
      </c>
      <c r="D40" s="10" t="s">
        <v>857</v>
      </c>
      <c r="E40" s="10" t="s">
        <v>858</v>
      </c>
      <c r="F40" s="10" t="s">
        <v>859</v>
      </c>
      <c r="G40" s="10" t="s">
        <v>860</v>
      </c>
      <c r="H40" s="10" t="s">
        <v>861</v>
      </c>
      <c r="I40" s="10" t="s">
        <v>1418</v>
      </c>
      <c r="J40" s="10" t="s">
        <v>677</v>
      </c>
      <c r="K40" s="10" t="s">
        <v>1419</v>
      </c>
      <c r="L40" s="10" t="s">
        <v>1420</v>
      </c>
      <c r="M40" s="10" t="s">
        <v>1421</v>
      </c>
      <c r="N40" s="10" t="s">
        <v>1422</v>
      </c>
      <c r="O40" s="10" t="s">
        <v>1423</v>
      </c>
      <c r="P40" s="10" t="s">
        <v>1872</v>
      </c>
      <c r="Q40" s="10" t="s">
        <v>1803</v>
      </c>
      <c r="R40" s="10" t="s">
        <v>1873</v>
      </c>
      <c r="S40" s="10" t="s">
        <v>1255</v>
      </c>
      <c r="T40" s="10" t="s">
        <v>291</v>
      </c>
      <c r="U40" s="10" t="s">
        <v>1874</v>
      </c>
      <c r="V40" s="10" t="s">
        <v>599</v>
      </c>
      <c r="W40" s="10" t="s">
        <v>244</v>
      </c>
      <c r="X40" s="10" t="s">
        <v>245</v>
      </c>
      <c r="Y40" s="10" t="s">
        <v>246</v>
      </c>
      <c r="Z40" s="10" t="s">
        <v>247</v>
      </c>
      <c r="AA40" s="10" t="s">
        <v>248</v>
      </c>
      <c r="AB40" s="10" t="s">
        <v>249</v>
      </c>
      <c r="AC40" s="10" t="s">
        <v>250</v>
      </c>
    </row>
    <row r="41" spans="1:29" x14ac:dyDescent="0.25">
      <c r="A41">
        <v>40</v>
      </c>
      <c r="B41" s="10" t="s">
        <v>62</v>
      </c>
      <c r="C41" s="10" t="s">
        <v>862</v>
      </c>
      <c r="D41" s="10" t="s">
        <v>863</v>
      </c>
      <c r="E41" s="10" t="s">
        <v>864</v>
      </c>
      <c r="F41" s="10" t="s">
        <v>865</v>
      </c>
      <c r="G41" s="10" t="s">
        <v>866</v>
      </c>
      <c r="H41" s="10" t="s">
        <v>867</v>
      </c>
      <c r="I41" s="10" t="s">
        <v>1424</v>
      </c>
      <c r="J41" s="10" t="s">
        <v>681</v>
      </c>
      <c r="K41" s="10" t="s">
        <v>332</v>
      </c>
      <c r="L41" s="10" t="s">
        <v>1425</v>
      </c>
      <c r="M41" s="10" t="s">
        <v>1426</v>
      </c>
      <c r="N41" s="10" t="s">
        <v>1427</v>
      </c>
      <c r="O41" s="10" t="s">
        <v>1428</v>
      </c>
      <c r="P41" s="10" t="s">
        <v>1824</v>
      </c>
      <c r="Q41" s="10" t="s">
        <v>1875</v>
      </c>
      <c r="R41" s="10" t="s">
        <v>1873</v>
      </c>
      <c r="S41" s="10" t="s">
        <v>1255</v>
      </c>
      <c r="T41" s="10" t="s">
        <v>1493</v>
      </c>
      <c r="U41" s="10" t="s">
        <v>1874</v>
      </c>
      <c r="V41" s="10" t="s">
        <v>599</v>
      </c>
      <c r="W41" s="10" t="s">
        <v>251</v>
      </c>
      <c r="X41" s="10" t="s">
        <v>252</v>
      </c>
      <c r="Y41" s="10" t="s">
        <v>253</v>
      </c>
      <c r="Z41" s="10" t="s">
        <v>254</v>
      </c>
      <c r="AA41" s="10" t="s">
        <v>255</v>
      </c>
      <c r="AB41" s="10" t="s">
        <v>256</v>
      </c>
      <c r="AC41" s="10" t="s">
        <v>257</v>
      </c>
    </row>
    <row r="42" spans="1:29" x14ac:dyDescent="0.25">
      <c r="A42">
        <v>41</v>
      </c>
      <c r="B42" s="10" t="s">
        <v>769</v>
      </c>
      <c r="C42" s="10" t="s">
        <v>868</v>
      </c>
      <c r="D42" s="10" t="s">
        <v>869</v>
      </c>
      <c r="E42" s="10" t="s">
        <v>870</v>
      </c>
      <c r="F42" s="10" t="s">
        <v>871</v>
      </c>
      <c r="G42" s="10" t="s">
        <v>872</v>
      </c>
      <c r="H42" s="10" t="s">
        <v>873</v>
      </c>
      <c r="I42" s="10" t="s">
        <v>1429</v>
      </c>
      <c r="J42" s="10" t="s">
        <v>1430</v>
      </c>
      <c r="K42" s="10" t="s">
        <v>1431</v>
      </c>
      <c r="L42" s="10" t="s">
        <v>1432</v>
      </c>
      <c r="M42" s="10" t="s">
        <v>1433</v>
      </c>
      <c r="N42" s="10" t="s">
        <v>1434</v>
      </c>
      <c r="O42" s="10" t="s">
        <v>1435</v>
      </c>
      <c r="P42" s="10" t="s">
        <v>1876</v>
      </c>
      <c r="Q42" s="10" t="s">
        <v>1293</v>
      </c>
      <c r="R42" s="10" t="s">
        <v>51</v>
      </c>
      <c r="S42" s="10" t="s">
        <v>1877</v>
      </c>
      <c r="T42" s="10" t="s">
        <v>1878</v>
      </c>
      <c r="U42" s="10" t="s">
        <v>1879</v>
      </c>
      <c r="V42" s="10" t="s">
        <v>401</v>
      </c>
      <c r="W42" s="10" t="s">
        <v>136</v>
      </c>
      <c r="X42" s="10" t="s">
        <v>258</v>
      </c>
      <c r="Y42" s="10" t="s">
        <v>259</v>
      </c>
      <c r="Z42" s="10" t="s">
        <v>260</v>
      </c>
      <c r="AA42" s="10" t="s">
        <v>261</v>
      </c>
      <c r="AB42" s="10" t="s">
        <v>262</v>
      </c>
      <c r="AC42" s="10" t="s">
        <v>263</v>
      </c>
    </row>
    <row r="43" spans="1:29" x14ac:dyDescent="0.25">
      <c r="A43">
        <v>42</v>
      </c>
      <c r="B43" s="10" t="s">
        <v>874</v>
      </c>
      <c r="C43" s="10" t="s">
        <v>875</v>
      </c>
      <c r="D43" s="10" t="s">
        <v>876</v>
      </c>
      <c r="E43" s="10" t="s">
        <v>877</v>
      </c>
      <c r="F43" s="10" t="s">
        <v>878</v>
      </c>
      <c r="G43" s="10" t="s">
        <v>879</v>
      </c>
      <c r="H43" s="10" t="s">
        <v>880</v>
      </c>
      <c r="I43" s="10" t="s">
        <v>675</v>
      </c>
      <c r="J43" s="10" t="s">
        <v>1436</v>
      </c>
      <c r="K43" s="10" t="s">
        <v>1437</v>
      </c>
      <c r="L43" s="10" t="s">
        <v>1438</v>
      </c>
      <c r="M43" s="10" t="s">
        <v>1410</v>
      </c>
      <c r="N43" s="10" t="s">
        <v>1439</v>
      </c>
      <c r="O43" s="10" t="s">
        <v>1440</v>
      </c>
      <c r="P43" s="10" t="s">
        <v>179</v>
      </c>
      <c r="Q43" s="10" t="s">
        <v>1880</v>
      </c>
      <c r="R43" s="10" t="s">
        <v>1254</v>
      </c>
      <c r="S43" s="10" t="s">
        <v>1375</v>
      </c>
      <c r="T43" s="10" t="s">
        <v>1881</v>
      </c>
      <c r="U43" s="10" t="s">
        <v>1882</v>
      </c>
      <c r="V43" s="10" t="s">
        <v>181</v>
      </c>
      <c r="W43" s="10" t="s">
        <v>264</v>
      </c>
      <c r="X43" s="10" t="s">
        <v>265</v>
      </c>
      <c r="Y43" s="10" t="s">
        <v>266</v>
      </c>
      <c r="Z43" s="10" t="s">
        <v>267</v>
      </c>
      <c r="AA43" s="10" t="s">
        <v>268</v>
      </c>
      <c r="AB43" s="10" t="s">
        <v>269</v>
      </c>
      <c r="AC43" s="10" t="s">
        <v>270</v>
      </c>
    </row>
    <row r="44" spans="1:29" x14ac:dyDescent="0.25">
      <c r="A44">
        <v>43</v>
      </c>
      <c r="B44" s="10" t="s">
        <v>881</v>
      </c>
      <c r="C44" s="10" t="s">
        <v>882</v>
      </c>
      <c r="D44" s="10" t="s">
        <v>883</v>
      </c>
      <c r="E44" s="10" t="s">
        <v>884</v>
      </c>
      <c r="F44" s="10" t="s">
        <v>885</v>
      </c>
      <c r="G44" s="10" t="s">
        <v>886</v>
      </c>
      <c r="H44" s="10" t="s">
        <v>887</v>
      </c>
      <c r="I44" s="10" t="s">
        <v>1441</v>
      </c>
      <c r="J44" s="10" t="s">
        <v>1442</v>
      </c>
      <c r="K44" s="10" t="s">
        <v>1443</v>
      </c>
      <c r="L44" s="10" t="s">
        <v>1444</v>
      </c>
      <c r="M44" s="10" t="s">
        <v>275</v>
      </c>
      <c r="N44" s="10" t="s">
        <v>1445</v>
      </c>
      <c r="O44" s="10" t="s">
        <v>1446</v>
      </c>
      <c r="P44" s="10" t="s">
        <v>1883</v>
      </c>
      <c r="Q44" s="10" t="s">
        <v>1866</v>
      </c>
      <c r="R44" s="10" t="s">
        <v>56</v>
      </c>
      <c r="S44" s="10" t="s">
        <v>63</v>
      </c>
      <c r="T44" s="10" t="s">
        <v>1884</v>
      </c>
      <c r="U44" s="10" t="s">
        <v>1885</v>
      </c>
      <c r="V44" s="10" t="s">
        <v>1689</v>
      </c>
      <c r="W44" s="10" t="s">
        <v>271</v>
      </c>
      <c r="X44" s="10" t="s">
        <v>272</v>
      </c>
      <c r="Y44" s="10" t="s">
        <v>273</v>
      </c>
      <c r="Z44" s="10" t="s">
        <v>274</v>
      </c>
      <c r="AA44" s="10" t="s">
        <v>236</v>
      </c>
      <c r="AB44" s="10" t="s">
        <v>275</v>
      </c>
      <c r="AC44" s="10" t="s">
        <v>276</v>
      </c>
    </row>
    <row r="45" spans="1:29" x14ac:dyDescent="0.25">
      <c r="A45">
        <v>44</v>
      </c>
      <c r="B45" s="10" t="s">
        <v>888</v>
      </c>
      <c r="C45" s="10" t="s">
        <v>889</v>
      </c>
      <c r="D45" s="10" t="s">
        <v>401</v>
      </c>
      <c r="E45" s="10" t="s">
        <v>890</v>
      </c>
      <c r="F45" s="10" t="s">
        <v>891</v>
      </c>
      <c r="G45" s="10" t="s">
        <v>892</v>
      </c>
      <c r="H45" s="10" t="s">
        <v>893</v>
      </c>
      <c r="I45" s="10" t="s">
        <v>258</v>
      </c>
      <c r="J45" s="10" t="s">
        <v>1447</v>
      </c>
      <c r="K45" s="10" t="s">
        <v>1448</v>
      </c>
      <c r="L45" s="10" t="s">
        <v>1449</v>
      </c>
      <c r="M45" s="10" t="s">
        <v>1450</v>
      </c>
      <c r="N45" s="10" t="s">
        <v>415</v>
      </c>
      <c r="O45" s="10" t="s">
        <v>1451</v>
      </c>
      <c r="P45" s="10" t="s">
        <v>40</v>
      </c>
      <c r="Q45" s="10" t="s">
        <v>1886</v>
      </c>
      <c r="R45" s="10" t="s">
        <v>1887</v>
      </c>
      <c r="S45" s="10" t="s">
        <v>1392</v>
      </c>
      <c r="T45" s="10" t="s">
        <v>483</v>
      </c>
      <c r="U45" s="10" t="s">
        <v>1888</v>
      </c>
      <c r="V45" s="10" t="s">
        <v>1889</v>
      </c>
      <c r="W45" s="10" t="s">
        <v>277</v>
      </c>
      <c r="X45" s="10" t="s">
        <v>278</v>
      </c>
      <c r="Y45" s="10" t="s">
        <v>279</v>
      </c>
      <c r="Z45" s="10" t="s">
        <v>280</v>
      </c>
      <c r="AA45" s="10" t="s">
        <v>262</v>
      </c>
      <c r="AB45" s="10" t="s">
        <v>281</v>
      </c>
      <c r="AC45" s="10" t="s">
        <v>282</v>
      </c>
    </row>
    <row r="46" spans="1:29" x14ac:dyDescent="0.25">
      <c r="A46">
        <v>45</v>
      </c>
      <c r="B46" s="10" t="s">
        <v>894</v>
      </c>
      <c r="C46" s="10" t="s">
        <v>895</v>
      </c>
      <c r="D46" s="10" t="s">
        <v>896</v>
      </c>
      <c r="E46" s="10" t="s">
        <v>897</v>
      </c>
      <c r="F46" s="10" t="s">
        <v>898</v>
      </c>
      <c r="G46" s="10" t="s">
        <v>899</v>
      </c>
      <c r="H46" s="10" t="s">
        <v>900</v>
      </c>
      <c r="I46" s="10" t="s">
        <v>773</v>
      </c>
      <c r="J46" s="10" t="s">
        <v>1452</v>
      </c>
      <c r="K46" s="10" t="s">
        <v>1453</v>
      </c>
      <c r="L46" s="10" t="s">
        <v>1454</v>
      </c>
      <c r="M46" s="10" t="s">
        <v>1455</v>
      </c>
      <c r="N46" s="10" t="s">
        <v>1456</v>
      </c>
      <c r="O46" s="10" t="s">
        <v>1457</v>
      </c>
      <c r="P46" s="10" t="s">
        <v>1890</v>
      </c>
      <c r="Q46" s="10" t="s">
        <v>1886</v>
      </c>
      <c r="R46" s="10" t="s">
        <v>1887</v>
      </c>
      <c r="S46" s="10" t="s">
        <v>1891</v>
      </c>
      <c r="T46" s="10" t="s">
        <v>1892</v>
      </c>
      <c r="U46" s="10" t="s">
        <v>585</v>
      </c>
      <c r="V46" s="10" t="s">
        <v>1893</v>
      </c>
      <c r="W46" s="10" t="s">
        <v>283</v>
      </c>
      <c r="X46" s="10" t="s">
        <v>284</v>
      </c>
      <c r="Y46" s="10" t="s">
        <v>285</v>
      </c>
      <c r="Z46" s="10" t="s">
        <v>286</v>
      </c>
      <c r="AA46" s="10" t="s">
        <v>287</v>
      </c>
      <c r="AB46" s="10" t="s">
        <v>288</v>
      </c>
      <c r="AC46" s="10" t="s">
        <v>289</v>
      </c>
    </row>
    <row r="47" spans="1:29" x14ac:dyDescent="0.25">
      <c r="A47">
        <v>46</v>
      </c>
      <c r="B47" s="10" t="s">
        <v>844</v>
      </c>
      <c r="C47" s="10" t="s">
        <v>901</v>
      </c>
      <c r="D47" s="10" t="s">
        <v>414</v>
      </c>
      <c r="E47" s="10" t="s">
        <v>902</v>
      </c>
      <c r="F47" s="10" t="s">
        <v>903</v>
      </c>
      <c r="G47" s="10" t="s">
        <v>904</v>
      </c>
      <c r="H47" s="10" t="s">
        <v>905</v>
      </c>
      <c r="I47" s="10" t="s">
        <v>1458</v>
      </c>
      <c r="J47" s="10" t="s">
        <v>1459</v>
      </c>
      <c r="K47" s="10" t="s">
        <v>1460</v>
      </c>
      <c r="L47" s="10" t="s">
        <v>1461</v>
      </c>
      <c r="M47" s="10" t="s">
        <v>1462</v>
      </c>
      <c r="N47" s="10" t="s">
        <v>1463</v>
      </c>
      <c r="O47" s="10" t="s">
        <v>1464</v>
      </c>
      <c r="P47" s="10" t="s">
        <v>1894</v>
      </c>
      <c r="Q47" s="10" t="s">
        <v>1895</v>
      </c>
      <c r="R47" s="10" t="s">
        <v>1896</v>
      </c>
      <c r="S47" s="10" t="s">
        <v>1897</v>
      </c>
      <c r="T47" s="10" t="s">
        <v>745</v>
      </c>
      <c r="U47" s="10" t="s">
        <v>1898</v>
      </c>
      <c r="V47" s="10" t="s">
        <v>1899</v>
      </c>
      <c r="W47" s="10" t="s">
        <v>290</v>
      </c>
      <c r="X47" s="10" t="s">
        <v>291</v>
      </c>
      <c r="Y47" s="10" t="s">
        <v>292</v>
      </c>
      <c r="Z47" s="10" t="s">
        <v>293</v>
      </c>
      <c r="AA47" s="10" t="s">
        <v>294</v>
      </c>
      <c r="AB47" s="10" t="s">
        <v>295</v>
      </c>
      <c r="AC47" s="10" t="s">
        <v>296</v>
      </c>
    </row>
    <row r="48" spans="1:29" x14ac:dyDescent="0.25">
      <c r="A48">
        <v>47</v>
      </c>
      <c r="B48" s="10" t="s">
        <v>906</v>
      </c>
      <c r="C48" s="10" t="s">
        <v>907</v>
      </c>
      <c r="D48" s="10" t="s">
        <v>908</v>
      </c>
      <c r="E48" s="10" t="s">
        <v>909</v>
      </c>
      <c r="F48" s="10" t="s">
        <v>910</v>
      </c>
      <c r="G48" s="10" t="s">
        <v>911</v>
      </c>
      <c r="H48" s="10" t="s">
        <v>912</v>
      </c>
      <c r="I48" s="10" t="s">
        <v>97</v>
      </c>
      <c r="J48" s="10" t="s">
        <v>1465</v>
      </c>
      <c r="K48" s="10" t="s">
        <v>987</v>
      </c>
      <c r="L48" s="10" t="s">
        <v>1466</v>
      </c>
      <c r="M48" s="10" t="s">
        <v>1467</v>
      </c>
      <c r="N48" s="10" t="s">
        <v>1468</v>
      </c>
      <c r="O48" s="10" t="s">
        <v>1469</v>
      </c>
      <c r="P48" s="10" t="s">
        <v>721</v>
      </c>
      <c r="Q48" s="10" t="s">
        <v>43</v>
      </c>
      <c r="R48" s="10" t="s">
        <v>673</v>
      </c>
      <c r="S48" s="10" t="s">
        <v>386</v>
      </c>
      <c r="T48" s="10" t="s">
        <v>1900</v>
      </c>
      <c r="U48" s="10" t="s">
        <v>1901</v>
      </c>
      <c r="V48" s="10" t="s">
        <v>1902</v>
      </c>
      <c r="W48" s="10" t="s">
        <v>297</v>
      </c>
      <c r="X48" s="10" t="s">
        <v>298</v>
      </c>
      <c r="Y48" s="10" t="s">
        <v>299</v>
      </c>
      <c r="Z48" s="10" t="s">
        <v>300</v>
      </c>
      <c r="AA48" s="10" t="s">
        <v>301</v>
      </c>
      <c r="AB48" s="10" t="s">
        <v>302</v>
      </c>
      <c r="AC48" s="10" t="s">
        <v>303</v>
      </c>
    </row>
    <row r="49" spans="1:29" x14ac:dyDescent="0.25">
      <c r="A49">
        <v>48</v>
      </c>
      <c r="B49" s="10" t="s">
        <v>913</v>
      </c>
      <c r="C49" s="10" t="s">
        <v>914</v>
      </c>
      <c r="D49" s="10" t="s">
        <v>915</v>
      </c>
      <c r="E49" s="10" t="s">
        <v>916</v>
      </c>
      <c r="F49" s="10" t="s">
        <v>454</v>
      </c>
      <c r="G49" s="10" t="s">
        <v>917</v>
      </c>
      <c r="H49" s="10" t="s">
        <v>918</v>
      </c>
      <c r="I49" s="10" t="s">
        <v>1470</v>
      </c>
      <c r="J49" s="10" t="s">
        <v>1471</v>
      </c>
      <c r="K49" s="10" t="s">
        <v>1472</v>
      </c>
      <c r="L49" s="10" t="s">
        <v>1473</v>
      </c>
      <c r="M49" s="10" t="s">
        <v>1474</v>
      </c>
      <c r="N49" s="10" t="s">
        <v>1475</v>
      </c>
      <c r="O49" s="10" t="s">
        <v>1476</v>
      </c>
      <c r="P49" s="10" t="s">
        <v>199</v>
      </c>
      <c r="Q49" s="10" t="s">
        <v>1903</v>
      </c>
      <c r="R49" s="10" t="s">
        <v>791</v>
      </c>
      <c r="S49" s="10" t="s">
        <v>1904</v>
      </c>
      <c r="T49" s="10" t="s">
        <v>496</v>
      </c>
      <c r="U49" s="10" t="s">
        <v>1905</v>
      </c>
      <c r="V49" s="10" t="s">
        <v>1906</v>
      </c>
      <c r="W49" s="10" t="s">
        <v>304</v>
      </c>
      <c r="X49" s="10" t="s">
        <v>305</v>
      </c>
      <c r="Y49" s="10" t="s">
        <v>306</v>
      </c>
      <c r="Z49" s="10" t="s">
        <v>307</v>
      </c>
      <c r="AA49" s="10" t="s">
        <v>308</v>
      </c>
      <c r="AB49" s="10" t="s">
        <v>309</v>
      </c>
      <c r="AC49" s="10" t="s">
        <v>310</v>
      </c>
    </row>
    <row r="50" spans="1:29" x14ac:dyDescent="0.25">
      <c r="A50">
        <v>49</v>
      </c>
      <c r="B50" s="10" t="s">
        <v>919</v>
      </c>
      <c r="C50" s="10" t="s">
        <v>920</v>
      </c>
      <c r="D50" s="10" t="s">
        <v>921</v>
      </c>
      <c r="E50" s="10" t="s">
        <v>922</v>
      </c>
      <c r="F50" s="10" t="s">
        <v>923</v>
      </c>
      <c r="G50" s="10" t="s">
        <v>924</v>
      </c>
      <c r="H50" s="10" t="s">
        <v>925</v>
      </c>
      <c r="I50" s="10" t="s">
        <v>1477</v>
      </c>
      <c r="J50" s="10" t="s">
        <v>1478</v>
      </c>
      <c r="K50" s="10" t="s">
        <v>140</v>
      </c>
      <c r="L50" s="10" t="s">
        <v>1402</v>
      </c>
      <c r="M50" s="10" t="s">
        <v>1479</v>
      </c>
      <c r="N50" s="10" t="s">
        <v>1480</v>
      </c>
      <c r="O50" s="10" t="s">
        <v>1481</v>
      </c>
      <c r="P50" s="10" t="s">
        <v>199</v>
      </c>
      <c r="Q50" s="10" t="s">
        <v>1907</v>
      </c>
      <c r="R50" s="10" t="s">
        <v>1908</v>
      </c>
      <c r="S50" s="10" t="s">
        <v>1904</v>
      </c>
      <c r="T50" s="10" t="s">
        <v>1567</v>
      </c>
      <c r="U50" s="10" t="s">
        <v>1909</v>
      </c>
      <c r="V50" s="10" t="s">
        <v>1910</v>
      </c>
      <c r="W50" s="10" t="s">
        <v>311</v>
      </c>
      <c r="X50" s="10" t="s">
        <v>93</v>
      </c>
      <c r="Y50" s="10" t="s">
        <v>312</v>
      </c>
      <c r="Z50" s="10" t="s">
        <v>313</v>
      </c>
      <c r="AA50" s="10" t="s">
        <v>314</v>
      </c>
      <c r="AB50" s="10" t="s">
        <v>315</v>
      </c>
      <c r="AC50" s="10" t="s">
        <v>316</v>
      </c>
    </row>
    <row r="51" spans="1:29" x14ac:dyDescent="0.25">
      <c r="A51">
        <v>50</v>
      </c>
      <c r="B51" s="10" t="s">
        <v>926</v>
      </c>
      <c r="C51" s="10" t="s">
        <v>758</v>
      </c>
      <c r="D51" s="10" t="s">
        <v>737</v>
      </c>
      <c r="E51" s="10" t="s">
        <v>927</v>
      </c>
      <c r="F51" s="10" t="s">
        <v>928</v>
      </c>
      <c r="G51" s="10" t="s">
        <v>929</v>
      </c>
      <c r="H51" s="10" t="s">
        <v>930</v>
      </c>
      <c r="I51" s="10" t="s">
        <v>1482</v>
      </c>
      <c r="J51" s="10" t="s">
        <v>1483</v>
      </c>
      <c r="K51" s="10" t="s">
        <v>998</v>
      </c>
      <c r="L51" s="10" t="s">
        <v>1484</v>
      </c>
      <c r="M51" s="10" t="s">
        <v>1485</v>
      </c>
      <c r="N51" s="10" t="s">
        <v>1486</v>
      </c>
      <c r="O51" s="10" t="s">
        <v>1487</v>
      </c>
      <c r="P51" s="10" t="s">
        <v>1781</v>
      </c>
      <c r="Q51" s="10" t="s">
        <v>1907</v>
      </c>
      <c r="R51" s="10" t="s">
        <v>1908</v>
      </c>
      <c r="S51" s="10" t="s">
        <v>1911</v>
      </c>
      <c r="T51" s="10" t="s">
        <v>1567</v>
      </c>
      <c r="U51" s="10" t="s">
        <v>1909</v>
      </c>
      <c r="V51" s="10" t="s">
        <v>1126</v>
      </c>
      <c r="W51" s="10" t="s">
        <v>317</v>
      </c>
      <c r="X51" s="10" t="s">
        <v>318</v>
      </c>
      <c r="Y51" s="10" t="s">
        <v>319</v>
      </c>
      <c r="Z51" s="10" t="s">
        <v>320</v>
      </c>
      <c r="AA51" s="10" t="s">
        <v>321</v>
      </c>
      <c r="AB51" s="10" t="s">
        <v>322</v>
      </c>
      <c r="AC51" s="10" t="s">
        <v>323</v>
      </c>
    </row>
    <row r="52" spans="1:29" x14ac:dyDescent="0.25">
      <c r="A52">
        <v>51</v>
      </c>
      <c r="B52" s="10" t="s">
        <v>931</v>
      </c>
      <c r="C52" s="10" t="s">
        <v>932</v>
      </c>
      <c r="D52" s="10" t="s">
        <v>933</v>
      </c>
      <c r="E52" s="10" t="s">
        <v>934</v>
      </c>
      <c r="F52" s="10" t="s">
        <v>935</v>
      </c>
      <c r="G52" s="10" t="s">
        <v>936</v>
      </c>
      <c r="H52" s="10" t="s">
        <v>937</v>
      </c>
      <c r="I52" s="10" t="s">
        <v>1264</v>
      </c>
      <c r="J52" s="10" t="s">
        <v>1488</v>
      </c>
      <c r="K52" s="10" t="s">
        <v>1489</v>
      </c>
      <c r="L52" s="10" t="s">
        <v>566</v>
      </c>
      <c r="M52" s="10" t="s">
        <v>1490</v>
      </c>
      <c r="N52" s="10" t="s">
        <v>1491</v>
      </c>
      <c r="O52" s="10" t="s">
        <v>1492</v>
      </c>
      <c r="P52" s="10" t="s">
        <v>1781</v>
      </c>
      <c r="Q52" s="10" t="s">
        <v>1907</v>
      </c>
      <c r="R52" s="10" t="s">
        <v>1912</v>
      </c>
      <c r="S52" s="10" t="s">
        <v>1913</v>
      </c>
      <c r="T52" s="10" t="s">
        <v>1914</v>
      </c>
      <c r="U52" s="10" t="s">
        <v>1915</v>
      </c>
      <c r="V52" s="10" t="s">
        <v>470</v>
      </c>
      <c r="W52" s="10" t="s">
        <v>324</v>
      </c>
      <c r="X52" s="10" t="s">
        <v>325</v>
      </c>
      <c r="Y52" s="10" t="s">
        <v>326</v>
      </c>
      <c r="Z52" s="10" t="s">
        <v>327</v>
      </c>
      <c r="AA52" s="10" t="s">
        <v>328</v>
      </c>
      <c r="AB52" s="10" t="s">
        <v>329</v>
      </c>
      <c r="AC52" s="10" t="s">
        <v>330</v>
      </c>
    </row>
    <row r="53" spans="1:29" x14ac:dyDescent="0.25">
      <c r="A53">
        <v>52</v>
      </c>
      <c r="B53" s="10" t="s">
        <v>938</v>
      </c>
      <c r="C53" s="10" t="s">
        <v>939</v>
      </c>
      <c r="D53" s="10" t="s">
        <v>940</v>
      </c>
      <c r="E53" s="10" t="s">
        <v>941</v>
      </c>
      <c r="F53" s="10" t="s">
        <v>942</v>
      </c>
      <c r="G53" s="10" t="s">
        <v>943</v>
      </c>
      <c r="H53" s="10" t="s">
        <v>944</v>
      </c>
      <c r="I53" s="10" t="s">
        <v>1493</v>
      </c>
      <c r="J53" s="10" t="s">
        <v>332</v>
      </c>
      <c r="K53" s="10" t="s">
        <v>1494</v>
      </c>
      <c r="L53" s="10" t="s">
        <v>1495</v>
      </c>
      <c r="M53" s="10" t="s">
        <v>1496</v>
      </c>
      <c r="N53" s="10" t="s">
        <v>451</v>
      </c>
      <c r="O53" s="10" t="s">
        <v>1497</v>
      </c>
      <c r="P53" s="10" t="s">
        <v>1781</v>
      </c>
      <c r="Q53" s="10" t="s">
        <v>1916</v>
      </c>
      <c r="R53" s="10" t="s">
        <v>1917</v>
      </c>
      <c r="S53" s="10" t="s">
        <v>1913</v>
      </c>
      <c r="T53" s="10" t="s">
        <v>132</v>
      </c>
      <c r="U53" s="10" t="s">
        <v>1915</v>
      </c>
      <c r="V53" s="10" t="s">
        <v>470</v>
      </c>
      <c r="W53" s="10" t="s">
        <v>331</v>
      </c>
      <c r="X53" s="10" t="s">
        <v>332</v>
      </c>
      <c r="Y53" s="10" t="s">
        <v>333</v>
      </c>
      <c r="Z53" s="10" t="s">
        <v>334</v>
      </c>
      <c r="AA53" s="10" t="s">
        <v>335</v>
      </c>
      <c r="AB53" s="10" t="s">
        <v>336</v>
      </c>
      <c r="AC53" s="10" t="s">
        <v>337</v>
      </c>
    </row>
    <row r="54" spans="1:29" x14ac:dyDescent="0.25">
      <c r="A54">
        <v>53</v>
      </c>
      <c r="B54" s="10" t="s">
        <v>945</v>
      </c>
      <c r="C54" s="10" t="s">
        <v>366</v>
      </c>
      <c r="D54" s="10" t="s">
        <v>946</v>
      </c>
      <c r="E54" s="10" t="s">
        <v>947</v>
      </c>
      <c r="F54" s="10" t="s">
        <v>948</v>
      </c>
      <c r="G54" s="10" t="s">
        <v>949</v>
      </c>
      <c r="H54" s="10" t="s">
        <v>950</v>
      </c>
      <c r="I54" s="10" t="s">
        <v>1498</v>
      </c>
      <c r="J54" s="10" t="s">
        <v>1499</v>
      </c>
      <c r="K54" s="10" t="s">
        <v>1500</v>
      </c>
      <c r="L54" s="10" t="s">
        <v>1501</v>
      </c>
      <c r="M54" s="10" t="s">
        <v>1502</v>
      </c>
      <c r="N54" s="10" t="s">
        <v>1503</v>
      </c>
      <c r="O54" s="10" t="s">
        <v>1504</v>
      </c>
      <c r="P54" s="10" t="s">
        <v>1918</v>
      </c>
      <c r="Q54" s="10" t="s">
        <v>1916</v>
      </c>
      <c r="R54" s="10" t="s">
        <v>1917</v>
      </c>
      <c r="S54" s="10" t="s">
        <v>1871</v>
      </c>
      <c r="T54" s="10" t="s">
        <v>132</v>
      </c>
      <c r="U54" s="10" t="s">
        <v>1919</v>
      </c>
      <c r="V54" s="10" t="s">
        <v>1629</v>
      </c>
      <c r="W54" s="10" t="s">
        <v>338</v>
      </c>
      <c r="X54" s="10" t="s">
        <v>339</v>
      </c>
      <c r="Y54" s="10" t="s">
        <v>340</v>
      </c>
      <c r="Z54" s="10" t="s">
        <v>341</v>
      </c>
      <c r="AA54" s="10" t="s">
        <v>342</v>
      </c>
      <c r="AB54" s="10" t="s">
        <v>343</v>
      </c>
      <c r="AC54" s="10" t="s">
        <v>344</v>
      </c>
    </row>
    <row r="55" spans="1:29" x14ac:dyDescent="0.25">
      <c r="A55">
        <v>54</v>
      </c>
      <c r="B55" s="10" t="s">
        <v>469</v>
      </c>
      <c r="C55" s="10" t="s">
        <v>951</v>
      </c>
      <c r="D55" s="10" t="s">
        <v>952</v>
      </c>
      <c r="E55" s="10" t="s">
        <v>322</v>
      </c>
      <c r="F55" s="10" t="s">
        <v>953</v>
      </c>
      <c r="G55" s="10" t="s">
        <v>954</v>
      </c>
      <c r="H55" s="10" t="s">
        <v>955</v>
      </c>
      <c r="I55" s="10" t="s">
        <v>1505</v>
      </c>
      <c r="J55" s="10" t="s">
        <v>857</v>
      </c>
      <c r="K55" s="10" t="s">
        <v>189</v>
      </c>
      <c r="L55" s="10" t="s">
        <v>1506</v>
      </c>
      <c r="M55" s="10" t="s">
        <v>1507</v>
      </c>
      <c r="N55" s="10" t="s">
        <v>1508</v>
      </c>
      <c r="O55" s="10" t="s">
        <v>1509</v>
      </c>
      <c r="P55" s="10" t="s">
        <v>1918</v>
      </c>
      <c r="Q55" s="10" t="s">
        <v>1916</v>
      </c>
      <c r="R55" s="10" t="s">
        <v>1920</v>
      </c>
      <c r="S55" s="10" t="s">
        <v>1921</v>
      </c>
      <c r="T55" s="10" t="s">
        <v>1922</v>
      </c>
      <c r="U55" s="10" t="s">
        <v>1919</v>
      </c>
      <c r="V55" s="10" t="s">
        <v>1923</v>
      </c>
      <c r="W55" s="10" t="s">
        <v>345</v>
      </c>
      <c r="X55" s="10" t="s">
        <v>346</v>
      </c>
      <c r="Y55" s="10" t="s">
        <v>347</v>
      </c>
      <c r="Z55" s="10" t="s">
        <v>348</v>
      </c>
      <c r="AA55" s="10" t="s">
        <v>349</v>
      </c>
      <c r="AB55" s="10" t="s">
        <v>350</v>
      </c>
      <c r="AC55" s="10" t="s">
        <v>351</v>
      </c>
    </row>
    <row r="56" spans="1:29" x14ac:dyDescent="0.25">
      <c r="A56">
        <v>55</v>
      </c>
      <c r="B56" s="10" t="s">
        <v>956</v>
      </c>
      <c r="C56" s="10" t="s">
        <v>705</v>
      </c>
      <c r="D56" s="10" t="s">
        <v>957</v>
      </c>
      <c r="E56" s="10" t="s">
        <v>958</v>
      </c>
      <c r="F56" s="10" t="s">
        <v>959</v>
      </c>
      <c r="G56" s="10" t="s">
        <v>960</v>
      </c>
      <c r="H56" s="10" t="s">
        <v>961</v>
      </c>
      <c r="I56" s="10" t="s">
        <v>683</v>
      </c>
      <c r="J56" s="10" t="s">
        <v>1510</v>
      </c>
      <c r="K56" s="10" t="s">
        <v>1511</v>
      </c>
      <c r="L56" s="10" t="s">
        <v>1512</v>
      </c>
      <c r="M56" s="10" t="s">
        <v>1513</v>
      </c>
      <c r="N56" s="10" t="s">
        <v>1514</v>
      </c>
      <c r="O56" s="10" t="s">
        <v>1515</v>
      </c>
      <c r="P56" s="10" t="s">
        <v>1918</v>
      </c>
      <c r="Q56" s="10" t="s">
        <v>277</v>
      </c>
      <c r="R56" s="10" t="s">
        <v>1920</v>
      </c>
      <c r="S56" s="10" t="s">
        <v>1921</v>
      </c>
      <c r="T56" s="10" t="s">
        <v>1922</v>
      </c>
      <c r="U56" s="10" t="s">
        <v>1919</v>
      </c>
      <c r="V56" s="10" t="s">
        <v>1923</v>
      </c>
      <c r="W56" s="10" t="s">
        <v>352</v>
      </c>
      <c r="X56" s="10" t="s">
        <v>138</v>
      </c>
      <c r="Y56" s="10" t="s">
        <v>353</v>
      </c>
      <c r="Z56" s="10" t="s">
        <v>354</v>
      </c>
      <c r="AA56" s="10" t="s">
        <v>355</v>
      </c>
      <c r="AB56" s="10" t="s">
        <v>356</v>
      </c>
      <c r="AC56" s="10" t="s">
        <v>357</v>
      </c>
    </row>
    <row r="57" spans="1:29" x14ac:dyDescent="0.25">
      <c r="A57">
        <v>56</v>
      </c>
      <c r="B57" s="10" t="s">
        <v>962</v>
      </c>
      <c r="C57" s="10" t="s">
        <v>963</v>
      </c>
      <c r="D57" s="10" t="s">
        <v>964</v>
      </c>
      <c r="E57" s="10" t="s">
        <v>965</v>
      </c>
      <c r="F57" s="10" t="s">
        <v>966</v>
      </c>
      <c r="G57" s="10" t="s">
        <v>967</v>
      </c>
      <c r="H57" s="10" t="s">
        <v>968</v>
      </c>
      <c r="I57" s="10" t="s">
        <v>1516</v>
      </c>
      <c r="J57" s="10" t="s">
        <v>1016</v>
      </c>
      <c r="K57" s="10" t="s">
        <v>1517</v>
      </c>
      <c r="L57" s="10" t="s">
        <v>1518</v>
      </c>
      <c r="M57" s="10" t="s">
        <v>1519</v>
      </c>
      <c r="N57" s="10" t="s">
        <v>1520</v>
      </c>
      <c r="O57" s="10" t="s">
        <v>1521</v>
      </c>
      <c r="P57" s="10" t="s">
        <v>1924</v>
      </c>
      <c r="Q57" s="10" t="s">
        <v>277</v>
      </c>
      <c r="R57" s="10" t="s">
        <v>836</v>
      </c>
      <c r="S57" s="10" t="s">
        <v>1921</v>
      </c>
      <c r="T57" s="10" t="s">
        <v>1925</v>
      </c>
      <c r="U57" s="10" t="s">
        <v>1926</v>
      </c>
      <c r="V57" s="10" t="s">
        <v>484</v>
      </c>
      <c r="W57" s="10" t="s">
        <v>358</v>
      </c>
      <c r="X57" s="10" t="s">
        <v>359</v>
      </c>
      <c r="Y57" s="10" t="s">
        <v>360</v>
      </c>
      <c r="Z57" s="10" t="s">
        <v>361</v>
      </c>
      <c r="AA57" s="10" t="s">
        <v>362</v>
      </c>
      <c r="AB57" s="10" t="s">
        <v>363</v>
      </c>
      <c r="AC57" s="10" t="s">
        <v>364</v>
      </c>
    </row>
    <row r="58" spans="1:29" x14ac:dyDescent="0.25">
      <c r="A58">
        <v>57</v>
      </c>
      <c r="B58" s="10" t="s">
        <v>969</v>
      </c>
      <c r="C58" s="10" t="s">
        <v>970</v>
      </c>
      <c r="D58" s="10" t="s">
        <v>971</v>
      </c>
      <c r="E58" s="10" t="s">
        <v>972</v>
      </c>
      <c r="F58" s="10" t="s">
        <v>973</v>
      </c>
      <c r="G58" s="10" t="s">
        <v>968</v>
      </c>
      <c r="H58" s="10" t="s">
        <v>974</v>
      </c>
      <c r="I58" s="10" t="s">
        <v>1522</v>
      </c>
      <c r="J58" s="10" t="s">
        <v>117</v>
      </c>
      <c r="K58" s="10" t="s">
        <v>940</v>
      </c>
      <c r="L58" s="10" t="s">
        <v>1523</v>
      </c>
      <c r="M58" s="10" t="s">
        <v>1491</v>
      </c>
      <c r="N58" s="10" t="s">
        <v>1524</v>
      </c>
      <c r="O58" s="10" t="s">
        <v>1525</v>
      </c>
      <c r="P58" s="10" t="s">
        <v>1927</v>
      </c>
      <c r="Q58" s="10" t="s">
        <v>1797</v>
      </c>
      <c r="R58" s="10" t="s">
        <v>836</v>
      </c>
      <c r="S58" s="10" t="s">
        <v>1928</v>
      </c>
      <c r="T58" s="10" t="s">
        <v>1925</v>
      </c>
      <c r="U58" s="10" t="s">
        <v>1926</v>
      </c>
      <c r="V58" s="10" t="s">
        <v>1929</v>
      </c>
      <c r="W58" s="10" t="s">
        <v>365</v>
      </c>
      <c r="X58" s="10" t="s">
        <v>366</v>
      </c>
      <c r="Y58" s="10" t="s">
        <v>367</v>
      </c>
      <c r="Z58" s="10" t="s">
        <v>368</v>
      </c>
      <c r="AA58" s="10" t="s">
        <v>369</v>
      </c>
      <c r="AB58" s="10" t="s">
        <v>370</v>
      </c>
      <c r="AC58" s="10" t="s">
        <v>371</v>
      </c>
    </row>
    <row r="59" spans="1:29" x14ac:dyDescent="0.25">
      <c r="A59">
        <v>58</v>
      </c>
      <c r="B59" s="10" t="s">
        <v>975</v>
      </c>
      <c r="C59" s="10" t="s">
        <v>976</v>
      </c>
      <c r="D59" s="10" t="s">
        <v>517</v>
      </c>
      <c r="E59" s="10" t="s">
        <v>977</v>
      </c>
      <c r="F59" s="10" t="s">
        <v>978</v>
      </c>
      <c r="G59" s="10" t="s">
        <v>979</v>
      </c>
      <c r="H59" s="10" t="s">
        <v>980</v>
      </c>
      <c r="I59" s="10" t="s">
        <v>1526</v>
      </c>
      <c r="J59" s="10" t="s">
        <v>1527</v>
      </c>
      <c r="K59" s="10" t="s">
        <v>1528</v>
      </c>
      <c r="L59" s="10" t="s">
        <v>1529</v>
      </c>
      <c r="M59" s="10" t="s">
        <v>391</v>
      </c>
      <c r="N59" s="10" t="s">
        <v>1530</v>
      </c>
      <c r="O59" s="10" t="s">
        <v>1531</v>
      </c>
      <c r="P59" s="10" t="s">
        <v>1927</v>
      </c>
      <c r="Q59" s="10" t="s">
        <v>1797</v>
      </c>
      <c r="R59" s="10" t="s">
        <v>836</v>
      </c>
      <c r="S59" s="10" t="s">
        <v>1928</v>
      </c>
      <c r="T59" s="10" t="s">
        <v>1930</v>
      </c>
      <c r="U59" s="10" t="s">
        <v>1926</v>
      </c>
      <c r="V59" s="10" t="s">
        <v>1931</v>
      </c>
      <c r="W59" s="10" t="s">
        <v>372</v>
      </c>
      <c r="X59" s="10" t="s">
        <v>373</v>
      </c>
      <c r="Y59" s="10" t="s">
        <v>374</v>
      </c>
      <c r="Z59" s="10" t="s">
        <v>375</v>
      </c>
      <c r="AA59" s="10" t="s">
        <v>376</v>
      </c>
      <c r="AB59" s="10" t="s">
        <v>377</v>
      </c>
      <c r="AC59" s="10" t="s">
        <v>378</v>
      </c>
    </row>
    <row r="60" spans="1:29" x14ac:dyDescent="0.25">
      <c r="A60">
        <v>59</v>
      </c>
      <c r="B60" s="10" t="s">
        <v>89</v>
      </c>
      <c r="C60" s="10" t="s">
        <v>981</v>
      </c>
      <c r="D60" s="10" t="s">
        <v>198</v>
      </c>
      <c r="E60" s="10" t="s">
        <v>982</v>
      </c>
      <c r="F60" s="10" t="s">
        <v>983</v>
      </c>
      <c r="G60" s="10" t="s">
        <v>984</v>
      </c>
      <c r="H60" s="10" t="s">
        <v>985</v>
      </c>
      <c r="I60" s="10" t="s">
        <v>1532</v>
      </c>
      <c r="J60" s="10" t="s">
        <v>1034</v>
      </c>
      <c r="K60" s="10" t="s">
        <v>1449</v>
      </c>
      <c r="L60" s="10" t="s">
        <v>314</v>
      </c>
      <c r="M60" s="10" t="s">
        <v>525</v>
      </c>
      <c r="N60" s="10" t="s">
        <v>447</v>
      </c>
      <c r="O60" s="10" t="s">
        <v>1533</v>
      </c>
      <c r="P60" s="10" t="s">
        <v>1927</v>
      </c>
      <c r="Q60" s="10" t="s">
        <v>1932</v>
      </c>
      <c r="R60" s="10" t="s">
        <v>1933</v>
      </c>
      <c r="S60" s="10" t="s">
        <v>1934</v>
      </c>
      <c r="T60" s="10" t="s">
        <v>1935</v>
      </c>
      <c r="U60" s="10" t="s">
        <v>1936</v>
      </c>
      <c r="V60" s="10" t="s">
        <v>171</v>
      </c>
      <c r="W60" s="10" t="s">
        <v>379</v>
      </c>
      <c r="X60" s="10" t="s">
        <v>380</v>
      </c>
      <c r="Y60" s="10" t="s">
        <v>381</v>
      </c>
      <c r="Z60" s="10" t="s">
        <v>382</v>
      </c>
      <c r="AA60" s="10" t="s">
        <v>383</v>
      </c>
      <c r="AB60" s="10" t="s">
        <v>384</v>
      </c>
      <c r="AC60" s="10" t="s">
        <v>385</v>
      </c>
    </row>
    <row r="61" spans="1:29" x14ac:dyDescent="0.25">
      <c r="A61">
        <v>60</v>
      </c>
      <c r="B61" s="10" t="s">
        <v>986</v>
      </c>
      <c r="C61" s="10" t="s">
        <v>987</v>
      </c>
      <c r="D61" s="10" t="s">
        <v>988</v>
      </c>
      <c r="E61" s="10" t="s">
        <v>989</v>
      </c>
      <c r="F61" s="10" t="s">
        <v>990</v>
      </c>
      <c r="G61" s="10" t="s">
        <v>991</v>
      </c>
      <c r="H61" s="10" t="s">
        <v>636</v>
      </c>
      <c r="I61" s="10" t="s">
        <v>945</v>
      </c>
      <c r="J61" s="10" t="s">
        <v>1534</v>
      </c>
      <c r="K61" s="10" t="s">
        <v>1535</v>
      </c>
      <c r="L61" s="10" t="s">
        <v>1536</v>
      </c>
      <c r="M61" s="10" t="s">
        <v>1537</v>
      </c>
      <c r="N61" s="10" t="s">
        <v>1538</v>
      </c>
      <c r="O61" s="10" t="s">
        <v>1539</v>
      </c>
      <c r="P61" s="10" t="s">
        <v>1865</v>
      </c>
      <c r="Q61" s="10" t="s">
        <v>55</v>
      </c>
      <c r="R61" s="10" t="s">
        <v>1937</v>
      </c>
      <c r="S61" s="10" t="s">
        <v>1938</v>
      </c>
      <c r="T61" s="10" t="s">
        <v>1939</v>
      </c>
      <c r="U61" s="10" t="s">
        <v>1940</v>
      </c>
      <c r="V61" s="10" t="s">
        <v>1941</v>
      </c>
      <c r="W61" s="10" t="s">
        <v>386</v>
      </c>
      <c r="X61" s="10" t="s">
        <v>387</v>
      </c>
      <c r="Y61" s="10" t="s">
        <v>388</v>
      </c>
      <c r="Z61" s="10" t="s">
        <v>389</v>
      </c>
      <c r="AA61" s="10" t="s">
        <v>390</v>
      </c>
      <c r="AB61" s="10" t="s">
        <v>391</v>
      </c>
      <c r="AC61" s="10" t="s">
        <v>392</v>
      </c>
    </row>
    <row r="62" spans="1:29" x14ac:dyDescent="0.25">
      <c r="A62">
        <v>61</v>
      </c>
      <c r="B62" s="10" t="s">
        <v>992</v>
      </c>
      <c r="C62" s="10" t="s">
        <v>140</v>
      </c>
      <c r="D62" s="10" t="s">
        <v>993</v>
      </c>
      <c r="E62" s="10" t="s">
        <v>994</v>
      </c>
      <c r="F62" s="10" t="s">
        <v>995</v>
      </c>
      <c r="G62" s="10" t="s">
        <v>996</v>
      </c>
      <c r="H62" s="10" t="s">
        <v>997</v>
      </c>
      <c r="I62" s="10" t="s">
        <v>1540</v>
      </c>
      <c r="J62" s="10" t="s">
        <v>1541</v>
      </c>
      <c r="K62" s="10" t="s">
        <v>1542</v>
      </c>
      <c r="L62" s="10" t="s">
        <v>1543</v>
      </c>
      <c r="M62" s="10" t="s">
        <v>1544</v>
      </c>
      <c r="N62" s="10" t="s">
        <v>1545</v>
      </c>
      <c r="O62" s="10" t="s">
        <v>1546</v>
      </c>
      <c r="P62" s="10" t="s">
        <v>1865</v>
      </c>
      <c r="Q62" s="10" t="s">
        <v>1942</v>
      </c>
      <c r="R62" s="10" t="s">
        <v>850</v>
      </c>
      <c r="S62" s="10" t="s">
        <v>1943</v>
      </c>
      <c r="T62" s="10" t="s">
        <v>1939</v>
      </c>
      <c r="U62" s="10" t="s">
        <v>1940</v>
      </c>
      <c r="V62" s="10" t="s">
        <v>1941</v>
      </c>
      <c r="W62" s="10" t="s">
        <v>393</v>
      </c>
      <c r="X62" s="10" t="s">
        <v>394</v>
      </c>
      <c r="Y62" s="10" t="s">
        <v>395</v>
      </c>
      <c r="Z62" s="10" t="s">
        <v>396</v>
      </c>
      <c r="AA62" s="10" t="s">
        <v>397</v>
      </c>
      <c r="AB62" s="10" t="s">
        <v>398</v>
      </c>
      <c r="AC62" s="10" t="s">
        <v>399</v>
      </c>
    </row>
    <row r="63" spans="1:29" x14ac:dyDescent="0.25">
      <c r="A63">
        <v>62</v>
      </c>
      <c r="B63" s="10" t="s">
        <v>101</v>
      </c>
      <c r="C63" s="10" t="s">
        <v>998</v>
      </c>
      <c r="D63" s="10" t="s">
        <v>764</v>
      </c>
      <c r="E63" s="10" t="s">
        <v>999</v>
      </c>
      <c r="F63" s="10" t="s">
        <v>1000</v>
      </c>
      <c r="G63" s="10" t="s">
        <v>1001</v>
      </c>
      <c r="H63" s="10" t="s">
        <v>1002</v>
      </c>
      <c r="I63" s="10" t="s">
        <v>688</v>
      </c>
      <c r="J63" s="10" t="s">
        <v>1547</v>
      </c>
      <c r="K63" s="10" t="s">
        <v>1548</v>
      </c>
      <c r="L63" s="10" t="s">
        <v>1549</v>
      </c>
      <c r="M63" s="10" t="s">
        <v>1550</v>
      </c>
      <c r="N63" s="10" t="s">
        <v>1551</v>
      </c>
      <c r="O63" s="10" t="s">
        <v>1552</v>
      </c>
      <c r="P63" s="10" t="s">
        <v>1944</v>
      </c>
      <c r="Q63" s="10" t="s">
        <v>1862</v>
      </c>
      <c r="R63" s="10" t="s">
        <v>757</v>
      </c>
      <c r="S63" s="10" t="s">
        <v>1945</v>
      </c>
      <c r="T63" s="10" t="s">
        <v>133</v>
      </c>
      <c r="U63" s="10" t="s">
        <v>1946</v>
      </c>
      <c r="V63" s="10" t="s">
        <v>1947</v>
      </c>
      <c r="W63" s="10" t="s">
        <v>400</v>
      </c>
      <c r="X63" s="10" t="s">
        <v>401</v>
      </c>
      <c r="Y63" s="10" t="s">
        <v>402</v>
      </c>
      <c r="Z63" s="10" t="s">
        <v>330</v>
      </c>
      <c r="AA63" s="10" t="s">
        <v>403</v>
      </c>
      <c r="AB63" s="10" t="s">
        <v>404</v>
      </c>
      <c r="AC63" s="10" t="s">
        <v>405</v>
      </c>
    </row>
    <row r="64" spans="1:29" x14ac:dyDescent="0.25">
      <c r="A64">
        <v>63</v>
      </c>
      <c r="B64" s="10" t="s">
        <v>1003</v>
      </c>
      <c r="C64" s="10" t="s">
        <v>896</v>
      </c>
      <c r="D64" s="10" t="s">
        <v>1004</v>
      </c>
      <c r="E64" s="10" t="s">
        <v>1005</v>
      </c>
      <c r="F64" s="10" t="s">
        <v>1006</v>
      </c>
      <c r="G64" s="10" t="s">
        <v>1007</v>
      </c>
      <c r="H64" s="10" t="s">
        <v>1008</v>
      </c>
      <c r="I64" s="10" t="s">
        <v>1553</v>
      </c>
      <c r="J64" s="10" t="s">
        <v>1554</v>
      </c>
      <c r="K64" s="10" t="s">
        <v>1555</v>
      </c>
      <c r="L64" s="10" t="s">
        <v>1556</v>
      </c>
      <c r="M64" s="10" t="s">
        <v>1557</v>
      </c>
      <c r="N64" s="10" t="s">
        <v>1558</v>
      </c>
      <c r="O64" s="10" t="s">
        <v>1559</v>
      </c>
      <c r="P64" s="10" t="s">
        <v>1944</v>
      </c>
      <c r="Q64" s="10" t="s">
        <v>1862</v>
      </c>
      <c r="R64" s="10" t="s">
        <v>1375</v>
      </c>
      <c r="S64" s="10" t="s">
        <v>1945</v>
      </c>
      <c r="T64" s="10" t="s">
        <v>551</v>
      </c>
      <c r="U64" s="10" t="s">
        <v>194</v>
      </c>
      <c r="V64" s="10" t="s">
        <v>1461</v>
      </c>
      <c r="W64" s="10" t="s">
        <v>406</v>
      </c>
      <c r="X64" s="10" t="s">
        <v>407</v>
      </c>
      <c r="Y64" s="10" t="s">
        <v>408</v>
      </c>
      <c r="Z64" s="10" t="s">
        <v>409</v>
      </c>
      <c r="AA64" s="10" t="s">
        <v>410</v>
      </c>
      <c r="AB64" s="10" t="s">
        <v>411</v>
      </c>
      <c r="AC64" s="10" t="s">
        <v>412</v>
      </c>
    </row>
    <row r="65" spans="1:29" x14ac:dyDescent="0.25">
      <c r="A65">
        <v>64</v>
      </c>
      <c r="B65" s="10" t="s">
        <v>1009</v>
      </c>
      <c r="C65" s="10" t="s">
        <v>1010</v>
      </c>
      <c r="D65" s="10" t="s">
        <v>1011</v>
      </c>
      <c r="E65" s="10" t="s">
        <v>1012</v>
      </c>
      <c r="F65" s="10" t="s">
        <v>1013</v>
      </c>
      <c r="G65" s="10" t="s">
        <v>1014</v>
      </c>
      <c r="H65" s="10" t="s">
        <v>1015</v>
      </c>
      <c r="I65" s="10" t="s">
        <v>1560</v>
      </c>
      <c r="J65" s="10" t="s">
        <v>1561</v>
      </c>
      <c r="K65" s="10" t="s">
        <v>1562</v>
      </c>
      <c r="L65" s="10" t="s">
        <v>1563</v>
      </c>
      <c r="M65" s="10" t="s">
        <v>1564</v>
      </c>
      <c r="N65" s="10" t="s">
        <v>1565</v>
      </c>
      <c r="O65" s="10" t="s">
        <v>1566</v>
      </c>
      <c r="P65" s="10" t="s">
        <v>1948</v>
      </c>
      <c r="Q65" s="10" t="s">
        <v>1949</v>
      </c>
      <c r="R65" s="10" t="s">
        <v>1950</v>
      </c>
      <c r="S65" s="10" t="s">
        <v>1838</v>
      </c>
      <c r="T65" s="10" t="s">
        <v>1951</v>
      </c>
      <c r="U65" s="10" t="s">
        <v>1893</v>
      </c>
      <c r="V65" s="10" t="s">
        <v>1952</v>
      </c>
      <c r="W65" s="10" t="s">
        <v>413</v>
      </c>
      <c r="X65" s="10" t="s">
        <v>414</v>
      </c>
      <c r="Y65" s="10" t="s">
        <v>415</v>
      </c>
      <c r="Z65" s="10" t="s">
        <v>416</v>
      </c>
      <c r="AA65" s="10" t="s">
        <v>417</v>
      </c>
      <c r="AB65" s="10" t="s">
        <v>418</v>
      </c>
      <c r="AC65" s="10" t="s">
        <v>419</v>
      </c>
    </row>
    <row r="66" spans="1:29" x14ac:dyDescent="0.25">
      <c r="A66">
        <v>65</v>
      </c>
      <c r="B66" s="10" t="s">
        <v>1016</v>
      </c>
      <c r="C66" s="10" t="s">
        <v>1017</v>
      </c>
      <c r="D66" s="10" t="s">
        <v>1018</v>
      </c>
      <c r="E66" s="10" t="s">
        <v>1019</v>
      </c>
      <c r="F66" s="10" t="s">
        <v>1020</v>
      </c>
      <c r="G66" s="10" t="s">
        <v>1021</v>
      </c>
      <c r="H66" s="10" t="s">
        <v>1022</v>
      </c>
      <c r="I66" s="10" t="s">
        <v>1567</v>
      </c>
      <c r="J66" s="10" t="s">
        <v>1568</v>
      </c>
      <c r="K66" s="10" t="s">
        <v>1569</v>
      </c>
      <c r="L66" s="10" t="s">
        <v>1570</v>
      </c>
      <c r="M66" s="10" t="s">
        <v>1571</v>
      </c>
      <c r="N66" s="10" t="s">
        <v>1572</v>
      </c>
      <c r="O66" s="10" t="s">
        <v>1573</v>
      </c>
      <c r="P66" s="10" t="s">
        <v>1953</v>
      </c>
      <c r="Q66" s="10" t="s">
        <v>1954</v>
      </c>
      <c r="R66" s="10" t="s">
        <v>1950</v>
      </c>
      <c r="S66" s="10" t="s">
        <v>1838</v>
      </c>
      <c r="T66" s="10" t="s">
        <v>1609</v>
      </c>
      <c r="U66" s="10" t="s">
        <v>141</v>
      </c>
      <c r="V66" s="10" t="s">
        <v>191</v>
      </c>
      <c r="W66" s="10" t="s">
        <v>420</v>
      </c>
      <c r="X66" s="10" t="s">
        <v>421</v>
      </c>
      <c r="Y66" s="10" t="s">
        <v>422</v>
      </c>
      <c r="Z66" s="10" t="s">
        <v>423</v>
      </c>
      <c r="AA66" s="10" t="s">
        <v>424</v>
      </c>
      <c r="AB66" s="10" t="s">
        <v>425</v>
      </c>
      <c r="AC66" s="10" t="s">
        <v>426</v>
      </c>
    </row>
    <row r="67" spans="1:29" x14ac:dyDescent="0.25">
      <c r="A67">
        <v>66</v>
      </c>
      <c r="B67" s="10" t="s">
        <v>117</v>
      </c>
      <c r="C67" s="10" t="s">
        <v>1023</v>
      </c>
      <c r="D67" s="10" t="s">
        <v>279</v>
      </c>
      <c r="E67" s="10" t="s">
        <v>1024</v>
      </c>
      <c r="F67" s="10" t="s">
        <v>1025</v>
      </c>
      <c r="G67" s="10" t="s">
        <v>1026</v>
      </c>
      <c r="H67" s="10" t="s">
        <v>1027</v>
      </c>
      <c r="I67" s="10" t="s">
        <v>1574</v>
      </c>
      <c r="J67" s="10" t="s">
        <v>1575</v>
      </c>
      <c r="K67" s="10" t="s">
        <v>1576</v>
      </c>
      <c r="L67" s="10" t="s">
        <v>1175</v>
      </c>
      <c r="M67" s="10" t="s">
        <v>1577</v>
      </c>
      <c r="N67" s="10" t="s">
        <v>1578</v>
      </c>
      <c r="O67" s="10" t="s">
        <v>1579</v>
      </c>
      <c r="P67" s="10" t="s">
        <v>1955</v>
      </c>
      <c r="Q67" s="10" t="s">
        <v>1956</v>
      </c>
      <c r="R67" s="10" t="s">
        <v>1263</v>
      </c>
      <c r="S67" s="10" t="s">
        <v>1838</v>
      </c>
      <c r="T67" s="10" t="s">
        <v>116</v>
      </c>
      <c r="U67" s="10" t="s">
        <v>1957</v>
      </c>
      <c r="V67" s="10" t="s">
        <v>1958</v>
      </c>
      <c r="W67" s="10" t="s">
        <v>427</v>
      </c>
      <c r="X67" s="10" t="s">
        <v>428</v>
      </c>
      <c r="Y67" s="10" t="s">
        <v>429</v>
      </c>
      <c r="Z67" s="10" t="s">
        <v>430</v>
      </c>
      <c r="AA67" s="10" t="s">
        <v>431</v>
      </c>
      <c r="AB67" s="10" t="s">
        <v>432</v>
      </c>
      <c r="AC67" s="10" t="s">
        <v>433</v>
      </c>
    </row>
    <row r="68" spans="1:29" x14ac:dyDescent="0.25">
      <c r="A68">
        <v>67</v>
      </c>
      <c r="B68" s="10" t="s">
        <v>1028</v>
      </c>
      <c r="C68" s="10" t="s">
        <v>157</v>
      </c>
      <c r="D68" s="10" t="s">
        <v>1029</v>
      </c>
      <c r="E68" s="10" t="s">
        <v>1030</v>
      </c>
      <c r="F68" s="10" t="s">
        <v>1031</v>
      </c>
      <c r="G68" s="10" t="s">
        <v>1032</v>
      </c>
      <c r="H68" s="10" t="s">
        <v>1033</v>
      </c>
      <c r="I68" s="10" t="s">
        <v>132</v>
      </c>
      <c r="J68" s="10" t="s">
        <v>1580</v>
      </c>
      <c r="K68" s="10" t="s">
        <v>1581</v>
      </c>
      <c r="L68" s="10" t="s">
        <v>1582</v>
      </c>
      <c r="M68" s="10" t="s">
        <v>1583</v>
      </c>
      <c r="N68" s="10" t="s">
        <v>1584</v>
      </c>
      <c r="O68" s="10" t="s">
        <v>1585</v>
      </c>
      <c r="P68" s="10" t="s">
        <v>38</v>
      </c>
      <c r="Q68" s="10" t="s">
        <v>1959</v>
      </c>
      <c r="R68" s="10" t="s">
        <v>1263</v>
      </c>
      <c r="S68" s="10" t="s">
        <v>83</v>
      </c>
      <c r="T68" s="10" t="s">
        <v>939</v>
      </c>
      <c r="U68" s="10" t="s">
        <v>1017</v>
      </c>
      <c r="V68" s="10" t="s">
        <v>1960</v>
      </c>
      <c r="W68" s="10" t="s">
        <v>434</v>
      </c>
      <c r="X68" s="10" t="s">
        <v>435</v>
      </c>
      <c r="Y68" s="10" t="s">
        <v>436</v>
      </c>
      <c r="Z68" s="10" t="s">
        <v>437</v>
      </c>
      <c r="AA68" s="10" t="s">
        <v>438</v>
      </c>
      <c r="AB68" s="10" t="s">
        <v>439</v>
      </c>
      <c r="AC68" s="10" t="s">
        <v>440</v>
      </c>
    </row>
    <row r="69" spans="1:29" x14ac:dyDescent="0.25">
      <c r="A69">
        <v>68</v>
      </c>
      <c r="B69" s="10" t="s">
        <v>1034</v>
      </c>
      <c r="C69" s="10" t="s">
        <v>1035</v>
      </c>
      <c r="D69" s="10" t="s">
        <v>1036</v>
      </c>
      <c r="E69" s="10" t="s">
        <v>1037</v>
      </c>
      <c r="F69" s="10" t="s">
        <v>1038</v>
      </c>
      <c r="G69" s="10" t="s">
        <v>1039</v>
      </c>
      <c r="H69" s="10" t="s">
        <v>1040</v>
      </c>
      <c r="I69" s="10" t="s">
        <v>332</v>
      </c>
      <c r="J69" s="10" t="s">
        <v>1586</v>
      </c>
      <c r="K69" s="10" t="s">
        <v>1587</v>
      </c>
      <c r="L69" s="10" t="s">
        <v>1588</v>
      </c>
      <c r="M69" s="10" t="s">
        <v>419</v>
      </c>
      <c r="N69" s="10" t="s">
        <v>1589</v>
      </c>
      <c r="O69" s="10" t="s">
        <v>644</v>
      </c>
      <c r="P69" s="10" t="s">
        <v>1961</v>
      </c>
      <c r="Q69" s="10" t="s">
        <v>1962</v>
      </c>
      <c r="R69" s="10" t="s">
        <v>358</v>
      </c>
      <c r="S69" s="10" t="s">
        <v>1963</v>
      </c>
      <c r="T69" s="10" t="s">
        <v>1335</v>
      </c>
      <c r="U69" s="10" t="s">
        <v>1964</v>
      </c>
      <c r="V69" s="10" t="s">
        <v>1960</v>
      </c>
      <c r="W69" s="10" t="s">
        <v>441</v>
      </c>
      <c r="X69" s="10" t="s">
        <v>442</v>
      </c>
      <c r="Y69" s="10" t="s">
        <v>443</v>
      </c>
      <c r="Z69" s="10" t="s">
        <v>444</v>
      </c>
      <c r="AA69" s="10" t="s">
        <v>445</v>
      </c>
      <c r="AB69" s="10" t="s">
        <v>446</v>
      </c>
      <c r="AC69" s="10" t="s">
        <v>447</v>
      </c>
    </row>
    <row r="70" spans="1:29" x14ac:dyDescent="0.25">
      <c r="A70">
        <v>69</v>
      </c>
      <c r="B70" s="10" t="s">
        <v>373</v>
      </c>
      <c r="C70" s="10" t="s">
        <v>1041</v>
      </c>
      <c r="D70" s="10" t="s">
        <v>1042</v>
      </c>
      <c r="E70" s="10" t="s">
        <v>1043</v>
      </c>
      <c r="F70" s="10" t="s">
        <v>1044</v>
      </c>
      <c r="G70" s="10" t="s">
        <v>1045</v>
      </c>
      <c r="H70" s="10" t="s">
        <v>1046</v>
      </c>
      <c r="I70" s="10" t="s">
        <v>339</v>
      </c>
      <c r="J70" s="10" t="s">
        <v>183</v>
      </c>
      <c r="K70" s="10" t="s">
        <v>1590</v>
      </c>
      <c r="L70" s="10" t="s">
        <v>1591</v>
      </c>
      <c r="M70" s="10" t="s">
        <v>903</v>
      </c>
      <c r="N70" s="10" t="s">
        <v>948</v>
      </c>
      <c r="O70" s="10" t="s">
        <v>1007</v>
      </c>
      <c r="P70" s="10" t="s">
        <v>1965</v>
      </c>
      <c r="Q70" s="10" t="s">
        <v>1966</v>
      </c>
      <c r="R70" s="10" t="s">
        <v>1967</v>
      </c>
      <c r="S70" s="10" t="s">
        <v>1968</v>
      </c>
      <c r="T70" s="10" t="s">
        <v>366</v>
      </c>
      <c r="U70" s="10" t="s">
        <v>1969</v>
      </c>
      <c r="V70" s="10" t="s">
        <v>1970</v>
      </c>
      <c r="W70" s="10" t="s">
        <v>448</v>
      </c>
      <c r="X70" s="10" t="s">
        <v>449</v>
      </c>
      <c r="Y70" s="10" t="s">
        <v>450</v>
      </c>
      <c r="Z70" s="10" t="s">
        <v>451</v>
      </c>
      <c r="AA70" s="10" t="s">
        <v>452</v>
      </c>
      <c r="AB70" s="10" t="s">
        <v>453</v>
      </c>
      <c r="AC70" s="10" t="s">
        <v>454</v>
      </c>
    </row>
    <row r="71" spans="1:29" x14ac:dyDescent="0.25">
      <c r="A71">
        <v>70</v>
      </c>
      <c r="B71" s="10" t="s">
        <v>387</v>
      </c>
      <c r="C71" s="10" t="s">
        <v>1047</v>
      </c>
      <c r="D71" s="10" t="s">
        <v>1048</v>
      </c>
      <c r="E71" s="10" t="s">
        <v>492</v>
      </c>
      <c r="F71" s="10" t="s">
        <v>1049</v>
      </c>
      <c r="G71" s="10" t="s">
        <v>1050</v>
      </c>
      <c r="H71" s="10" t="s">
        <v>1051</v>
      </c>
      <c r="I71" s="10" t="s">
        <v>1592</v>
      </c>
      <c r="J71" s="10" t="s">
        <v>811</v>
      </c>
      <c r="K71" s="10" t="s">
        <v>1593</v>
      </c>
      <c r="L71" s="10" t="s">
        <v>1594</v>
      </c>
      <c r="M71" s="10" t="s">
        <v>910</v>
      </c>
      <c r="N71" s="10" t="s">
        <v>1595</v>
      </c>
      <c r="O71" s="10" t="s">
        <v>1596</v>
      </c>
      <c r="P71" s="10" t="s">
        <v>142</v>
      </c>
      <c r="Q71" s="10" t="s">
        <v>1937</v>
      </c>
      <c r="R71" s="10" t="s">
        <v>1971</v>
      </c>
      <c r="S71" s="10" t="s">
        <v>1972</v>
      </c>
      <c r="T71" s="10" t="s">
        <v>1973</v>
      </c>
      <c r="U71" s="10" t="s">
        <v>1969</v>
      </c>
      <c r="V71" s="10" t="s">
        <v>1974</v>
      </c>
      <c r="W71" s="10" t="s">
        <v>455</v>
      </c>
      <c r="X71" s="10" t="s">
        <v>456</v>
      </c>
      <c r="Y71" s="10" t="s">
        <v>457</v>
      </c>
      <c r="Z71" s="10" t="s">
        <v>458</v>
      </c>
      <c r="AA71" s="10" t="s">
        <v>459</v>
      </c>
      <c r="AB71" s="10" t="s">
        <v>460</v>
      </c>
      <c r="AC71" s="10" t="s">
        <v>461</v>
      </c>
    </row>
    <row r="72" spans="1:29" x14ac:dyDescent="0.25">
      <c r="A72">
        <v>71</v>
      </c>
      <c r="B72" s="10" t="s">
        <v>1052</v>
      </c>
      <c r="C72" s="10" t="s">
        <v>1053</v>
      </c>
      <c r="D72" s="10" t="s">
        <v>1054</v>
      </c>
      <c r="E72" s="10" t="s">
        <v>1055</v>
      </c>
      <c r="F72" s="10" t="s">
        <v>1056</v>
      </c>
      <c r="G72" s="10" t="s">
        <v>1057</v>
      </c>
      <c r="H72" s="10" t="s">
        <v>1058</v>
      </c>
      <c r="I72" s="10" t="s">
        <v>1597</v>
      </c>
      <c r="J72" s="10" t="s">
        <v>1598</v>
      </c>
      <c r="K72" s="10" t="s">
        <v>1599</v>
      </c>
      <c r="L72" s="10" t="s">
        <v>1600</v>
      </c>
      <c r="M72" s="10" t="s">
        <v>520</v>
      </c>
      <c r="N72" s="10" t="s">
        <v>584</v>
      </c>
      <c r="O72" s="10" t="s">
        <v>1601</v>
      </c>
      <c r="P72" s="10" t="s">
        <v>1787</v>
      </c>
      <c r="Q72" s="10" t="s">
        <v>1937</v>
      </c>
      <c r="R72" s="10" t="s">
        <v>1975</v>
      </c>
      <c r="S72" s="10" t="s">
        <v>1972</v>
      </c>
      <c r="T72" s="10" t="s">
        <v>1976</v>
      </c>
      <c r="U72" s="10" t="s">
        <v>183</v>
      </c>
      <c r="V72" s="10" t="s">
        <v>1977</v>
      </c>
      <c r="W72" s="10" t="s">
        <v>462</v>
      </c>
      <c r="X72" s="10" t="s">
        <v>463</v>
      </c>
      <c r="Y72" s="10" t="s">
        <v>464</v>
      </c>
      <c r="Z72" s="10" t="s">
        <v>465</v>
      </c>
      <c r="AA72" s="10" t="s">
        <v>466</v>
      </c>
      <c r="AB72" s="10" t="s">
        <v>467</v>
      </c>
      <c r="AC72" s="10" t="s">
        <v>468</v>
      </c>
    </row>
    <row r="73" spans="1:29" x14ac:dyDescent="0.25">
      <c r="A73">
        <v>72</v>
      </c>
      <c r="B73" s="10" t="s">
        <v>1059</v>
      </c>
      <c r="C73" s="10" t="s">
        <v>1060</v>
      </c>
      <c r="D73" s="10" t="s">
        <v>1061</v>
      </c>
      <c r="E73" s="10" t="s">
        <v>1062</v>
      </c>
      <c r="F73" s="10" t="s">
        <v>1063</v>
      </c>
      <c r="G73" s="10" t="s">
        <v>1064</v>
      </c>
      <c r="H73" s="10" t="s">
        <v>1065</v>
      </c>
      <c r="I73" s="10" t="s">
        <v>1602</v>
      </c>
      <c r="J73" s="10" t="s">
        <v>1603</v>
      </c>
      <c r="K73" s="10" t="s">
        <v>1604</v>
      </c>
      <c r="L73" s="10" t="s">
        <v>1605</v>
      </c>
      <c r="M73" s="10" t="s">
        <v>1606</v>
      </c>
      <c r="N73" s="10" t="s">
        <v>1607</v>
      </c>
      <c r="O73" s="10" t="s">
        <v>1608</v>
      </c>
      <c r="P73" s="10" t="s">
        <v>1869</v>
      </c>
      <c r="Q73" s="10" t="s">
        <v>1937</v>
      </c>
      <c r="R73" s="10" t="s">
        <v>278</v>
      </c>
      <c r="S73" s="10" t="s">
        <v>895</v>
      </c>
      <c r="T73" s="10" t="s">
        <v>394</v>
      </c>
      <c r="U73" s="10" t="s">
        <v>1978</v>
      </c>
      <c r="V73" s="10" t="s">
        <v>1979</v>
      </c>
      <c r="W73" s="10" t="s">
        <v>469</v>
      </c>
      <c r="X73" s="10" t="s">
        <v>470</v>
      </c>
      <c r="Y73" s="10" t="s">
        <v>471</v>
      </c>
      <c r="Z73" s="10" t="s">
        <v>472</v>
      </c>
      <c r="AA73" s="10" t="s">
        <v>473</v>
      </c>
      <c r="AB73" s="10" t="s">
        <v>474</v>
      </c>
      <c r="AC73" s="10" t="s">
        <v>475</v>
      </c>
    </row>
    <row r="74" spans="1:29" x14ac:dyDescent="0.25">
      <c r="A74">
        <v>73</v>
      </c>
      <c r="B74" s="10" t="s">
        <v>407</v>
      </c>
      <c r="C74" s="10" t="s">
        <v>1066</v>
      </c>
      <c r="D74" s="10" t="s">
        <v>1067</v>
      </c>
      <c r="E74" s="10" t="s">
        <v>1068</v>
      </c>
      <c r="F74" s="10" t="s">
        <v>1069</v>
      </c>
      <c r="G74" s="10" t="s">
        <v>1070</v>
      </c>
      <c r="H74" s="10" t="s">
        <v>1071</v>
      </c>
      <c r="I74" s="10" t="s">
        <v>1609</v>
      </c>
      <c r="J74" s="10" t="s">
        <v>1610</v>
      </c>
      <c r="K74" s="10" t="s">
        <v>1611</v>
      </c>
      <c r="L74" s="10" t="s">
        <v>1612</v>
      </c>
      <c r="M74" s="10" t="s">
        <v>1613</v>
      </c>
      <c r="N74" s="10" t="s">
        <v>1614</v>
      </c>
      <c r="O74" s="10" t="s">
        <v>1615</v>
      </c>
      <c r="P74" s="10" t="s">
        <v>271</v>
      </c>
      <c r="Q74" s="10" t="s">
        <v>850</v>
      </c>
      <c r="R74" s="10" t="s">
        <v>278</v>
      </c>
      <c r="S74" s="10" t="s">
        <v>1980</v>
      </c>
      <c r="T74" s="10" t="s">
        <v>1981</v>
      </c>
      <c r="U74" s="10" t="s">
        <v>1982</v>
      </c>
      <c r="V74" s="10" t="s">
        <v>1979</v>
      </c>
      <c r="W74" s="10" t="s">
        <v>476</v>
      </c>
      <c r="X74" s="10" t="s">
        <v>477</v>
      </c>
      <c r="Y74" s="10" t="s">
        <v>478</v>
      </c>
      <c r="Z74" s="10" t="s">
        <v>479</v>
      </c>
      <c r="AA74" s="10" t="s">
        <v>480</v>
      </c>
      <c r="AB74" s="10" t="s">
        <v>481</v>
      </c>
      <c r="AC74" s="10" t="s">
        <v>482</v>
      </c>
    </row>
    <row r="75" spans="1:29" x14ac:dyDescent="0.25">
      <c r="A75">
        <v>74</v>
      </c>
      <c r="B75" s="10" t="s">
        <v>140</v>
      </c>
      <c r="C75" s="10" t="s">
        <v>1072</v>
      </c>
      <c r="D75" s="10" t="s">
        <v>1073</v>
      </c>
      <c r="E75" s="10" t="s">
        <v>878</v>
      </c>
      <c r="F75" s="10" t="s">
        <v>1074</v>
      </c>
      <c r="G75" s="10" t="s">
        <v>1075</v>
      </c>
      <c r="H75" s="10" t="s">
        <v>1076</v>
      </c>
      <c r="I75" s="10" t="s">
        <v>1616</v>
      </c>
      <c r="J75" s="10" t="s">
        <v>1617</v>
      </c>
      <c r="K75" s="10" t="s">
        <v>1154</v>
      </c>
      <c r="L75" s="10" t="s">
        <v>1618</v>
      </c>
      <c r="M75" s="10" t="s">
        <v>1619</v>
      </c>
      <c r="N75" s="10" t="s">
        <v>1620</v>
      </c>
      <c r="O75" s="10" t="s">
        <v>1621</v>
      </c>
      <c r="P75" s="10" t="s">
        <v>1374</v>
      </c>
      <c r="Q75" s="10" t="s">
        <v>1983</v>
      </c>
      <c r="R75" s="10" t="s">
        <v>1360</v>
      </c>
      <c r="S75" s="10" t="s">
        <v>1980</v>
      </c>
      <c r="T75" s="10" t="s">
        <v>1984</v>
      </c>
      <c r="U75" s="10" t="s">
        <v>1982</v>
      </c>
      <c r="V75" s="10" t="s">
        <v>1985</v>
      </c>
      <c r="W75" s="10" t="s">
        <v>483</v>
      </c>
      <c r="X75" s="10" t="s">
        <v>484</v>
      </c>
      <c r="Y75" s="10" t="s">
        <v>485</v>
      </c>
      <c r="Z75" s="10" t="s">
        <v>486</v>
      </c>
      <c r="AA75" s="10" t="s">
        <v>487</v>
      </c>
      <c r="AB75" s="10" t="s">
        <v>488</v>
      </c>
      <c r="AC75" s="10" t="s">
        <v>489</v>
      </c>
    </row>
    <row r="76" spans="1:29" x14ac:dyDescent="0.25">
      <c r="A76">
        <v>75</v>
      </c>
      <c r="B76" s="10" t="s">
        <v>896</v>
      </c>
      <c r="C76" s="10" t="s">
        <v>1077</v>
      </c>
      <c r="D76" s="10" t="s">
        <v>1078</v>
      </c>
      <c r="E76" s="10" t="s">
        <v>1079</v>
      </c>
      <c r="F76" s="10" t="s">
        <v>1080</v>
      </c>
      <c r="G76" s="10" t="s">
        <v>1081</v>
      </c>
      <c r="H76" s="10" t="s">
        <v>1082</v>
      </c>
      <c r="I76" s="10" t="s">
        <v>1622</v>
      </c>
      <c r="J76" s="10" t="s">
        <v>1623</v>
      </c>
      <c r="K76" s="10" t="s">
        <v>1160</v>
      </c>
      <c r="L76" s="10" t="s">
        <v>1624</v>
      </c>
      <c r="M76" s="10" t="s">
        <v>1625</v>
      </c>
      <c r="N76" s="10" t="s">
        <v>1626</v>
      </c>
      <c r="O76" s="10" t="s">
        <v>1627</v>
      </c>
      <c r="P76" s="10" t="s">
        <v>1986</v>
      </c>
      <c r="Q76" s="10" t="s">
        <v>1983</v>
      </c>
      <c r="R76" s="10" t="s">
        <v>1360</v>
      </c>
      <c r="S76" s="10" t="s">
        <v>121</v>
      </c>
      <c r="T76" s="10" t="s">
        <v>1984</v>
      </c>
      <c r="U76" s="10" t="s">
        <v>1987</v>
      </c>
      <c r="V76" s="10" t="s">
        <v>1985</v>
      </c>
      <c r="W76" s="10" t="s">
        <v>490</v>
      </c>
      <c r="X76" s="10" t="s">
        <v>491</v>
      </c>
      <c r="Y76" s="10" t="s">
        <v>430</v>
      </c>
      <c r="Z76" s="10" t="s">
        <v>492</v>
      </c>
      <c r="AA76" s="10" t="s">
        <v>493</v>
      </c>
      <c r="AB76" s="10" t="s">
        <v>494</v>
      </c>
      <c r="AC76" s="10" t="s">
        <v>495</v>
      </c>
    </row>
    <row r="77" spans="1:29" x14ac:dyDescent="0.25">
      <c r="A77">
        <v>76</v>
      </c>
      <c r="B77" s="10" t="s">
        <v>1083</v>
      </c>
      <c r="C77" s="10" t="s">
        <v>1084</v>
      </c>
      <c r="D77" s="10" t="s">
        <v>1085</v>
      </c>
      <c r="E77" s="10" t="s">
        <v>1086</v>
      </c>
      <c r="F77" s="10" t="s">
        <v>1087</v>
      </c>
      <c r="G77" s="10" t="s">
        <v>1088</v>
      </c>
      <c r="H77" s="10" t="s">
        <v>1089</v>
      </c>
      <c r="I77" s="10" t="s">
        <v>1628</v>
      </c>
      <c r="J77" s="10" t="s">
        <v>1629</v>
      </c>
      <c r="K77" s="10" t="s">
        <v>1630</v>
      </c>
      <c r="L77" s="10" t="s">
        <v>336</v>
      </c>
      <c r="M77" s="10" t="s">
        <v>1631</v>
      </c>
      <c r="N77" s="10" t="s">
        <v>1632</v>
      </c>
      <c r="O77" s="10" t="s">
        <v>1070</v>
      </c>
      <c r="P77" s="10" t="s">
        <v>1988</v>
      </c>
      <c r="Q77" s="10" t="s">
        <v>1989</v>
      </c>
      <c r="R77" s="10" t="s">
        <v>723</v>
      </c>
      <c r="S77" s="10" t="s">
        <v>1990</v>
      </c>
      <c r="T77" s="10" t="s">
        <v>1991</v>
      </c>
      <c r="U77" s="10" t="s">
        <v>1992</v>
      </c>
      <c r="V77" s="10" t="s">
        <v>1993</v>
      </c>
      <c r="W77" s="10" t="s">
        <v>496</v>
      </c>
      <c r="X77" s="10" t="s">
        <v>497</v>
      </c>
      <c r="Y77" s="10" t="s">
        <v>498</v>
      </c>
      <c r="Z77" s="10" t="s">
        <v>499</v>
      </c>
      <c r="AA77" s="10" t="s">
        <v>500</v>
      </c>
      <c r="AB77" s="10" t="s">
        <v>501</v>
      </c>
      <c r="AC77" s="10" t="s">
        <v>502</v>
      </c>
    </row>
    <row r="78" spans="1:29" x14ac:dyDescent="0.25">
      <c r="A78">
        <v>77</v>
      </c>
      <c r="B78" s="10" t="s">
        <v>1090</v>
      </c>
      <c r="C78" s="10" t="s">
        <v>759</v>
      </c>
      <c r="D78" s="10" t="s">
        <v>287</v>
      </c>
      <c r="E78" s="10" t="s">
        <v>1091</v>
      </c>
      <c r="F78" s="10" t="s">
        <v>1092</v>
      </c>
      <c r="G78" s="10" t="s">
        <v>1093</v>
      </c>
      <c r="H78" s="10" t="s">
        <v>1094</v>
      </c>
      <c r="I78" s="10" t="s">
        <v>161</v>
      </c>
      <c r="J78" s="10" t="s">
        <v>177</v>
      </c>
      <c r="K78" s="10" t="s">
        <v>1633</v>
      </c>
      <c r="L78" s="10" t="s">
        <v>1634</v>
      </c>
      <c r="M78" s="10" t="s">
        <v>1635</v>
      </c>
      <c r="N78" s="10" t="s">
        <v>1636</v>
      </c>
      <c r="O78" s="10" t="s">
        <v>1637</v>
      </c>
      <c r="P78" s="10" t="s">
        <v>1959</v>
      </c>
      <c r="Q78" s="10" t="s">
        <v>1828</v>
      </c>
      <c r="R78" s="10" t="s">
        <v>1994</v>
      </c>
      <c r="S78" s="10" t="s">
        <v>132</v>
      </c>
      <c r="T78" s="10" t="s">
        <v>1995</v>
      </c>
      <c r="U78" s="10" t="s">
        <v>1159</v>
      </c>
      <c r="V78" s="10" t="s">
        <v>1996</v>
      </c>
      <c r="W78" s="10" t="s">
        <v>503</v>
      </c>
      <c r="X78" s="10" t="s">
        <v>504</v>
      </c>
      <c r="Y78" s="10" t="s">
        <v>505</v>
      </c>
      <c r="Z78" s="10" t="s">
        <v>506</v>
      </c>
      <c r="AA78" s="10" t="s">
        <v>507</v>
      </c>
      <c r="AB78" s="10" t="s">
        <v>508</v>
      </c>
      <c r="AC78" s="10" t="s">
        <v>509</v>
      </c>
    </row>
    <row r="79" spans="1:29" x14ac:dyDescent="0.25">
      <c r="A79">
        <v>78</v>
      </c>
      <c r="B79" s="10" t="s">
        <v>1095</v>
      </c>
      <c r="C79" s="10" t="s">
        <v>1096</v>
      </c>
      <c r="D79" s="10" t="s">
        <v>909</v>
      </c>
      <c r="E79" s="10" t="s">
        <v>903</v>
      </c>
      <c r="F79" s="10" t="s">
        <v>1097</v>
      </c>
      <c r="G79" s="10" t="s">
        <v>1098</v>
      </c>
      <c r="H79" s="10" t="s">
        <v>1099</v>
      </c>
      <c r="I79" s="10" t="s">
        <v>1638</v>
      </c>
      <c r="J79" s="10" t="s">
        <v>1639</v>
      </c>
      <c r="K79" s="10" t="s">
        <v>1506</v>
      </c>
      <c r="L79" s="10" t="s">
        <v>1640</v>
      </c>
      <c r="M79" s="10" t="s">
        <v>1641</v>
      </c>
      <c r="N79" s="10" t="s">
        <v>1642</v>
      </c>
      <c r="O79" s="10" t="s">
        <v>1643</v>
      </c>
      <c r="P79" s="10" t="s">
        <v>1997</v>
      </c>
      <c r="Q79" s="10" t="s">
        <v>97</v>
      </c>
      <c r="R79" s="10" t="s">
        <v>1998</v>
      </c>
      <c r="S79" s="10" t="s">
        <v>1999</v>
      </c>
      <c r="T79" s="10" t="s">
        <v>2000</v>
      </c>
      <c r="U79" s="10" t="s">
        <v>2001</v>
      </c>
      <c r="V79" s="10" t="s">
        <v>1996</v>
      </c>
      <c r="W79" s="10" t="s">
        <v>143</v>
      </c>
      <c r="X79" s="10" t="s">
        <v>510</v>
      </c>
      <c r="Y79" s="10" t="s">
        <v>511</v>
      </c>
      <c r="Z79" s="10" t="s">
        <v>512</v>
      </c>
      <c r="AA79" s="10" t="s">
        <v>513</v>
      </c>
      <c r="AB79" s="10" t="s">
        <v>514</v>
      </c>
      <c r="AC79" s="10" t="s">
        <v>515</v>
      </c>
    </row>
    <row r="80" spans="1:29" x14ac:dyDescent="0.25">
      <c r="A80">
        <v>79</v>
      </c>
      <c r="B80" s="10" t="s">
        <v>175</v>
      </c>
      <c r="C80" s="10" t="s">
        <v>1100</v>
      </c>
      <c r="D80" s="10" t="s">
        <v>1101</v>
      </c>
      <c r="E80" s="10" t="s">
        <v>1102</v>
      </c>
      <c r="F80" s="10" t="s">
        <v>1103</v>
      </c>
      <c r="G80" s="10" t="s">
        <v>1104</v>
      </c>
      <c r="H80" s="10" t="s">
        <v>1105</v>
      </c>
      <c r="I80" s="10" t="s">
        <v>963</v>
      </c>
      <c r="J80" s="10" t="s">
        <v>1644</v>
      </c>
      <c r="K80" s="10" t="s">
        <v>1421</v>
      </c>
      <c r="L80" s="10" t="s">
        <v>1645</v>
      </c>
      <c r="M80" s="10" t="s">
        <v>1646</v>
      </c>
      <c r="N80" s="10" t="s">
        <v>1647</v>
      </c>
      <c r="O80" s="10" t="s">
        <v>1648</v>
      </c>
      <c r="P80" s="10" t="s">
        <v>2002</v>
      </c>
      <c r="Q80" s="10" t="s">
        <v>1975</v>
      </c>
      <c r="R80" s="10" t="s">
        <v>2003</v>
      </c>
      <c r="S80" s="10" t="s">
        <v>2004</v>
      </c>
      <c r="T80" s="10" t="s">
        <v>2005</v>
      </c>
      <c r="U80" s="10" t="s">
        <v>2006</v>
      </c>
      <c r="V80" s="10" t="s">
        <v>2007</v>
      </c>
      <c r="W80" s="10" t="s">
        <v>516</v>
      </c>
      <c r="X80" s="10" t="s">
        <v>517</v>
      </c>
      <c r="Y80" s="10" t="s">
        <v>518</v>
      </c>
      <c r="Z80" s="10" t="s">
        <v>519</v>
      </c>
      <c r="AA80" s="10" t="s">
        <v>520</v>
      </c>
      <c r="AB80" s="10" t="s">
        <v>521</v>
      </c>
      <c r="AC80" s="10" t="s">
        <v>522</v>
      </c>
    </row>
    <row r="81" spans="1:29" x14ac:dyDescent="0.25">
      <c r="A81">
        <v>80</v>
      </c>
      <c r="B81" s="10" t="s">
        <v>1106</v>
      </c>
      <c r="C81" s="10" t="s">
        <v>1107</v>
      </c>
      <c r="D81" s="10" t="s">
        <v>1108</v>
      </c>
      <c r="E81" s="10" t="s">
        <v>1109</v>
      </c>
      <c r="F81" s="10" t="s">
        <v>1110</v>
      </c>
      <c r="G81" s="10" t="s">
        <v>1111</v>
      </c>
      <c r="H81" s="10" t="s">
        <v>1112</v>
      </c>
      <c r="I81" s="10" t="s">
        <v>1649</v>
      </c>
      <c r="J81" s="10" t="s">
        <v>1650</v>
      </c>
      <c r="K81" s="10" t="s">
        <v>1651</v>
      </c>
      <c r="L81" s="10" t="s">
        <v>1652</v>
      </c>
      <c r="M81" s="10" t="s">
        <v>1653</v>
      </c>
      <c r="N81" s="10" t="s">
        <v>590</v>
      </c>
      <c r="O81" s="10" t="s">
        <v>1076</v>
      </c>
      <c r="P81" s="10" t="s">
        <v>2008</v>
      </c>
      <c r="Q81" s="10" t="s">
        <v>1871</v>
      </c>
      <c r="R81" s="10" t="s">
        <v>1339</v>
      </c>
      <c r="S81" s="10" t="s">
        <v>139</v>
      </c>
      <c r="T81" s="10" t="s">
        <v>2009</v>
      </c>
      <c r="U81" s="10" t="s">
        <v>2010</v>
      </c>
      <c r="V81" s="10" t="s">
        <v>2011</v>
      </c>
      <c r="W81" s="10" t="s">
        <v>523</v>
      </c>
      <c r="X81" s="10" t="s">
        <v>524</v>
      </c>
      <c r="Y81" s="10" t="s">
        <v>525</v>
      </c>
      <c r="Z81" s="10" t="s">
        <v>526</v>
      </c>
      <c r="AA81" s="10" t="s">
        <v>527</v>
      </c>
      <c r="AB81" s="10" t="s">
        <v>528</v>
      </c>
      <c r="AC81" s="10" t="s">
        <v>529</v>
      </c>
    </row>
    <row r="82" spans="1:29" x14ac:dyDescent="0.25">
      <c r="A82">
        <v>81</v>
      </c>
      <c r="B82" s="10" t="s">
        <v>189</v>
      </c>
      <c r="C82" s="10" t="s">
        <v>1113</v>
      </c>
      <c r="D82" s="10" t="s">
        <v>1114</v>
      </c>
      <c r="E82" s="10" t="s">
        <v>1115</v>
      </c>
      <c r="F82" s="10" t="s">
        <v>1116</v>
      </c>
      <c r="G82" s="10" t="s">
        <v>1117</v>
      </c>
      <c r="H82" s="10" t="s">
        <v>1118</v>
      </c>
      <c r="I82" s="10" t="s">
        <v>1654</v>
      </c>
      <c r="J82" s="10" t="s">
        <v>1655</v>
      </c>
      <c r="K82" s="10" t="s">
        <v>1656</v>
      </c>
      <c r="L82" s="10" t="s">
        <v>1657</v>
      </c>
      <c r="M82" s="10" t="s">
        <v>1658</v>
      </c>
      <c r="N82" s="10" t="s">
        <v>1659</v>
      </c>
      <c r="O82" s="10" t="s">
        <v>1660</v>
      </c>
      <c r="P82" s="10" t="s">
        <v>2012</v>
      </c>
      <c r="Q82" s="10" t="s">
        <v>906</v>
      </c>
      <c r="R82" s="10" t="s">
        <v>1379</v>
      </c>
      <c r="S82" s="10" t="s">
        <v>852</v>
      </c>
      <c r="T82" s="10" t="s">
        <v>2013</v>
      </c>
      <c r="U82" s="10" t="s">
        <v>2014</v>
      </c>
      <c r="V82" s="10" t="s">
        <v>2015</v>
      </c>
      <c r="W82" s="10" t="s">
        <v>530</v>
      </c>
      <c r="X82" s="10" t="s">
        <v>531</v>
      </c>
      <c r="Y82" s="10" t="s">
        <v>532</v>
      </c>
      <c r="Z82" s="10" t="s">
        <v>533</v>
      </c>
      <c r="AA82" s="10" t="s">
        <v>534</v>
      </c>
      <c r="AB82" s="10" t="s">
        <v>535</v>
      </c>
      <c r="AC82" s="10" t="s">
        <v>536</v>
      </c>
    </row>
    <row r="83" spans="1:29" x14ac:dyDescent="0.25">
      <c r="A83">
        <v>82</v>
      </c>
      <c r="B83" s="10" t="s">
        <v>1119</v>
      </c>
      <c r="C83" s="10" t="s">
        <v>1120</v>
      </c>
      <c r="D83" s="10" t="s">
        <v>1121</v>
      </c>
      <c r="E83" s="10" t="s">
        <v>1122</v>
      </c>
      <c r="F83" s="10" t="s">
        <v>1123</v>
      </c>
      <c r="G83" s="10" t="s">
        <v>1124</v>
      </c>
      <c r="H83" s="10" t="s">
        <v>1125</v>
      </c>
      <c r="I83" s="10" t="s">
        <v>1661</v>
      </c>
      <c r="J83" s="10" t="s">
        <v>1662</v>
      </c>
      <c r="K83" s="10" t="s">
        <v>1663</v>
      </c>
      <c r="L83" s="10" t="s">
        <v>1664</v>
      </c>
      <c r="M83" s="10" t="s">
        <v>1665</v>
      </c>
      <c r="N83" s="10" t="s">
        <v>1666</v>
      </c>
      <c r="O83" s="10" t="s">
        <v>1667</v>
      </c>
      <c r="P83" s="10" t="s">
        <v>2016</v>
      </c>
      <c r="Q83" s="10" t="s">
        <v>1934</v>
      </c>
      <c r="R83" s="10" t="s">
        <v>1273</v>
      </c>
      <c r="S83" s="10" t="s">
        <v>1016</v>
      </c>
      <c r="T83" s="10" t="s">
        <v>1311</v>
      </c>
      <c r="U83" s="10" t="s">
        <v>1107</v>
      </c>
      <c r="V83" s="10" t="s">
        <v>2015</v>
      </c>
      <c r="W83" s="10" t="s">
        <v>537</v>
      </c>
      <c r="X83" s="10" t="s">
        <v>538</v>
      </c>
      <c r="Y83" s="10" t="s">
        <v>539</v>
      </c>
      <c r="Z83" s="10" t="s">
        <v>540</v>
      </c>
      <c r="AA83" s="10" t="s">
        <v>541</v>
      </c>
      <c r="AB83" s="10" t="s">
        <v>542</v>
      </c>
      <c r="AC83" s="10" t="s">
        <v>543</v>
      </c>
    </row>
    <row r="84" spans="1:29" x14ac:dyDescent="0.25">
      <c r="A84">
        <v>83</v>
      </c>
      <c r="B84" s="10" t="s">
        <v>1126</v>
      </c>
      <c r="C84" s="10" t="s">
        <v>1018</v>
      </c>
      <c r="D84" s="10" t="s">
        <v>1127</v>
      </c>
      <c r="E84" s="10" t="s">
        <v>1128</v>
      </c>
      <c r="F84" s="10" t="s">
        <v>1129</v>
      </c>
      <c r="G84" s="10" t="s">
        <v>1130</v>
      </c>
      <c r="H84" s="10" t="s">
        <v>1131</v>
      </c>
      <c r="I84" s="10" t="s">
        <v>1668</v>
      </c>
      <c r="J84" s="10" t="s">
        <v>1669</v>
      </c>
      <c r="K84" s="10" t="s">
        <v>927</v>
      </c>
      <c r="L84" s="10" t="s">
        <v>1670</v>
      </c>
      <c r="M84" s="10" t="s">
        <v>1671</v>
      </c>
      <c r="N84" s="10" t="s">
        <v>1672</v>
      </c>
      <c r="O84" s="10" t="s">
        <v>1673</v>
      </c>
      <c r="P84" s="10" t="s">
        <v>2017</v>
      </c>
      <c r="Q84" s="10" t="s">
        <v>1934</v>
      </c>
      <c r="R84" s="10" t="s">
        <v>1273</v>
      </c>
      <c r="S84" s="10" t="s">
        <v>2018</v>
      </c>
      <c r="T84" s="10" t="s">
        <v>2019</v>
      </c>
      <c r="U84" s="10" t="s">
        <v>1107</v>
      </c>
      <c r="V84" s="10" t="s">
        <v>2015</v>
      </c>
      <c r="W84" s="10" t="s">
        <v>544</v>
      </c>
      <c r="X84" s="10" t="s">
        <v>545</v>
      </c>
      <c r="Y84" s="10" t="s">
        <v>546</v>
      </c>
      <c r="Z84" s="10" t="s">
        <v>547</v>
      </c>
      <c r="AA84" s="10" t="s">
        <v>548</v>
      </c>
      <c r="AB84" s="10" t="s">
        <v>549</v>
      </c>
      <c r="AC84" s="10" t="s">
        <v>550</v>
      </c>
    </row>
    <row r="85" spans="1:29" x14ac:dyDescent="0.25">
      <c r="A85">
        <v>84</v>
      </c>
      <c r="B85" s="10" t="s">
        <v>1132</v>
      </c>
      <c r="C85" s="10" t="s">
        <v>1133</v>
      </c>
      <c r="D85" s="10" t="s">
        <v>1134</v>
      </c>
      <c r="E85" s="10" t="s">
        <v>1135</v>
      </c>
      <c r="F85" s="10" t="s">
        <v>1136</v>
      </c>
      <c r="G85" s="10" t="s">
        <v>1137</v>
      </c>
      <c r="H85" s="10" t="s">
        <v>1138</v>
      </c>
      <c r="I85" s="10" t="s">
        <v>1674</v>
      </c>
      <c r="J85" s="10" t="s">
        <v>988</v>
      </c>
      <c r="K85" s="10" t="s">
        <v>301</v>
      </c>
      <c r="L85" s="10" t="s">
        <v>1675</v>
      </c>
      <c r="M85" s="10" t="s">
        <v>1676</v>
      </c>
      <c r="N85" s="10" t="s">
        <v>1677</v>
      </c>
      <c r="O85" s="10" t="s">
        <v>1678</v>
      </c>
      <c r="P85" s="10" t="s">
        <v>2020</v>
      </c>
      <c r="Q85" s="10" t="s">
        <v>420</v>
      </c>
      <c r="R85" s="10" t="s">
        <v>745</v>
      </c>
      <c r="S85" s="10" t="s">
        <v>129</v>
      </c>
      <c r="T85" s="10" t="s">
        <v>2021</v>
      </c>
      <c r="U85" s="10" t="s">
        <v>988</v>
      </c>
      <c r="V85" s="10" t="s">
        <v>2022</v>
      </c>
      <c r="W85" s="10" t="s">
        <v>551</v>
      </c>
      <c r="X85" s="10" t="s">
        <v>552</v>
      </c>
      <c r="Y85" s="10" t="s">
        <v>553</v>
      </c>
      <c r="Z85" s="10" t="s">
        <v>554</v>
      </c>
      <c r="AA85" s="10" t="s">
        <v>555</v>
      </c>
      <c r="AB85" s="10" t="s">
        <v>556</v>
      </c>
      <c r="AC85" s="10" t="s">
        <v>557</v>
      </c>
    </row>
    <row r="86" spans="1:29" x14ac:dyDescent="0.25">
      <c r="A86">
        <v>85</v>
      </c>
      <c r="B86" s="10" t="s">
        <v>1139</v>
      </c>
      <c r="C86" s="10" t="s">
        <v>1140</v>
      </c>
      <c r="D86" s="10" t="s">
        <v>1141</v>
      </c>
      <c r="E86" s="10" t="s">
        <v>1142</v>
      </c>
      <c r="F86" s="10" t="s">
        <v>1143</v>
      </c>
      <c r="G86" s="10" t="s">
        <v>1144</v>
      </c>
      <c r="H86" s="10" t="s">
        <v>1145</v>
      </c>
      <c r="I86" s="10" t="s">
        <v>135</v>
      </c>
      <c r="J86" s="10" t="s">
        <v>1341</v>
      </c>
      <c r="K86" s="10" t="s">
        <v>1679</v>
      </c>
      <c r="L86" s="10" t="s">
        <v>1680</v>
      </c>
      <c r="M86" s="10" t="s">
        <v>1681</v>
      </c>
      <c r="N86" s="10" t="s">
        <v>1682</v>
      </c>
      <c r="O86" s="10" t="s">
        <v>1683</v>
      </c>
      <c r="P86" s="10" t="s">
        <v>2023</v>
      </c>
      <c r="Q86" s="10" t="s">
        <v>420</v>
      </c>
      <c r="R86" s="10" t="s">
        <v>1972</v>
      </c>
      <c r="S86" s="10" t="s">
        <v>565</v>
      </c>
      <c r="T86" s="10" t="s">
        <v>2024</v>
      </c>
      <c r="U86" s="10" t="s">
        <v>2025</v>
      </c>
      <c r="V86" s="10" t="s">
        <v>2026</v>
      </c>
      <c r="W86" s="10" t="s">
        <v>558</v>
      </c>
      <c r="X86" s="10" t="s">
        <v>559</v>
      </c>
      <c r="Y86" s="10" t="s">
        <v>560</v>
      </c>
      <c r="Z86" s="10" t="s">
        <v>561</v>
      </c>
      <c r="AA86" s="10" t="s">
        <v>562</v>
      </c>
      <c r="AB86" s="10" t="s">
        <v>563</v>
      </c>
      <c r="AC86" s="10" t="s">
        <v>564</v>
      </c>
    </row>
    <row r="87" spans="1:29" x14ac:dyDescent="0.25">
      <c r="A87">
        <v>86</v>
      </c>
      <c r="B87" s="10" t="s">
        <v>1146</v>
      </c>
      <c r="C87" s="10" t="s">
        <v>1147</v>
      </c>
      <c r="D87" s="10" t="s">
        <v>1148</v>
      </c>
      <c r="E87" s="10" t="s">
        <v>1149</v>
      </c>
      <c r="F87" s="10" t="s">
        <v>1150</v>
      </c>
      <c r="G87" s="10" t="s">
        <v>1151</v>
      </c>
      <c r="H87" s="10" t="s">
        <v>1152</v>
      </c>
      <c r="I87" s="10" t="s">
        <v>1684</v>
      </c>
      <c r="J87" s="10" t="s">
        <v>1685</v>
      </c>
      <c r="K87" s="10" t="s">
        <v>295</v>
      </c>
      <c r="L87" s="10" t="s">
        <v>1686</v>
      </c>
      <c r="M87" s="10" t="s">
        <v>959</v>
      </c>
      <c r="N87" s="10" t="s">
        <v>1687</v>
      </c>
      <c r="O87" s="10" t="s">
        <v>1688</v>
      </c>
      <c r="P87" s="10" t="s">
        <v>1844</v>
      </c>
      <c r="Q87" s="10" t="s">
        <v>2027</v>
      </c>
      <c r="R87" s="10" t="s">
        <v>2028</v>
      </c>
      <c r="S87" s="10" t="s">
        <v>2029</v>
      </c>
      <c r="T87" s="10" t="s">
        <v>470</v>
      </c>
      <c r="U87" s="10" t="s">
        <v>2030</v>
      </c>
      <c r="V87" s="10" t="s">
        <v>1147</v>
      </c>
      <c r="W87" s="10" t="s">
        <v>565</v>
      </c>
      <c r="X87" s="10" t="s">
        <v>566</v>
      </c>
      <c r="Y87" s="10" t="s">
        <v>567</v>
      </c>
      <c r="Z87" s="10" t="s">
        <v>568</v>
      </c>
      <c r="AA87" s="10" t="s">
        <v>569</v>
      </c>
      <c r="AB87" s="10" t="s">
        <v>570</v>
      </c>
      <c r="AC87" s="10" t="s">
        <v>571</v>
      </c>
    </row>
    <row r="88" spans="1:29" x14ac:dyDescent="0.25">
      <c r="A88">
        <v>87</v>
      </c>
      <c r="B88" s="10" t="s">
        <v>1153</v>
      </c>
      <c r="C88" s="10" t="s">
        <v>1154</v>
      </c>
      <c r="D88" s="10" t="s">
        <v>947</v>
      </c>
      <c r="E88" s="10" t="s">
        <v>1155</v>
      </c>
      <c r="F88" s="10" t="s">
        <v>1156</v>
      </c>
      <c r="G88" s="10" t="s">
        <v>1157</v>
      </c>
      <c r="H88" s="10" t="s">
        <v>1158</v>
      </c>
      <c r="I88" s="10" t="s">
        <v>1689</v>
      </c>
      <c r="J88" s="10" t="s">
        <v>1690</v>
      </c>
      <c r="K88" s="10" t="s">
        <v>1691</v>
      </c>
      <c r="L88" s="10" t="s">
        <v>878</v>
      </c>
      <c r="M88" s="10" t="s">
        <v>1692</v>
      </c>
      <c r="N88" s="10" t="s">
        <v>1693</v>
      </c>
      <c r="O88" s="10" t="s">
        <v>1694</v>
      </c>
      <c r="P88" s="10" t="s">
        <v>1934</v>
      </c>
      <c r="Q88" s="10" t="s">
        <v>1483</v>
      </c>
      <c r="R88" s="10" t="s">
        <v>1990</v>
      </c>
      <c r="S88" s="10" t="s">
        <v>2031</v>
      </c>
      <c r="T88" s="10" t="s">
        <v>2032</v>
      </c>
      <c r="U88" s="10" t="s">
        <v>607</v>
      </c>
      <c r="V88" s="10" t="s">
        <v>2033</v>
      </c>
      <c r="W88" s="10" t="s">
        <v>572</v>
      </c>
      <c r="X88" s="10" t="s">
        <v>260</v>
      </c>
      <c r="Y88" s="10" t="s">
        <v>573</v>
      </c>
      <c r="Z88" s="10" t="s">
        <v>574</v>
      </c>
      <c r="AA88" s="10" t="s">
        <v>575</v>
      </c>
      <c r="AB88" s="10" t="s">
        <v>576</v>
      </c>
      <c r="AC88" s="10" t="s">
        <v>577</v>
      </c>
    </row>
    <row r="89" spans="1:29" x14ac:dyDescent="0.25">
      <c r="A89">
        <v>88</v>
      </c>
      <c r="B89" s="10" t="s">
        <v>1159</v>
      </c>
      <c r="C89" s="10" t="s">
        <v>1160</v>
      </c>
      <c r="D89" s="10" t="s">
        <v>1161</v>
      </c>
      <c r="E89" s="10" t="s">
        <v>1162</v>
      </c>
      <c r="F89" s="10" t="s">
        <v>1163</v>
      </c>
      <c r="G89" s="10" t="s">
        <v>1164</v>
      </c>
      <c r="H89" s="10" t="s">
        <v>1165</v>
      </c>
      <c r="I89" s="10" t="s">
        <v>1695</v>
      </c>
      <c r="J89" s="10" t="s">
        <v>1696</v>
      </c>
      <c r="K89" s="10" t="s">
        <v>1697</v>
      </c>
      <c r="L89" s="10" t="s">
        <v>1698</v>
      </c>
      <c r="M89" s="10" t="s">
        <v>1699</v>
      </c>
      <c r="N89" s="10" t="s">
        <v>1700</v>
      </c>
      <c r="O89" s="10" t="s">
        <v>1701</v>
      </c>
      <c r="P89" s="10" t="s">
        <v>2034</v>
      </c>
      <c r="Q89" s="10" t="s">
        <v>476</v>
      </c>
      <c r="R89" s="10" t="s">
        <v>2004</v>
      </c>
      <c r="S89" s="10" t="s">
        <v>2035</v>
      </c>
      <c r="T89" s="10" t="s">
        <v>177</v>
      </c>
      <c r="U89" s="10" t="s">
        <v>2036</v>
      </c>
      <c r="V89" s="10" t="s">
        <v>2037</v>
      </c>
      <c r="W89" s="10" t="s">
        <v>578</v>
      </c>
      <c r="X89" s="10" t="s">
        <v>579</v>
      </c>
      <c r="Y89" s="10" t="s">
        <v>580</v>
      </c>
      <c r="Z89" s="10" t="s">
        <v>581</v>
      </c>
      <c r="AA89" s="10" t="s">
        <v>582</v>
      </c>
      <c r="AB89" s="10" t="s">
        <v>583</v>
      </c>
      <c r="AC89" s="10" t="s">
        <v>584</v>
      </c>
    </row>
    <row r="90" spans="1:29" x14ac:dyDescent="0.25">
      <c r="A90">
        <v>89</v>
      </c>
      <c r="B90" s="10" t="s">
        <v>1166</v>
      </c>
      <c r="C90" s="10" t="s">
        <v>1167</v>
      </c>
      <c r="D90" s="10" t="s">
        <v>1168</v>
      </c>
      <c r="E90" s="10" t="s">
        <v>1169</v>
      </c>
      <c r="F90" s="10" t="s">
        <v>1170</v>
      </c>
      <c r="G90" s="10" t="s">
        <v>1171</v>
      </c>
      <c r="H90" s="10" t="s">
        <v>1172</v>
      </c>
      <c r="I90" s="10" t="s">
        <v>1702</v>
      </c>
      <c r="J90" s="10" t="s">
        <v>1703</v>
      </c>
      <c r="K90" s="10" t="s">
        <v>1434</v>
      </c>
      <c r="L90" s="10" t="s">
        <v>1704</v>
      </c>
      <c r="M90" s="10" t="s">
        <v>1705</v>
      </c>
      <c r="N90" s="10" t="s">
        <v>1706</v>
      </c>
      <c r="O90" s="10" t="s">
        <v>1707</v>
      </c>
      <c r="P90" s="10" t="s">
        <v>1465</v>
      </c>
      <c r="Q90" s="10" t="s">
        <v>745</v>
      </c>
      <c r="R90" s="10" t="s">
        <v>2038</v>
      </c>
      <c r="S90" s="10" t="s">
        <v>2039</v>
      </c>
      <c r="T90" s="10" t="s">
        <v>2040</v>
      </c>
      <c r="U90" s="10" t="s">
        <v>2041</v>
      </c>
      <c r="V90" s="10" t="s">
        <v>2042</v>
      </c>
      <c r="W90" s="10" t="s">
        <v>585</v>
      </c>
      <c r="X90" s="10" t="s">
        <v>586</v>
      </c>
      <c r="Y90" s="10" t="s">
        <v>587</v>
      </c>
      <c r="Z90" s="10" t="s">
        <v>588</v>
      </c>
      <c r="AA90" s="10" t="s">
        <v>589</v>
      </c>
      <c r="AB90" s="10" t="s">
        <v>590</v>
      </c>
      <c r="AC90" s="10" t="s">
        <v>591</v>
      </c>
    </row>
    <row r="91" spans="1:29" x14ac:dyDescent="0.25">
      <c r="A91">
        <v>90</v>
      </c>
      <c r="B91" s="10" t="s">
        <v>1173</v>
      </c>
      <c r="C91" s="10" t="s">
        <v>1174</v>
      </c>
      <c r="D91" s="10" t="s">
        <v>1175</v>
      </c>
      <c r="E91" s="10" t="s">
        <v>1176</v>
      </c>
      <c r="F91" s="10" t="s">
        <v>1177</v>
      </c>
      <c r="G91" s="10" t="s">
        <v>1178</v>
      </c>
      <c r="H91" s="10" t="s">
        <v>1179</v>
      </c>
      <c r="I91" s="10" t="s">
        <v>1708</v>
      </c>
      <c r="J91" s="10" t="s">
        <v>1709</v>
      </c>
      <c r="K91" s="10" t="s">
        <v>1710</v>
      </c>
      <c r="L91" s="10" t="s">
        <v>399</v>
      </c>
      <c r="M91" s="10" t="s">
        <v>1711</v>
      </c>
      <c r="N91" s="10" t="s">
        <v>1712</v>
      </c>
      <c r="O91" s="10" t="s">
        <v>1713</v>
      </c>
      <c r="P91" s="10" t="s">
        <v>745</v>
      </c>
      <c r="Q91" s="10" t="s">
        <v>2043</v>
      </c>
      <c r="R91" s="10" t="s">
        <v>1335</v>
      </c>
      <c r="S91" s="10" t="s">
        <v>2044</v>
      </c>
      <c r="T91" s="10" t="s">
        <v>1159</v>
      </c>
      <c r="U91" s="10" t="s">
        <v>2045</v>
      </c>
      <c r="V91" s="10" t="s">
        <v>1396</v>
      </c>
      <c r="W91" s="10" t="s">
        <v>592</v>
      </c>
      <c r="X91" s="10" t="s">
        <v>593</v>
      </c>
      <c r="Y91" s="10" t="s">
        <v>594</v>
      </c>
      <c r="Z91" s="10" t="s">
        <v>595</v>
      </c>
      <c r="AA91" s="10" t="s">
        <v>596</v>
      </c>
      <c r="AB91" s="10" t="s">
        <v>597</v>
      </c>
      <c r="AC91" s="10" t="s">
        <v>598</v>
      </c>
    </row>
    <row r="92" spans="1:29" x14ac:dyDescent="0.25">
      <c r="A92">
        <v>91</v>
      </c>
      <c r="B92" s="10" t="s">
        <v>1180</v>
      </c>
      <c r="C92" s="10" t="s">
        <v>1181</v>
      </c>
      <c r="D92" s="10" t="s">
        <v>1182</v>
      </c>
      <c r="E92" s="10" t="s">
        <v>1183</v>
      </c>
      <c r="F92" s="10" t="s">
        <v>1184</v>
      </c>
      <c r="G92" s="10" t="s">
        <v>1185</v>
      </c>
      <c r="H92" s="10" t="s">
        <v>1186</v>
      </c>
      <c r="I92" s="10" t="s">
        <v>1714</v>
      </c>
      <c r="J92" s="10" t="s">
        <v>1715</v>
      </c>
      <c r="K92" s="10" t="s">
        <v>1716</v>
      </c>
      <c r="L92" s="10" t="s">
        <v>1717</v>
      </c>
      <c r="M92" s="10" t="s">
        <v>1718</v>
      </c>
      <c r="N92" s="10" t="s">
        <v>1719</v>
      </c>
      <c r="O92" s="10" t="s">
        <v>1720</v>
      </c>
      <c r="P92" s="10" t="s">
        <v>969</v>
      </c>
      <c r="Q92" s="10" t="s">
        <v>516</v>
      </c>
      <c r="R92" s="10" t="s">
        <v>711</v>
      </c>
      <c r="S92" s="10" t="s">
        <v>2046</v>
      </c>
      <c r="T92" s="10" t="s">
        <v>2047</v>
      </c>
      <c r="U92" s="10" t="s">
        <v>2045</v>
      </c>
      <c r="V92" s="10" t="s">
        <v>1396</v>
      </c>
      <c r="W92" s="10" t="s">
        <v>599</v>
      </c>
      <c r="X92" s="10" t="s">
        <v>600</v>
      </c>
      <c r="Y92" s="10" t="s">
        <v>601</v>
      </c>
      <c r="Z92" s="10" t="s">
        <v>602</v>
      </c>
      <c r="AA92" s="10" t="s">
        <v>603</v>
      </c>
      <c r="AB92" s="10" t="s">
        <v>604</v>
      </c>
      <c r="AC92" s="10" t="s">
        <v>605</v>
      </c>
    </row>
    <row r="93" spans="1:29" x14ac:dyDescent="0.25">
      <c r="A93">
        <v>92</v>
      </c>
      <c r="B93" s="10" t="s">
        <v>1187</v>
      </c>
      <c r="C93" s="10" t="s">
        <v>1188</v>
      </c>
      <c r="D93" s="10" t="s">
        <v>1189</v>
      </c>
      <c r="E93" s="10" t="s">
        <v>1190</v>
      </c>
      <c r="F93" s="10" t="s">
        <v>1191</v>
      </c>
      <c r="G93" s="10" t="s">
        <v>1192</v>
      </c>
      <c r="H93" s="10" t="s">
        <v>1193</v>
      </c>
      <c r="I93" s="10" t="s">
        <v>1721</v>
      </c>
      <c r="J93" s="10" t="s">
        <v>761</v>
      </c>
      <c r="K93" s="10" t="s">
        <v>1722</v>
      </c>
      <c r="L93" s="10" t="s">
        <v>1723</v>
      </c>
      <c r="M93" s="10" t="s">
        <v>577</v>
      </c>
      <c r="N93" s="10" t="s">
        <v>1724</v>
      </c>
      <c r="O93" s="10" t="s">
        <v>1725</v>
      </c>
      <c r="P93" s="10" t="s">
        <v>2048</v>
      </c>
      <c r="Q93" s="10" t="s">
        <v>838</v>
      </c>
      <c r="R93" s="10" t="s">
        <v>1034</v>
      </c>
      <c r="S93" s="10" t="s">
        <v>1010</v>
      </c>
      <c r="T93" s="10" t="s">
        <v>2049</v>
      </c>
      <c r="U93" s="10" t="s">
        <v>775</v>
      </c>
      <c r="V93" s="10" t="s">
        <v>2050</v>
      </c>
      <c r="W93" s="10" t="s">
        <v>606</v>
      </c>
      <c r="X93" s="10" t="s">
        <v>607</v>
      </c>
      <c r="Y93" s="10" t="s">
        <v>608</v>
      </c>
      <c r="Z93" s="10" t="s">
        <v>609</v>
      </c>
      <c r="AA93" s="10" t="s">
        <v>610</v>
      </c>
      <c r="AB93" s="10" t="s">
        <v>611</v>
      </c>
      <c r="AC93" s="10" t="s">
        <v>612</v>
      </c>
    </row>
    <row r="94" spans="1:29" x14ac:dyDescent="0.25">
      <c r="A94">
        <v>93</v>
      </c>
      <c r="B94" s="10" t="s">
        <v>1194</v>
      </c>
      <c r="C94" s="10" t="s">
        <v>1195</v>
      </c>
      <c r="D94" s="10" t="s">
        <v>1196</v>
      </c>
      <c r="E94" s="10" t="s">
        <v>1197</v>
      </c>
      <c r="F94" s="10" t="s">
        <v>1198</v>
      </c>
      <c r="G94" s="10" t="s">
        <v>1199</v>
      </c>
      <c r="H94" s="10" t="s">
        <v>1200</v>
      </c>
      <c r="I94" s="10" t="s">
        <v>449</v>
      </c>
      <c r="J94" s="10" t="s">
        <v>235</v>
      </c>
      <c r="K94" s="10" t="s">
        <v>1726</v>
      </c>
      <c r="L94" s="10" t="s">
        <v>1727</v>
      </c>
      <c r="M94" s="10" t="s">
        <v>1728</v>
      </c>
      <c r="N94" s="10" t="s">
        <v>1729</v>
      </c>
      <c r="O94" s="10" t="s">
        <v>1730</v>
      </c>
      <c r="P94" s="10" t="s">
        <v>693</v>
      </c>
      <c r="Q94" s="10" t="s">
        <v>2051</v>
      </c>
      <c r="R94" s="10" t="s">
        <v>572</v>
      </c>
      <c r="S94" s="10" t="s">
        <v>2052</v>
      </c>
      <c r="T94" s="10" t="s">
        <v>2049</v>
      </c>
      <c r="U94" s="10" t="s">
        <v>775</v>
      </c>
      <c r="V94" s="10" t="s">
        <v>2050</v>
      </c>
      <c r="W94" s="10" t="s">
        <v>613</v>
      </c>
      <c r="X94" s="10" t="s">
        <v>614</v>
      </c>
      <c r="Y94" s="10" t="s">
        <v>615</v>
      </c>
      <c r="Z94" s="10" t="s">
        <v>616</v>
      </c>
      <c r="AA94" s="10" t="s">
        <v>617</v>
      </c>
      <c r="AB94" s="10" t="s">
        <v>618</v>
      </c>
      <c r="AC94" s="10" t="s">
        <v>619</v>
      </c>
    </row>
    <row r="95" spans="1:29" x14ac:dyDescent="0.25">
      <c r="A95">
        <v>94</v>
      </c>
      <c r="B95" s="10" t="s">
        <v>971</v>
      </c>
      <c r="C95" s="10" t="s">
        <v>1201</v>
      </c>
      <c r="D95" s="10" t="s">
        <v>1202</v>
      </c>
      <c r="E95" s="10" t="s">
        <v>1203</v>
      </c>
      <c r="F95" s="10" t="s">
        <v>1204</v>
      </c>
      <c r="G95" s="10" t="s">
        <v>1205</v>
      </c>
      <c r="H95" s="10" t="s">
        <v>1206</v>
      </c>
      <c r="I95" s="10" t="s">
        <v>1731</v>
      </c>
      <c r="J95" s="10" t="s">
        <v>1732</v>
      </c>
      <c r="K95" s="10" t="s">
        <v>1570</v>
      </c>
      <c r="L95" s="10" t="s">
        <v>1733</v>
      </c>
      <c r="M95" s="10" t="s">
        <v>1734</v>
      </c>
      <c r="N95" s="10" t="s">
        <v>1735</v>
      </c>
      <c r="O95" s="10" t="s">
        <v>1736</v>
      </c>
      <c r="P95" s="10" t="s">
        <v>1574</v>
      </c>
      <c r="Q95" s="10" t="s">
        <v>2053</v>
      </c>
      <c r="R95" s="10" t="s">
        <v>2054</v>
      </c>
      <c r="S95" s="10" t="s">
        <v>1306</v>
      </c>
      <c r="T95" s="10" t="s">
        <v>1466</v>
      </c>
      <c r="U95" s="10" t="s">
        <v>1709</v>
      </c>
      <c r="V95" s="10" t="s">
        <v>2055</v>
      </c>
      <c r="W95" s="10" t="s">
        <v>620</v>
      </c>
      <c r="X95" s="10" t="s">
        <v>267</v>
      </c>
      <c r="Y95" s="10" t="s">
        <v>621</v>
      </c>
      <c r="Z95" s="10" t="s">
        <v>622</v>
      </c>
      <c r="AA95" s="10" t="s">
        <v>623</v>
      </c>
      <c r="AB95" s="10" t="s">
        <v>624</v>
      </c>
      <c r="AC95" s="10" t="s">
        <v>625</v>
      </c>
    </row>
    <row r="96" spans="1:29" x14ac:dyDescent="0.25">
      <c r="A96">
        <v>95</v>
      </c>
      <c r="B96" s="10" t="s">
        <v>1207</v>
      </c>
      <c r="C96" s="10" t="s">
        <v>1208</v>
      </c>
      <c r="D96" s="10" t="s">
        <v>1209</v>
      </c>
      <c r="E96" s="10" t="s">
        <v>1210</v>
      </c>
      <c r="F96" s="10" t="s">
        <v>1211</v>
      </c>
      <c r="G96" s="10" t="s">
        <v>1212</v>
      </c>
      <c r="H96" s="10" t="s">
        <v>1213</v>
      </c>
      <c r="I96" s="10" t="s">
        <v>1737</v>
      </c>
      <c r="J96" s="10" t="s">
        <v>1506</v>
      </c>
      <c r="K96" s="10" t="s">
        <v>1738</v>
      </c>
      <c r="L96" s="10" t="s">
        <v>1739</v>
      </c>
      <c r="M96" s="10" t="s">
        <v>1740</v>
      </c>
      <c r="N96" s="10" t="s">
        <v>1741</v>
      </c>
      <c r="O96" s="10" t="s">
        <v>1742</v>
      </c>
      <c r="P96" s="10" t="s">
        <v>2056</v>
      </c>
      <c r="Q96" s="10" t="s">
        <v>2057</v>
      </c>
      <c r="R96" s="10" t="s">
        <v>592</v>
      </c>
      <c r="S96" s="10" t="s">
        <v>146</v>
      </c>
      <c r="T96" s="10" t="s">
        <v>2010</v>
      </c>
      <c r="U96" s="10" t="s">
        <v>2058</v>
      </c>
      <c r="V96" s="10" t="s">
        <v>2059</v>
      </c>
      <c r="W96" s="10" t="s">
        <v>626</v>
      </c>
      <c r="X96" s="10" t="s">
        <v>627</v>
      </c>
      <c r="Y96" s="10" t="s">
        <v>547</v>
      </c>
      <c r="Z96" s="10" t="s">
        <v>628</v>
      </c>
      <c r="AA96" s="10" t="s">
        <v>629</v>
      </c>
      <c r="AB96" s="10" t="s">
        <v>630</v>
      </c>
      <c r="AC96" s="10" t="s">
        <v>631</v>
      </c>
    </row>
    <row r="97" spans="1:29" x14ac:dyDescent="0.25">
      <c r="A97">
        <v>96</v>
      </c>
      <c r="B97" s="10" t="s">
        <v>559</v>
      </c>
      <c r="C97" s="10" t="s">
        <v>1214</v>
      </c>
      <c r="D97" s="10" t="s">
        <v>1215</v>
      </c>
      <c r="E97" s="10" t="s">
        <v>1216</v>
      </c>
      <c r="F97" s="10" t="s">
        <v>1217</v>
      </c>
      <c r="G97" s="10" t="s">
        <v>1218</v>
      </c>
      <c r="H97" s="10" t="s">
        <v>1219</v>
      </c>
      <c r="I97" s="10" t="s">
        <v>818</v>
      </c>
      <c r="J97" s="10" t="s">
        <v>1743</v>
      </c>
      <c r="K97" s="10" t="s">
        <v>1744</v>
      </c>
      <c r="L97" s="10" t="s">
        <v>1745</v>
      </c>
      <c r="M97" s="10" t="s">
        <v>1746</v>
      </c>
      <c r="N97" s="10" t="s">
        <v>1747</v>
      </c>
      <c r="O97" s="10" t="s">
        <v>1748</v>
      </c>
      <c r="P97" s="10" t="s">
        <v>2060</v>
      </c>
      <c r="Q97" s="10" t="s">
        <v>2061</v>
      </c>
      <c r="R97" s="10" t="s">
        <v>712</v>
      </c>
      <c r="S97" s="10" t="s">
        <v>1586</v>
      </c>
      <c r="T97" s="10" t="s">
        <v>2010</v>
      </c>
      <c r="U97" s="10" t="s">
        <v>1382</v>
      </c>
      <c r="V97" s="10" t="s">
        <v>2062</v>
      </c>
      <c r="W97" s="10" t="s">
        <v>632</v>
      </c>
      <c r="X97" s="10" t="s">
        <v>633</v>
      </c>
      <c r="Y97" s="10" t="s">
        <v>554</v>
      </c>
      <c r="Z97" s="10" t="s">
        <v>634</v>
      </c>
      <c r="AA97" s="10" t="s">
        <v>635</v>
      </c>
      <c r="AB97" s="10" t="s">
        <v>636</v>
      </c>
      <c r="AC97" s="10" t="s">
        <v>637</v>
      </c>
    </row>
    <row r="98" spans="1:29" x14ac:dyDescent="0.25">
      <c r="A98">
        <v>97</v>
      </c>
      <c r="B98" s="10" t="s">
        <v>1220</v>
      </c>
      <c r="C98" s="10" t="s">
        <v>890</v>
      </c>
      <c r="D98" s="10" t="s">
        <v>1221</v>
      </c>
      <c r="E98" s="10" t="s">
        <v>924</v>
      </c>
      <c r="F98" s="10" t="s">
        <v>1222</v>
      </c>
      <c r="G98" s="10" t="s">
        <v>1223</v>
      </c>
      <c r="H98" s="10" t="s">
        <v>1224</v>
      </c>
      <c r="I98" s="10" t="s">
        <v>1749</v>
      </c>
      <c r="J98" s="10" t="s">
        <v>1750</v>
      </c>
      <c r="K98" s="10" t="s">
        <v>1751</v>
      </c>
      <c r="L98" s="10" t="s">
        <v>1752</v>
      </c>
      <c r="M98" s="10" t="s">
        <v>1753</v>
      </c>
      <c r="N98" s="10" t="s">
        <v>1754</v>
      </c>
      <c r="O98" s="10" t="s">
        <v>1755</v>
      </c>
      <c r="P98" s="10" t="s">
        <v>2063</v>
      </c>
      <c r="Q98" s="10" t="s">
        <v>373</v>
      </c>
      <c r="R98" s="10" t="s">
        <v>2064</v>
      </c>
      <c r="S98" s="10" t="s">
        <v>725</v>
      </c>
      <c r="T98" s="10" t="s">
        <v>559</v>
      </c>
      <c r="U98" s="10" t="s">
        <v>2065</v>
      </c>
      <c r="V98" s="10" t="s">
        <v>2066</v>
      </c>
      <c r="W98" s="10" t="s">
        <v>638</v>
      </c>
      <c r="X98" s="10" t="s">
        <v>639</v>
      </c>
      <c r="Y98" s="10" t="s">
        <v>640</v>
      </c>
      <c r="Z98" s="10" t="s">
        <v>641</v>
      </c>
      <c r="AA98" s="10" t="s">
        <v>642</v>
      </c>
      <c r="AB98" s="10" t="s">
        <v>643</v>
      </c>
      <c r="AC98" s="10" t="s">
        <v>644</v>
      </c>
    </row>
    <row r="99" spans="1:29" x14ac:dyDescent="0.25">
      <c r="A99">
        <v>98</v>
      </c>
      <c r="B99" s="10" t="s">
        <v>1225</v>
      </c>
      <c r="C99" s="10" t="s">
        <v>1226</v>
      </c>
      <c r="D99" s="10" t="s">
        <v>1227</v>
      </c>
      <c r="E99" s="10" t="s">
        <v>1228</v>
      </c>
      <c r="F99" s="10" t="s">
        <v>1229</v>
      </c>
      <c r="G99" s="10" t="s">
        <v>1230</v>
      </c>
      <c r="H99" s="10" t="s">
        <v>1231</v>
      </c>
      <c r="I99" s="10" t="s">
        <v>1756</v>
      </c>
      <c r="J99" s="10" t="s">
        <v>1757</v>
      </c>
      <c r="K99" s="10" t="s">
        <v>1758</v>
      </c>
      <c r="L99" s="10" t="s">
        <v>1759</v>
      </c>
      <c r="M99" s="10" t="s">
        <v>1760</v>
      </c>
      <c r="N99" s="10" t="s">
        <v>1761</v>
      </c>
      <c r="O99" s="10" t="s">
        <v>1762</v>
      </c>
      <c r="P99" s="10" t="s">
        <v>2067</v>
      </c>
      <c r="Q99" s="10" t="s">
        <v>1310</v>
      </c>
      <c r="R99" s="10" t="s">
        <v>2064</v>
      </c>
      <c r="S99" s="10" t="s">
        <v>2068</v>
      </c>
      <c r="T99" s="10" t="s">
        <v>1402</v>
      </c>
      <c r="U99" s="10" t="s">
        <v>2065</v>
      </c>
      <c r="V99" s="10" t="s">
        <v>2066</v>
      </c>
      <c r="W99" s="10" t="s">
        <v>645</v>
      </c>
      <c r="X99" s="10" t="s">
        <v>292</v>
      </c>
      <c r="Y99" s="10" t="s">
        <v>646</v>
      </c>
      <c r="Z99" s="10" t="s">
        <v>647</v>
      </c>
      <c r="AA99" s="10" t="s">
        <v>648</v>
      </c>
      <c r="AB99" s="10" t="s">
        <v>649</v>
      </c>
      <c r="AC99" s="10" t="s">
        <v>650</v>
      </c>
    </row>
    <row r="100" spans="1:29" x14ac:dyDescent="0.25">
      <c r="A100">
        <v>99</v>
      </c>
      <c r="B100" s="10" t="s">
        <v>1225</v>
      </c>
      <c r="C100" s="10" t="s">
        <v>257</v>
      </c>
      <c r="D100" s="10" t="s">
        <v>409</v>
      </c>
      <c r="E100" s="10" t="s">
        <v>1232</v>
      </c>
      <c r="F100" s="10" t="s">
        <v>1233</v>
      </c>
      <c r="G100" s="10" t="s">
        <v>1234</v>
      </c>
      <c r="H100" s="10" t="s">
        <v>1235</v>
      </c>
      <c r="I100" s="10" t="s">
        <v>1763</v>
      </c>
      <c r="J100" s="10" t="s">
        <v>243</v>
      </c>
      <c r="K100" s="10" t="s">
        <v>1764</v>
      </c>
      <c r="L100" s="10" t="s">
        <v>1765</v>
      </c>
      <c r="M100" s="10" t="s">
        <v>1766</v>
      </c>
      <c r="N100" s="10" t="s">
        <v>1767</v>
      </c>
      <c r="O100" s="10" t="s">
        <v>1768</v>
      </c>
      <c r="P100" s="10" t="s">
        <v>705</v>
      </c>
      <c r="Q100" s="10" t="s">
        <v>2069</v>
      </c>
      <c r="R100" s="10" t="s">
        <v>2070</v>
      </c>
      <c r="S100" s="10" t="s">
        <v>2071</v>
      </c>
      <c r="T100" s="10" t="s">
        <v>2072</v>
      </c>
      <c r="U100" s="10" t="s">
        <v>2073</v>
      </c>
      <c r="V100" s="10" t="s">
        <v>2074</v>
      </c>
      <c r="W100" s="10" t="s">
        <v>156</v>
      </c>
      <c r="X100" s="10" t="s">
        <v>651</v>
      </c>
      <c r="Y100" s="10" t="s">
        <v>652</v>
      </c>
      <c r="Z100" s="10" t="s">
        <v>653</v>
      </c>
      <c r="AA100" s="10" t="s">
        <v>654</v>
      </c>
      <c r="AB100" s="10" t="s">
        <v>655</v>
      </c>
      <c r="AC100" s="10" t="s">
        <v>656</v>
      </c>
    </row>
  </sheetData>
  <pageMargins left="0.7" right="0.7" top="0.75" bottom="0.75" header="0.3" footer="0.3"/>
  <pageSetup orientation="portrait" r:id="rId1"/>
  <ignoredErrors>
    <ignoredError sqref="B66:O100 B14 B3:O13 B15:O65 C14:O14 O2 P2:AC100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107"/>
  <sheetViews>
    <sheetView topLeftCell="A74" workbookViewId="0">
      <selection activeCell="F107" sqref="F107"/>
    </sheetView>
  </sheetViews>
  <sheetFormatPr defaultColWidth="9.140625" defaultRowHeight="12" x14ac:dyDescent="0.2"/>
  <cols>
    <col min="1" max="1" width="6.28515625" style="2" bestFit="1" customWidth="1"/>
    <col min="2" max="2" width="13.28515625" style="2" bestFit="1" customWidth="1"/>
    <col min="3" max="4" width="9.140625" style="2" bestFit="1" customWidth="1"/>
    <col min="5" max="5" width="13.28515625" style="2" bestFit="1" customWidth="1"/>
    <col min="6" max="6" width="18" style="2" bestFit="1" customWidth="1"/>
    <col min="7" max="7" width="9.140625" style="2" bestFit="1" customWidth="1"/>
    <col min="8" max="8" width="10.140625" style="2" bestFit="1" customWidth="1"/>
    <col min="9" max="9" width="7.85546875" style="2" bestFit="1" customWidth="1"/>
    <col min="10" max="10" width="6.85546875" style="2" bestFit="1" customWidth="1"/>
    <col min="11" max="11" width="7.85546875" style="2" bestFit="1" customWidth="1"/>
    <col min="12" max="14" width="9.140625" style="2" bestFit="1" customWidth="1"/>
    <col min="15" max="15" width="10.140625" style="2" bestFit="1" customWidth="1"/>
    <col min="16" max="16" width="11.140625" style="5" bestFit="1" customWidth="1"/>
    <col min="17" max="17" width="10.140625" style="5" bestFit="1" customWidth="1"/>
    <col min="18" max="22" width="11.140625" style="5" bestFit="1" customWidth="1"/>
    <col min="23" max="29" width="12.28515625" style="2" bestFit="1" customWidth="1"/>
    <col min="30" max="16384" width="9.140625" style="2"/>
  </cols>
  <sheetData>
    <row r="1" spans="1:29" x14ac:dyDescent="0.2">
      <c r="A1" s="2" t="s">
        <v>28</v>
      </c>
      <c r="B1" s="2" t="s">
        <v>3</v>
      </c>
      <c r="C1" s="2" t="s">
        <v>6</v>
      </c>
      <c r="D1" s="2" t="s">
        <v>5</v>
      </c>
      <c r="E1" s="2" t="s">
        <v>1</v>
      </c>
      <c r="F1" s="2" t="s">
        <v>4</v>
      </c>
      <c r="G1" s="2" t="s">
        <v>2</v>
      </c>
      <c r="H1" s="2" t="s">
        <v>0</v>
      </c>
      <c r="I1" s="2" t="s">
        <v>17</v>
      </c>
      <c r="J1" s="2" t="s">
        <v>20</v>
      </c>
      <c r="K1" s="2" t="s">
        <v>16</v>
      </c>
      <c r="L1" s="2" t="s">
        <v>18</v>
      </c>
      <c r="M1" s="2" t="s">
        <v>19</v>
      </c>
      <c r="N1" s="2" t="s">
        <v>14</v>
      </c>
      <c r="O1" s="2" t="s">
        <v>15</v>
      </c>
      <c r="P1" s="5" t="s">
        <v>23</v>
      </c>
      <c r="Q1" s="5" t="s">
        <v>22</v>
      </c>
      <c r="R1" s="5" t="s">
        <v>27</v>
      </c>
      <c r="S1" s="5" t="s">
        <v>25</v>
      </c>
      <c r="T1" s="5" t="s">
        <v>26</v>
      </c>
      <c r="U1" s="5" t="s">
        <v>24</v>
      </c>
      <c r="V1" s="5" t="s">
        <v>21</v>
      </c>
      <c r="W1" s="2" t="s">
        <v>10</v>
      </c>
      <c r="X1" s="2" t="s">
        <v>9</v>
      </c>
      <c r="Y1" s="2" t="s">
        <v>13</v>
      </c>
      <c r="Z1" s="2" t="s">
        <v>11</v>
      </c>
      <c r="AA1" s="2" t="s">
        <v>12</v>
      </c>
      <c r="AB1" s="2" t="s">
        <v>8</v>
      </c>
      <c r="AC1" s="2" t="s">
        <v>7</v>
      </c>
    </row>
    <row r="2" spans="1:29" x14ac:dyDescent="0.2">
      <c r="A2" s="2">
        <v>1</v>
      </c>
      <c r="B2" s="3">
        <f>SUM('TOTAL VOLUME'!B2*'FedEx Rates'!B2)</f>
        <v>348.27000000000004</v>
      </c>
      <c r="C2" s="3">
        <f>SUM('TOTAL VOLUME'!C2*'FedEx Rates'!C2)</f>
        <v>109.98</v>
      </c>
      <c r="D2" s="3">
        <f>SUM('TOTAL VOLUME'!D2*'FedEx Rates'!D2)</f>
        <v>238.29000000000002</v>
      </c>
      <c r="E2" s="3">
        <f>SUM('TOTAL VOLUME'!E2*'FedEx Rates'!E2)</f>
        <v>238.29000000000002</v>
      </c>
      <c r="F2" s="3">
        <f>SUM('TOTAL VOLUME'!F2*'FedEx Rates'!F2)</f>
        <v>177.19</v>
      </c>
      <c r="G2" s="3">
        <f>SUM('TOTAL VOLUME'!G2*'FedEx Rates'!G2)</f>
        <v>54.99</v>
      </c>
      <c r="H2" s="3">
        <f>SUM('TOTAL VOLUME'!H2*'FedEx Rates'!H2)</f>
        <v>207.74</v>
      </c>
      <c r="I2" s="3">
        <f>SUM('TOTAL VOLUME'!I2*'FedEx Rates'!I2)</f>
        <v>52.83</v>
      </c>
      <c r="J2" s="3">
        <f>SUM('TOTAL VOLUME'!J2*'FedEx Rates'!J2)</f>
        <v>5.87</v>
      </c>
      <c r="K2" s="3">
        <f>SUM('TOTAL VOLUME'!K2*'FedEx Rates'!K2)</f>
        <v>29.35</v>
      </c>
      <c r="L2" s="3">
        <f>SUM('TOTAL VOLUME'!L2*'FedEx Rates'!L2)</f>
        <v>41.09</v>
      </c>
      <c r="M2" s="3">
        <f>SUM('TOTAL VOLUME'!M2*'FedEx Rates'!M2)</f>
        <v>35.22</v>
      </c>
      <c r="N2" s="3">
        <f>SUM('TOTAL VOLUME'!N2*'FedEx Rates'!N2)</f>
        <v>11.74</v>
      </c>
      <c r="O2" s="3">
        <f>SUM('TOTAL VOLUME'!O2*'FedEx Rates'!O2)</f>
        <v>115.33000000000001</v>
      </c>
      <c r="P2" s="3">
        <f>SUM('TOTAL VOLUME'!P2*'FedEx Rates'!P2)</f>
        <v>20843.75</v>
      </c>
      <c r="Q2" s="3">
        <f>SUM('TOTAL VOLUME'!Q2*'FedEx Rates'!Q2)</f>
        <v>7537.5</v>
      </c>
      <c r="R2" s="3">
        <f>SUM('TOTAL VOLUME'!R2*'FedEx Rates'!R2)</f>
        <v>17393.75</v>
      </c>
      <c r="S2" s="3">
        <f>SUM('TOTAL VOLUME'!S2*'FedEx Rates'!S2)</f>
        <v>22393.75</v>
      </c>
      <c r="T2" s="3">
        <f>SUM('TOTAL VOLUME'!T2*'FedEx Rates'!T2)</f>
        <v>6231.25</v>
      </c>
      <c r="U2" s="3">
        <f>SUM('TOTAL VOLUME'!U2*'FedEx Rates'!U2)</f>
        <v>2612.5</v>
      </c>
      <c r="V2" s="3">
        <f>SUM('TOTAL VOLUME'!V2*'FedEx Rates'!V2)</f>
        <v>6281.25</v>
      </c>
      <c r="W2" s="3">
        <f>SUM('TOTAL VOLUME'!W2*'FedEx Rates'!W2)</f>
        <v>3498.8799999999997</v>
      </c>
      <c r="X2" s="3">
        <f>SUM('TOTAL VOLUME'!X2*'FedEx Rates'!X2)</f>
        <v>577.93999999999994</v>
      </c>
      <c r="Y2" s="3">
        <f>SUM('TOTAL VOLUME'!Y2*'FedEx Rates'!Y2)</f>
        <v>773.18999999999994</v>
      </c>
      <c r="Z2" s="3">
        <f>SUM('TOTAL VOLUME'!Z2*'FedEx Rates'!Z2)</f>
        <v>1257.4099999999999</v>
      </c>
      <c r="AA2" s="3">
        <f>SUM('TOTAL VOLUME'!AA2*'FedEx Rates'!AA2)</f>
        <v>984.06</v>
      </c>
      <c r="AB2" s="3">
        <f>SUM('TOTAL VOLUME'!AB2*'FedEx Rates'!AB2)</f>
        <v>615</v>
      </c>
      <c r="AC2" s="3">
        <f>SUM('TOTAL VOLUME'!AC2*'FedEx Rates'!AC2)</f>
        <v>2096.58</v>
      </c>
    </row>
    <row r="3" spans="1:29" x14ac:dyDescent="0.2">
      <c r="A3" s="2">
        <v>2</v>
      </c>
      <c r="B3" s="3">
        <f>SUM('TOTAL VOLUME'!B3*'FedEx Rates'!B3)</f>
        <v>262.73</v>
      </c>
      <c r="C3" s="3">
        <f>SUM('TOTAL VOLUME'!C3*'FedEx Rates'!C3)</f>
        <v>122.2</v>
      </c>
      <c r="D3" s="3">
        <f>SUM('TOTAL VOLUME'!D3*'FedEx Rates'!D3)</f>
        <v>152.75</v>
      </c>
      <c r="E3" s="3">
        <f>SUM('TOTAL VOLUME'!E3*'FedEx Rates'!E3)</f>
        <v>183.3</v>
      </c>
      <c r="F3" s="3">
        <f>SUM('TOTAL VOLUME'!F3*'FedEx Rates'!F3)</f>
        <v>146.64000000000001</v>
      </c>
      <c r="G3" s="3">
        <f>SUM('TOTAL VOLUME'!G3*'FedEx Rates'!G3)</f>
        <v>103.87</v>
      </c>
      <c r="H3" s="3">
        <f>SUM('TOTAL VOLUME'!H3*'FedEx Rates'!H3)</f>
        <v>293.28000000000003</v>
      </c>
      <c r="I3" s="3">
        <f>SUM('TOTAL VOLUME'!I3*'FedEx Rates'!I3)</f>
        <v>11.74</v>
      </c>
      <c r="J3" s="3">
        <f>SUM('TOTAL VOLUME'!J3*'FedEx Rates'!J3)</f>
        <v>5.87</v>
      </c>
      <c r="K3" s="3">
        <f>SUM('TOTAL VOLUME'!K3*'FedEx Rates'!K3)</f>
        <v>17.61</v>
      </c>
      <c r="L3" s="3">
        <f>SUM('TOTAL VOLUME'!L3*'FedEx Rates'!L3)</f>
        <v>29.35</v>
      </c>
      <c r="M3" s="3">
        <f>SUM('TOTAL VOLUME'!M3*'FedEx Rates'!M3)</f>
        <v>41.09</v>
      </c>
      <c r="N3" s="3">
        <f>SUM('TOTAL VOLUME'!N3*'FedEx Rates'!N3)</f>
        <v>12.18</v>
      </c>
      <c r="O3" s="3">
        <f>SUM('TOTAL VOLUME'!O3*'FedEx Rates'!O3)</f>
        <v>49.35</v>
      </c>
      <c r="P3" s="3">
        <f>SUM('TOTAL VOLUME'!P3*'FedEx Rates'!P3)</f>
        <v>25262.5</v>
      </c>
      <c r="Q3" s="3">
        <f>SUM('TOTAL VOLUME'!Q3*'FedEx Rates'!Q3)</f>
        <v>7387.5</v>
      </c>
      <c r="R3" s="3">
        <f>SUM('TOTAL VOLUME'!R3*'FedEx Rates'!R3)</f>
        <v>10462.5</v>
      </c>
      <c r="S3" s="3">
        <f>SUM('TOTAL VOLUME'!S3*'FedEx Rates'!S3)</f>
        <v>12112.5</v>
      </c>
      <c r="T3" s="3">
        <f>SUM('TOTAL VOLUME'!T3*'FedEx Rates'!T3)</f>
        <v>5625</v>
      </c>
      <c r="U3" s="3">
        <f>SUM('TOTAL VOLUME'!U3*'FedEx Rates'!U3)</f>
        <v>2637.5</v>
      </c>
      <c r="V3" s="3">
        <f>SUM('TOTAL VOLUME'!V3*'FedEx Rates'!V3)</f>
        <v>6881.25</v>
      </c>
      <c r="W3" s="3">
        <f>SUM('TOTAL VOLUME'!W3*'FedEx Rates'!W3)</f>
        <v>3545.74</v>
      </c>
      <c r="X3" s="3">
        <f>SUM('TOTAL VOLUME'!X3*'FedEx Rates'!X3)</f>
        <v>616.99</v>
      </c>
      <c r="Y3" s="3">
        <f>SUM('TOTAL VOLUME'!Y3*'FedEx Rates'!Y3)</f>
        <v>648.23</v>
      </c>
      <c r="Z3" s="3">
        <f>SUM('TOTAL VOLUME'!Z3*'FedEx Rates'!Z3)</f>
        <v>1312.08</v>
      </c>
      <c r="AA3" s="3">
        <f>SUM('TOTAL VOLUME'!AA3*'FedEx Rates'!AA3)</f>
        <v>1077.78</v>
      </c>
      <c r="AB3" s="3">
        <f>SUM('TOTAL VOLUME'!AB3*'FedEx Rates'!AB3)</f>
        <v>674.66</v>
      </c>
      <c r="AC3" s="3">
        <f>SUM('TOTAL VOLUME'!AC3*'FedEx Rates'!AC3)</f>
        <v>2531.29</v>
      </c>
    </row>
    <row r="4" spans="1:29" x14ac:dyDescent="0.2">
      <c r="A4" s="2">
        <v>3</v>
      </c>
      <c r="B4" s="3">
        <f>SUM('TOTAL VOLUME'!B4*'FedEx Rates'!B4)</f>
        <v>354.38</v>
      </c>
      <c r="C4" s="3">
        <f>SUM('TOTAL VOLUME'!C4*'FedEx Rates'!C4)</f>
        <v>103.87</v>
      </c>
      <c r="D4" s="3">
        <f>SUM('TOTAL VOLUME'!D4*'FedEx Rates'!D4)</f>
        <v>79.430000000000007</v>
      </c>
      <c r="E4" s="3">
        <f>SUM('TOTAL VOLUME'!E4*'FedEx Rates'!E4)</f>
        <v>109.98</v>
      </c>
      <c r="F4" s="3">
        <f>SUM('TOTAL VOLUME'!F4*'FedEx Rates'!F4)</f>
        <v>118.35</v>
      </c>
      <c r="G4" s="3">
        <f>SUM('TOTAL VOLUME'!G4*'FedEx Rates'!G4)</f>
        <v>203.09</v>
      </c>
      <c r="H4" s="3">
        <f>SUM('TOTAL VOLUME'!H4*'FedEx Rates'!H4)</f>
        <v>451.29</v>
      </c>
      <c r="I4" s="3">
        <f>SUM('TOTAL VOLUME'!I4*'FedEx Rates'!I4)</f>
        <v>11.74</v>
      </c>
      <c r="J4" s="3">
        <f>SUM('TOTAL VOLUME'!J4*'FedEx Rates'!J4)</f>
        <v>11.74</v>
      </c>
      <c r="K4" s="3">
        <f>SUM('TOTAL VOLUME'!K4*'FedEx Rates'!K4)</f>
        <v>5.87</v>
      </c>
      <c r="L4" s="3">
        <f>SUM('TOTAL VOLUME'!L4*'FedEx Rates'!L4)</f>
        <v>29.35</v>
      </c>
      <c r="M4" s="3">
        <f>SUM('TOTAL VOLUME'!M4*'FedEx Rates'!M4)</f>
        <v>25.8</v>
      </c>
      <c r="N4" s="3">
        <f>SUM('TOTAL VOLUME'!N4*'FedEx Rates'!N4)</f>
        <v>47.74</v>
      </c>
      <c r="O4" s="3">
        <f>SUM('TOTAL VOLUME'!O4*'FedEx Rates'!O4)</f>
        <v>95.52</v>
      </c>
      <c r="P4" s="3">
        <f>SUM('TOTAL VOLUME'!P4*'FedEx Rates'!P4)</f>
        <v>9031.25</v>
      </c>
      <c r="Q4" s="3">
        <f>SUM('TOTAL VOLUME'!Q4*'FedEx Rates'!Q4)</f>
        <v>2881.25</v>
      </c>
      <c r="R4" s="3">
        <f>SUM('TOTAL VOLUME'!R4*'FedEx Rates'!R4)</f>
        <v>3068.75</v>
      </c>
      <c r="S4" s="3">
        <f>SUM('TOTAL VOLUME'!S4*'FedEx Rates'!S4)</f>
        <v>3675</v>
      </c>
      <c r="T4" s="3">
        <f>SUM('TOTAL VOLUME'!T4*'FedEx Rates'!T4)</f>
        <v>2312.5</v>
      </c>
      <c r="U4" s="3">
        <f>SUM('TOTAL VOLUME'!U4*'FedEx Rates'!U4)</f>
        <v>1218.75</v>
      </c>
      <c r="V4" s="3">
        <f>SUM('TOTAL VOLUME'!V4*'FedEx Rates'!V4)</f>
        <v>3100</v>
      </c>
      <c r="W4" s="3">
        <f>SUM('TOTAL VOLUME'!W4*'FedEx Rates'!W4)</f>
        <v>4311.12</v>
      </c>
      <c r="X4" s="3">
        <f>SUM('TOTAL VOLUME'!X4*'FedEx Rates'!X4)</f>
        <v>585.75</v>
      </c>
      <c r="Y4" s="3">
        <f>SUM('TOTAL VOLUME'!Y4*'FedEx Rates'!Y4)</f>
        <v>905.95999999999992</v>
      </c>
      <c r="Z4" s="3">
        <f>SUM('TOTAL VOLUME'!Z4*'FedEx Rates'!Z4)</f>
        <v>2029.22</v>
      </c>
      <c r="AA4" s="3">
        <f>SUM('TOTAL VOLUME'!AA4*'FedEx Rates'!AA4)</f>
        <v>1764.7500000000002</v>
      </c>
      <c r="AB4" s="3">
        <f>SUM('TOTAL VOLUME'!AB4*'FedEx Rates'!AB4)</f>
        <v>914.4799999999999</v>
      </c>
      <c r="AC4" s="3">
        <f>SUM('TOTAL VOLUME'!AC4*'FedEx Rates'!AC4)</f>
        <v>2942.9399999999996</v>
      </c>
    </row>
    <row r="5" spans="1:29" x14ac:dyDescent="0.2">
      <c r="A5" s="2">
        <v>4</v>
      </c>
      <c r="B5" s="3">
        <f>SUM('TOTAL VOLUME'!B5*'FedEx Rates'!B5)</f>
        <v>116.09</v>
      </c>
      <c r="C5" s="3">
        <f>SUM('TOTAL VOLUME'!C5*'FedEx Rates'!C5)</f>
        <v>79.430000000000007</v>
      </c>
      <c r="D5" s="3">
        <f>SUM('TOTAL VOLUME'!D5*'FedEx Rates'!D5)</f>
        <v>73.320000000000007</v>
      </c>
      <c r="E5" s="3">
        <f>SUM('TOTAL VOLUME'!E5*'FedEx Rates'!E5)</f>
        <v>276.51</v>
      </c>
      <c r="F5" s="3">
        <f>SUM('TOTAL VOLUME'!F5*'FedEx Rates'!F5)</f>
        <v>383.03999999999996</v>
      </c>
      <c r="G5" s="3">
        <f>SUM('TOTAL VOLUME'!G5*'FedEx Rates'!G5)</f>
        <v>403.6</v>
      </c>
      <c r="H5" s="3">
        <f>SUM('TOTAL VOLUME'!H5*'FedEx Rates'!H5)</f>
        <v>1739.68</v>
      </c>
      <c r="I5" s="3">
        <f>SUM('TOTAL VOLUME'!I5*'FedEx Rates'!I5)</f>
        <v>0</v>
      </c>
      <c r="J5" s="3">
        <f>SUM('TOTAL VOLUME'!J5*'FedEx Rates'!J5)</f>
        <v>5.87</v>
      </c>
      <c r="K5" s="3">
        <f>SUM('TOTAL VOLUME'!K5*'FedEx Rates'!K5)</f>
        <v>5.87</v>
      </c>
      <c r="L5" s="3">
        <f>SUM('TOTAL VOLUME'!L5*'FedEx Rates'!L5)</f>
        <v>41.09</v>
      </c>
      <c r="M5" s="3">
        <f>SUM('TOTAL VOLUME'!M5*'FedEx Rates'!M5)</f>
        <v>61.11</v>
      </c>
      <c r="N5" s="3">
        <f>SUM('TOTAL VOLUME'!N5*'FedEx Rates'!N5)</f>
        <v>93.48</v>
      </c>
      <c r="O5" s="3">
        <f>SUM('TOTAL VOLUME'!O5*'FedEx Rates'!O5)</f>
        <v>747.02</v>
      </c>
      <c r="P5" s="3">
        <f>SUM('TOTAL VOLUME'!P5*'FedEx Rates'!P5)</f>
        <v>7093.75</v>
      </c>
      <c r="Q5" s="3">
        <f>SUM('TOTAL VOLUME'!Q5*'FedEx Rates'!Q5)</f>
        <v>3518.75</v>
      </c>
      <c r="R5" s="3">
        <f>SUM('TOTAL VOLUME'!R5*'FedEx Rates'!R5)</f>
        <v>5368.75</v>
      </c>
      <c r="S5" s="3">
        <f>SUM('TOTAL VOLUME'!S5*'FedEx Rates'!S5)</f>
        <v>10100</v>
      </c>
      <c r="T5" s="3">
        <f>SUM('TOTAL VOLUME'!T5*'FedEx Rates'!T5)</f>
        <v>14262.5</v>
      </c>
      <c r="U5" s="3">
        <f>SUM('TOTAL VOLUME'!U5*'FedEx Rates'!U5)</f>
        <v>9312.5</v>
      </c>
      <c r="V5" s="3">
        <f>SUM('TOTAL VOLUME'!V5*'FedEx Rates'!V5)</f>
        <v>19343.75</v>
      </c>
      <c r="W5" s="3">
        <f>SUM('TOTAL VOLUME'!W5*'FedEx Rates'!W5)</f>
        <v>3553.5499999999997</v>
      </c>
      <c r="X5" s="3">
        <f>SUM('TOTAL VOLUME'!X5*'FedEx Rates'!X5)</f>
        <v>656.04</v>
      </c>
      <c r="Y5" s="3">
        <f>SUM('TOTAL VOLUME'!Y5*'FedEx Rates'!Y5)</f>
        <v>1468.25</v>
      </c>
      <c r="Z5" s="3">
        <f>SUM('TOTAL VOLUME'!Z5*'FedEx Rates'!Z5)</f>
        <v>3223.5000000000005</v>
      </c>
      <c r="AA5" s="3">
        <f>SUM('TOTAL VOLUME'!AA5*'FedEx Rates'!AA5)</f>
        <v>2998.7000000000003</v>
      </c>
      <c r="AB5" s="3">
        <f>SUM('TOTAL VOLUME'!AB5*'FedEx Rates'!AB5)</f>
        <v>1683.2399999999998</v>
      </c>
      <c r="AC5" s="3">
        <f>SUM('TOTAL VOLUME'!AC5*'FedEx Rates'!AC5)</f>
        <v>6608</v>
      </c>
    </row>
    <row r="6" spans="1:29" x14ac:dyDescent="0.2">
      <c r="A6" s="2">
        <v>5</v>
      </c>
      <c r="B6" s="3">
        <f>SUM('TOTAL VOLUME'!B6*'FedEx Rates'!B6)</f>
        <v>36.660000000000004</v>
      </c>
      <c r="C6" s="3">
        <f>SUM('TOTAL VOLUME'!C6*'FedEx Rates'!C6)</f>
        <v>18.330000000000002</v>
      </c>
      <c r="D6" s="3">
        <f>SUM('TOTAL VOLUME'!D6*'FedEx Rates'!D6)</f>
        <v>18.330000000000002</v>
      </c>
      <c r="E6" s="3">
        <f>SUM('TOTAL VOLUME'!E6*'FedEx Rates'!E6)</f>
        <v>196.75</v>
      </c>
      <c r="F6" s="3">
        <f>SUM('TOTAL VOLUME'!F6*'FedEx Rates'!F6)</f>
        <v>152.85</v>
      </c>
      <c r="G6" s="3">
        <f>SUM('TOTAL VOLUME'!G6*'FedEx Rates'!G6)</f>
        <v>146.12</v>
      </c>
      <c r="H6" s="3">
        <f>SUM('TOTAL VOLUME'!H6*'FedEx Rates'!H6)</f>
        <v>619.84</v>
      </c>
      <c r="I6" s="3">
        <f>SUM('TOTAL VOLUME'!I6*'FedEx Rates'!I6)</f>
        <v>11.74</v>
      </c>
      <c r="J6" s="3">
        <f>SUM('TOTAL VOLUME'!J6*'FedEx Rates'!J6)</f>
        <v>0</v>
      </c>
      <c r="K6" s="3">
        <f>SUM('TOTAL VOLUME'!K6*'FedEx Rates'!K6)</f>
        <v>17.61</v>
      </c>
      <c r="L6" s="3">
        <f>SUM('TOTAL VOLUME'!L6*'FedEx Rates'!L6)</f>
        <v>18.03</v>
      </c>
      <c r="M6" s="3">
        <f>SUM('TOTAL VOLUME'!M6*'FedEx Rates'!M6)</f>
        <v>38.5</v>
      </c>
      <c r="N6" s="3">
        <f>SUM('TOTAL VOLUME'!N6*'FedEx Rates'!N6)</f>
        <v>94.6</v>
      </c>
      <c r="O6" s="3">
        <f>SUM('TOTAL VOLUME'!O6*'FedEx Rates'!O6)</f>
        <v>336.93</v>
      </c>
      <c r="P6" s="3">
        <f>SUM('TOTAL VOLUME'!P6*'FedEx Rates'!P6)</f>
        <v>5450</v>
      </c>
      <c r="Q6" s="3">
        <f>SUM('TOTAL VOLUME'!Q6*'FedEx Rates'!Q6)</f>
        <v>2281.25</v>
      </c>
      <c r="R6" s="3">
        <f>SUM('TOTAL VOLUME'!R6*'FedEx Rates'!R6)</f>
        <v>3412.5</v>
      </c>
      <c r="S6" s="3">
        <f>SUM('TOTAL VOLUME'!S6*'FedEx Rates'!S6)</f>
        <v>6731.25</v>
      </c>
      <c r="T6" s="3">
        <f>SUM('TOTAL VOLUME'!T6*'FedEx Rates'!T6)</f>
        <v>6087.5</v>
      </c>
      <c r="U6" s="3">
        <f>SUM('TOTAL VOLUME'!U6*'FedEx Rates'!U6)</f>
        <v>2812.5</v>
      </c>
      <c r="V6" s="3">
        <f>SUM('TOTAL VOLUME'!V6*'FedEx Rates'!V6)</f>
        <v>8165.44</v>
      </c>
      <c r="W6" s="3">
        <f>SUM('TOTAL VOLUME'!W6*'FedEx Rates'!W6)</f>
        <v>5732.54</v>
      </c>
      <c r="X6" s="3">
        <f>SUM('TOTAL VOLUME'!X6*'FedEx Rates'!X6)</f>
        <v>913.77</v>
      </c>
      <c r="Y6" s="3">
        <f>SUM('TOTAL VOLUME'!Y6*'FedEx Rates'!Y6)</f>
        <v>1354.06</v>
      </c>
      <c r="Z6" s="3">
        <f>SUM('TOTAL VOLUME'!Z6*'FedEx Rates'!Z6)</f>
        <v>3561.9</v>
      </c>
      <c r="AA6" s="3">
        <f>SUM('TOTAL VOLUME'!AA6*'FedEx Rates'!AA6)</f>
        <v>2834.1600000000003</v>
      </c>
      <c r="AB6" s="3">
        <f>SUM('TOTAL VOLUME'!AB6*'FedEx Rates'!AB6)</f>
        <v>1684.76</v>
      </c>
      <c r="AC6" s="3">
        <f>SUM('TOTAL VOLUME'!AC6*'FedEx Rates'!AC6)</f>
        <v>6265.95</v>
      </c>
    </row>
    <row r="7" spans="1:29" x14ac:dyDescent="0.2">
      <c r="A7" s="2">
        <v>6</v>
      </c>
      <c r="B7" s="3">
        <f>SUM('TOTAL VOLUME'!B7*'FedEx Rates'!B7)</f>
        <v>42.77</v>
      </c>
      <c r="C7" s="3">
        <f>SUM('TOTAL VOLUME'!C7*'FedEx Rates'!C7)</f>
        <v>24.44</v>
      </c>
      <c r="D7" s="3">
        <f>SUM('TOTAL VOLUME'!D7*'FedEx Rates'!D7)</f>
        <v>36.72</v>
      </c>
      <c r="E7" s="3">
        <f>SUM('TOTAL VOLUME'!E7*'FedEx Rates'!E7)</f>
        <v>94.6</v>
      </c>
      <c r="F7" s="3">
        <f>SUM('TOTAL VOLUME'!F7*'FedEx Rates'!F7)</f>
        <v>56.6</v>
      </c>
      <c r="G7" s="3">
        <f>SUM('TOTAL VOLUME'!G7*'FedEx Rates'!G7)</f>
        <v>49.96</v>
      </c>
      <c r="H7" s="3">
        <f>SUM('TOTAL VOLUME'!H7*'FedEx Rates'!H7)</f>
        <v>326.25</v>
      </c>
      <c r="I7" s="3">
        <f>SUM('TOTAL VOLUME'!I7*'FedEx Rates'!I7)</f>
        <v>11.74</v>
      </c>
      <c r="J7" s="3">
        <f>SUM('TOTAL VOLUME'!J7*'FedEx Rates'!J7)</f>
        <v>11.74</v>
      </c>
      <c r="K7" s="3">
        <f>SUM('TOTAL VOLUME'!K7*'FedEx Rates'!K7)</f>
        <v>0</v>
      </c>
      <c r="L7" s="3">
        <f>SUM('TOTAL VOLUME'!L7*'FedEx Rates'!L7)</f>
        <v>28.32</v>
      </c>
      <c r="M7" s="3">
        <f>SUM('TOTAL VOLUME'!M7*'FedEx Rates'!M7)</f>
        <v>45.25</v>
      </c>
      <c r="N7" s="3">
        <f>SUM('TOTAL VOLUME'!N7*'FedEx Rates'!N7)</f>
        <v>9.56</v>
      </c>
      <c r="O7" s="3">
        <f>SUM('TOTAL VOLUME'!O7*'FedEx Rates'!O7)</f>
        <v>104.58</v>
      </c>
      <c r="P7" s="3">
        <f>SUM('TOTAL VOLUME'!P7*'FedEx Rates'!P7)</f>
        <v>6631.25</v>
      </c>
      <c r="Q7" s="3">
        <f>SUM('TOTAL VOLUME'!Q7*'FedEx Rates'!Q7)</f>
        <v>2831.25</v>
      </c>
      <c r="R7" s="3">
        <f>SUM('TOTAL VOLUME'!R7*'FedEx Rates'!R7)</f>
        <v>1775</v>
      </c>
      <c r="S7" s="3">
        <f>SUM('TOTAL VOLUME'!S7*'FedEx Rates'!S7)</f>
        <v>2512.5</v>
      </c>
      <c r="T7" s="3">
        <f>SUM('TOTAL VOLUME'!T7*'FedEx Rates'!T7)</f>
        <v>1843.75</v>
      </c>
      <c r="U7" s="3">
        <f>SUM('TOTAL VOLUME'!U7*'FedEx Rates'!U7)</f>
        <v>731.25</v>
      </c>
      <c r="V7" s="3">
        <f>SUM('TOTAL VOLUME'!V7*'FedEx Rates'!V7)</f>
        <v>3798.48</v>
      </c>
      <c r="W7" s="3">
        <f>SUM('TOTAL VOLUME'!W7*'FedEx Rates'!W7)</f>
        <v>3686.3199999999997</v>
      </c>
      <c r="X7" s="3">
        <f>SUM('TOTAL VOLUME'!X7*'FedEx Rates'!X7)</f>
        <v>609.17999999999995</v>
      </c>
      <c r="Y7" s="3">
        <f>SUM('TOTAL VOLUME'!Y7*'FedEx Rates'!Y7)</f>
        <v>530.20000000000005</v>
      </c>
      <c r="Z7" s="3">
        <f>SUM('TOTAL VOLUME'!Z7*'FedEx Rates'!Z7)</f>
        <v>1815.29</v>
      </c>
      <c r="AA7" s="3">
        <f>SUM('TOTAL VOLUME'!AA7*'FedEx Rates'!AA7)</f>
        <v>1126.6200000000001</v>
      </c>
      <c r="AB7" s="3">
        <f>SUM('TOTAL VOLUME'!AB7*'FedEx Rates'!AB7)</f>
        <v>853.40000000000009</v>
      </c>
      <c r="AC7" s="3">
        <f>SUM('TOTAL VOLUME'!AC7*'FedEx Rates'!AC7)</f>
        <v>3154.69</v>
      </c>
    </row>
    <row r="8" spans="1:29" x14ac:dyDescent="0.2">
      <c r="A8" s="2">
        <v>7</v>
      </c>
      <c r="B8" s="3">
        <f>SUM('TOTAL VOLUME'!B8*'FedEx Rates'!B8)</f>
        <v>12.22</v>
      </c>
      <c r="C8" s="3">
        <f>SUM('TOTAL VOLUME'!C8*'FedEx Rates'!C8)</f>
        <v>0</v>
      </c>
      <c r="D8" s="3">
        <f>SUM('TOTAL VOLUME'!D8*'FedEx Rates'!D8)</f>
        <v>13.26</v>
      </c>
      <c r="E8" s="3">
        <f>SUM('TOTAL VOLUME'!E8*'FedEx Rates'!E8)</f>
        <v>206.8</v>
      </c>
      <c r="F8" s="3">
        <f>SUM('TOTAL VOLUME'!F8*'FedEx Rates'!F8)</f>
        <v>127.4</v>
      </c>
      <c r="G8" s="3">
        <f>SUM('TOTAL VOLUME'!G8*'FedEx Rates'!G8)</f>
        <v>180.18</v>
      </c>
      <c r="H8" s="3">
        <f>SUM('TOTAL VOLUME'!H8*'FedEx Rates'!H8)</f>
        <v>532.06000000000006</v>
      </c>
      <c r="I8" s="3">
        <f>SUM('TOTAL VOLUME'!I8*'FedEx Rates'!I8)</f>
        <v>5.87</v>
      </c>
      <c r="J8" s="3">
        <f>SUM('TOTAL VOLUME'!J8*'FedEx Rates'!J8)</f>
        <v>0</v>
      </c>
      <c r="K8" s="3">
        <f>SUM('TOTAL VOLUME'!K8*'FedEx Rates'!K8)</f>
        <v>6.19</v>
      </c>
      <c r="L8" s="3">
        <f>SUM('TOTAL VOLUME'!L8*'FedEx Rates'!L8)</f>
        <v>28.88</v>
      </c>
      <c r="M8" s="3">
        <f>SUM('TOTAL VOLUME'!M8*'FedEx Rates'!M8)</f>
        <v>19.079999999999998</v>
      </c>
      <c r="N8" s="3">
        <f>SUM('TOTAL VOLUME'!N8*'FedEx Rates'!N8)</f>
        <v>43.24</v>
      </c>
      <c r="O8" s="3">
        <f>SUM('TOTAL VOLUME'!O8*'FedEx Rates'!O8)</f>
        <v>169.4</v>
      </c>
      <c r="P8" s="3">
        <f>SUM('TOTAL VOLUME'!P8*'FedEx Rates'!P8)</f>
        <v>3156.25</v>
      </c>
      <c r="Q8" s="3">
        <f>SUM('TOTAL VOLUME'!Q8*'FedEx Rates'!Q8)</f>
        <v>912.5</v>
      </c>
      <c r="R8" s="3">
        <f>SUM('TOTAL VOLUME'!R8*'FedEx Rates'!R8)</f>
        <v>2237.5</v>
      </c>
      <c r="S8" s="3">
        <f>SUM('TOTAL VOLUME'!S8*'FedEx Rates'!S8)</f>
        <v>6481.25</v>
      </c>
      <c r="T8" s="3">
        <f>SUM('TOTAL VOLUME'!T8*'FedEx Rates'!T8)</f>
        <v>4650</v>
      </c>
      <c r="U8" s="3">
        <f>SUM('TOTAL VOLUME'!U8*'FedEx Rates'!U8)</f>
        <v>2385.06</v>
      </c>
      <c r="V8" s="3">
        <f>SUM('TOTAL VOLUME'!V8*'FedEx Rates'!V8)</f>
        <v>5695</v>
      </c>
      <c r="W8" s="3">
        <f>SUM('TOTAL VOLUME'!W8*'FedEx Rates'!W8)</f>
        <v>1249.5999999999999</v>
      </c>
      <c r="X8" s="3">
        <f>SUM('TOTAL VOLUME'!X8*'FedEx Rates'!X8)</f>
        <v>234.29999999999998</v>
      </c>
      <c r="Y8" s="3">
        <f>SUM('TOTAL VOLUME'!Y8*'FedEx Rates'!Y8)</f>
        <v>694.83</v>
      </c>
      <c r="Z8" s="3">
        <f>SUM('TOTAL VOLUME'!Z8*'FedEx Rates'!Z8)</f>
        <v>2236.36</v>
      </c>
      <c r="AA8" s="3">
        <f>SUM('TOTAL VOLUME'!AA8*'FedEx Rates'!AA8)</f>
        <v>2083.84</v>
      </c>
      <c r="AB8" s="3">
        <f>SUM('TOTAL VOLUME'!AB8*'FedEx Rates'!AB8)</f>
        <v>1270.7</v>
      </c>
      <c r="AC8" s="3">
        <f>SUM('TOTAL VOLUME'!AC8*'FedEx Rates'!AC8)</f>
        <v>3441.54</v>
      </c>
    </row>
    <row r="9" spans="1:29" x14ac:dyDescent="0.2">
      <c r="A9" s="2">
        <v>8</v>
      </c>
      <c r="B9" s="3">
        <f>SUM('TOTAL VOLUME'!B9*'FedEx Rates'!B9)</f>
        <v>18.330000000000002</v>
      </c>
      <c r="C9" s="3">
        <f>SUM('TOTAL VOLUME'!C9*'FedEx Rates'!C9)</f>
        <v>6.11</v>
      </c>
      <c r="D9" s="3">
        <f>SUM('TOTAL VOLUME'!D9*'FedEx Rates'!D9)</f>
        <v>71</v>
      </c>
      <c r="E9" s="3">
        <f>SUM('TOTAL VOLUME'!E9*'FedEx Rates'!E9)</f>
        <v>235.75</v>
      </c>
      <c r="F9" s="3">
        <f>SUM('TOTAL VOLUME'!F9*'FedEx Rates'!F9)</f>
        <v>239.53</v>
      </c>
      <c r="G9" s="3">
        <f>SUM('TOTAL VOLUME'!G9*'FedEx Rates'!G9)</f>
        <v>198.51</v>
      </c>
      <c r="H9" s="3">
        <f>SUM('TOTAL VOLUME'!H9*'FedEx Rates'!H9)</f>
        <v>981.46</v>
      </c>
      <c r="I9" s="3">
        <f>SUM('TOTAL VOLUME'!I9*'FedEx Rates'!I9)</f>
        <v>29.35</v>
      </c>
      <c r="J9" s="3">
        <f>SUM('TOTAL VOLUME'!J9*'FedEx Rates'!J9)</f>
        <v>0</v>
      </c>
      <c r="K9" s="3">
        <f>SUM('TOTAL VOLUME'!K9*'FedEx Rates'!K9)</f>
        <v>12.8</v>
      </c>
      <c r="L9" s="3">
        <f>SUM('TOTAL VOLUME'!L9*'FedEx Rates'!L9)</f>
        <v>31.04</v>
      </c>
      <c r="M9" s="3">
        <f>SUM('TOTAL VOLUME'!M9*'FedEx Rates'!M9)</f>
        <v>73.36</v>
      </c>
      <c r="N9" s="3">
        <f>SUM('TOTAL VOLUME'!N9*'FedEx Rates'!N9)</f>
        <v>82.81</v>
      </c>
      <c r="O9" s="3">
        <f>SUM('TOTAL VOLUME'!O9*'FedEx Rates'!O9)</f>
        <v>211.52</v>
      </c>
      <c r="P9" s="3">
        <f>SUM('TOTAL VOLUME'!P9*'FedEx Rates'!P9)</f>
        <v>1612.5</v>
      </c>
      <c r="Q9" s="3">
        <f>SUM('TOTAL VOLUME'!Q9*'FedEx Rates'!Q9)</f>
        <v>1106.25</v>
      </c>
      <c r="R9" s="3">
        <f>SUM('TOTAL VOLUME'!R9*'FedEx Rates'!R9)</f>
        <v>2487.5</v>
      </c>
      <c r="S9" s="3">
        <f>SUM('TOTAL VOLUME'!S9*'FedEx Rates'!S9)</f>
        <v>10750</v>
      </c>
      <c r="T9" s="3">
        <f>SUM('TOTAL VOLUME'!T9*'FedEx Rates'!T9)</f>
        <v>6956.25</v>
      </c>
      <c r="U9" s="3">
        <f>SUM('TOTAL VOLUME'!U9*'FedEx Rates'!U9)</f>
        <v>4049.22</v>
      </c>
      <c r="V9" s="3">
        <f>SUM('TOTAL VOLUME'!V9*'FedEx Rates'!V9)</f>
        <v>8954.19</v>
      </c>
      <c r="W9" s="3">
        <f>SUM('TOTAL VOLUME'!W9*'FedEx Rates'!W9)</f>
        <v>843.4799999999999</v>
      </c>
      <c r="X9" s="3">
        <f>SUM('TOTAL VOLUME'!X9*'FedEx Rates'!X9)</f>
        <v>218.67999999999998</v>
      </c>
      <c r="Y9" s="3">
        <f>SUM('TOTAL VOLUME'!Y9*'FedEx Rates'!Y9)</f>
        <v>777.74</v>
      </c>
      <c r="Z9" s="3">
        <f>SUM('TOTAL VOLUME'!Z9*'FedEx Rates'!Z9)</f>
        <v>1706.3999999999999</v>
      </c>
      <c r="AA9" s="3">
        <f>SUM('TOTAL VOLUME'!AA9*'FedEx Rates'!AA9)</f>
        <v>1289.6000000000001</v>
      </c>
      <c r="AB9" s="3">
        <f>SUM('TOTAL VOLUME'!AB9*'FedEx Rates'!AB9)</f>
        <v>943.16</v>
      </c>
      <c r="AC9" s="3">
        <f>SUM('TOTAL VOLUME'!AC9*'FedEx Rates'!AC9)</f>
        <v>2987.0099999999998</v>
      </c>
    </row>
    <row r="10" spans="1:29" x14ac:dyDescent="0.2">
      <c r="A10" s="2">
        <v>9</v>
      </c>
      <c r="B10" s="3">
        <f>SUM('TOTAL VOLUME'!B10*'FedEx Rates'!B10)</f>
        <v>0</v>
      </c>
      <c r="C10" s="3">
        <f>SUM('TOTAL VOLUME'!C10*'FedEx Rates'!C10)</f>
        <v>18.72</v>
      </c>
      <c r="D10" s="3">
        <f>SUM('TOTAL VOLUME'!D10*'FedEx Rates'!D10)</f>
        <v>145.72999999999999</v>
      </c>
      <c r="E10" s="3">
        <f>SUM('TOTAL VOLUME'!E10*'FedEx Rates'!E10)</f>
        <v>495</v>
      </c>
      <c r="F10" s="3">
        <f>SUM('TOTAL VOLUME'!F10*'FedEx Rates'!F10)</f>
        <v>490.56</v>
      </c>
      <c r="G10" s="3">
        <f>SUM('TOTAL VOLUME'!G10*'FedEx Rates'!G10)</f>
        <v>335</v>
      </c>
      <c r="H10" s="3">
        <f>SUM('TOTAL VOLUME'!H10*'FedEx Rates'!H10)</f>
        <v>1719.63</v>
      </c>
      <c r="I10" s="3">
        <f>SUM('TOTAL VOLUME'!I10*'FedEx Rates'!I10)</f>
        <v>0</v>
      </c>
      <c r="J10" s="3">
        <f>SUM('TOTAL VOLUME'!J10*'FedEx Rates'!J10)</f>
        <v>0</v>
      </c>
      <c r="K10" s="3">
        <f>SUM('TOTAL VOLUME'!K10*'FedEx Rates'!K10)</f>
        <v>27.32</v>
      </c>
      <c r="L10" s="3">
        <f>SUM('TOTAL VOLUME'!L10*'FedEx Rates'!L10)</f>
        <v>40.4</v>
      </c>
      <c r="M10" s="3">
        <f>SUM('TOTAL VOLUME'!M10*'FedEx Rates'!M10)</f>
        <v>75.740000000000009</v>
      </c>
      <c r="N10" s="3">
        <f>SUM('TOTAL VOLUME'!N10*'FedEx Rates'!N10)</f>
        <v>116.82000000000001</v>
      </c>
      <c r="O10" s="3">
        <f>SUM('TOTAL VOLUME'!O10*'FedEx Rates'!O10)</f>
        <v>675.45</v>
      </c>
      <c r="P10" s="3">
        <f>SUM('TOTAL VOLUME'!P10*'FedEx Rates'!P10)</f>
        <v>1818.75</v>
      </c>
      <c r="Q10" s="3">
        <f>SUM('TOTAL VOLUME'!Q10*'FedEx Rates'!Q10)</f>
        <v>2112.5</v>
      </c>
      <c r="R10" s="3">
        <f>SUM('TOTAL VOLUME'!R10*'FedEx Rates'!R10)</f>
        <v>6162.5</v>
      </c>
      <c r="S10" s="3">
        <f>SUM('TOTAL VOLUME'!S10*'FedEx Rates'!S10)</f>
        <v>14031.25</v>
      </c>
      <c r="T10" s="3">
        <f>SUM('TOTAL VOLUME'!T10*'FedEx Rates'!T10)</f>
        <v>9433.82</v>
      </c>
      <c r="U10" s="3">
        <f>SUM('TOTAL VOLUME'!U10*'FedEx Rates'!U10)</f>
        <v>6142.68</v>
      </c>
      <c r="V10" s="3">
        <f>SUM('TOTAL VOLUME'!V10*'FedEx Rates'!V10)</f>
        <v>12278.42</v>
      </c>
      <c r="W10" s="3">
        <f>SUM('TOTAL VOLUME'!W10*'FedEx Rates'!W10)</f>
        <v>781</v>
      </c>
      <c r="X10" s="3">
        <f>SUM('TOTAL VOLUME'!X10*'FedEx Rates'!X10)</f>
        <v>429.54999999999995</v>
      </c>
      <c r="Y10" s="3">
        <f>SUM('TOTAL VOLUME'!Y10*'FedEx Rates'!Y10)</f>
        <v>1358.75</v>
      </c>
      <c r="Z10" s="3">
        <f>SUM('TOTAL VOLUME'!Z10*'FedEx Rates'!Z10)</f>
        <v>2699.03</v>
      </c>
      <c r="AA10" s="3">
        <f>SUM('TOTAL VOLUME'!AA10*'FedEx Rates'!AA10)</f>
        <v>1545.0400000000002</v>
      </c>
      <c r="AB10" s="3">
        <f>SUM('TOTAL VOLUME'!AB10*'FedEx Rates'!AB10)</f>
        <v>1353.1499999999999</v>
      </c>
      <c r="AC10" s="3">
        <f>SUM('TOTAL VOLUME'!AC10*'FedEx Rates'!AC10)</f>
        <v>4775.1000000000004</v>
      </c>
    </row>
    <row r="11" spans="1:29" x14ac:dyDescent="0.2">
      <c r="A11" s="2">
        <v>10</v>
      </c>
      <c r="B11" s="3">
        <f>SUM('TOTAL VOLUME'!B11*'FedEx Rates'!B11)</f>
        <v>12.22</v>
      </c>
      <c r="C11" s="3">
        <f>SUM('TOTAL VOLUME'!C11*'FedEx Rates'!C11)</f>
        <v>0</v>
      </c>
      <c r="D11" s="3">
        <f>SUM('TOTAL VOLUME'!D11*'FedEx Rates'!D11)</f>
        <v>16.52</v>
      </c>
      <c r="E11" s="3">
        <f>SUM('TOTAL VOLUME'!E11*'FedEx Rates'!E11)</f>
        <v>105.75</v>
      </c>
      <c r="F11" s="3">
        <f>SUM('TOTAL VOLUME'!F11*'FedEx Rates'!F11)</f>
        <v>163.70000000000002</v>
      </c>
      <c r="G11" s="3">
        <f>SUM('TOTAL VOLUME'!G11*'FedEx Rates'!G11)</f>
        <v>163.98</v>
      </c>
      <c r="H11" s="3">
        <f>SUM('TOTAL VOLUME'!H11*'FedEx Rates'!H11)</f>
        <v>375.79999999999995</v>
      </c>
      <c r="I11" s="3">
        <f>SUM('TOTAL VOLUME'!I11*'FedEx Rates'!I11)</f>
        <v>11.74</v>
      </c>
      <c r="J11" s="3">
        <f>SUM('TOTAL VOLUME'!J11*'FedEx Rates'!J11)</f>
        <v>5.87</v>
      </c>
      <c r="K11" s="3">
        <f>SUM('TOTAL VOLUME'!K11*'FedEx Rates'!K11)</f>
        <v>21.03</v>
      </c>
      <c r="L11" s="3">
        <f>SUM('TOTAL VOLUME'!L11*'FedEx Rates'!L11)</f>
        <v>0</v>
      </c>
      <c r="M11" s="3">
        <f>SUM('TOTAL VOLUME'!M11*'FedEx Rates'!M11)</f>
        <v>22.98</v>
      </c>
      <c r="N11" s="3">
        <f>SUM('TOTAL VOLUME'!N11*'FedEx Rates'!N11)</f>
        <v>41.910000000000004</v>
      </c>
      <c r="O11" s="3">
        <f>SUM('TOTAL VOLUME'!O11*'FedEx Rates'!O11)</f>
        <v>355.96</v>
      </c>
      <c r="P11" s="3">
        <f>SUM('TOTAL VOLUME'!P11*'FedEx Rates'!P11)</f>
        <v>8900</v>
      </c>
      <c r="Q11" s="3">
        <f>SUM('TOTAL VOLUME'!Q11*'FedEx Rates'!Q11)</f>
        <v>1631.25</v>
      </c>
      <c r="R11" s="3">
        <f>SUM('TOTAL VOLUME'!R11*'FedEx Rates'!R11)</f>
        <v>2568.75</v>
      </c>
      <c r="S11" s="3">
        <f>SUM('TOTAL VOLUME'!S11*'FedEx Rates'!S11)</f>
        <v>10237.5</v>
      </c>
      <c r="T11" s="3">
        <f>SUM('TOTAL VOLUME'!T11*'FedEx Rates'!T11)</f>
        <v>2658.6</v>
      </c>
      <c r="U11" s="3">
        <f>SUM('TOTAL VOLUME'!U11*'FedEx Rates'!U11)</f>
        <v>4274.2</v>
      </c>
      <c r="V11" s="3">
        <f>SUM('TOTAL VOLUME'!V11*'FedEx Rates'!V11)</f>
        <v>8305.2999999999993</v>
      </c>
      <c r="W11" s="3">
        <f>SUM('TOTAL VOLUME'!W11*'FedEx Rates'!W11)</f>
        <v>710.70999999999992</v>
      </c>
      <c r="X11" s="3">
        <f>SUM('TOTAL VOLUME'!X11*'FedEx Rates'!X11)</f>
        <v>546.69999999999993</v>
      </c>
      <c r="Y11" s="3">
        <f>SUM('TOTAL VOLUME'!Y11*'FedEx Rates'!Y11)</f>
        <v>1364</v>
      </c>
      <c r="Z11" s="3">
        <f>SUM('TOTAL VOLUME'!Z11*'FedEx Rates'!Z11)</f>
        <v>2691.61</v>
      </c>
      <c r="AA11" s="3">
        <f>SUM('TOTAL VOLUME'!AA11*'FedEx Rates'!AA11)</f>
        <v>1831.3500000000001</v>
      </c>
      <c r="AB11" s="3">
        <f>SUM('TOTAL VOLUME'!AB11*'FedEx Rates'!AB11)</f>
        <v>1070.8399999999999</v>
      </c>
      <c r="AC11" s="3">
        <f>SUM('TOTAL VOLUME'!AC11*'FedEx Rates'!AC11)</f>
        <v>4818</v>
      </c>
    </row>
    <row r="12" spans="1:29" x14ac:dyDescent="0.2">
      <c r="A12" s="2">
        <v>11</v>
      </c>
      <c r="B12" s="3">
        <f>SUM('TOTAL VOLUME'!B12*'FedEx Rates'!B12)</f>
        <v>18.330000000000002</v>
      </c>
      <c r="C12" s="3">
        <f>SUM('TOTAL VOLUME'!C12*'FedEx Rates'!C12)</f>
        <v>0</v>
      </c>
      <c r="D12" s="3">
        <f>SUM('TOTAL VOLUME'!D12*'FedEx Rates'!D12)</f>
        <v>43.2</v>
      </c>
      <c r="E12" s="3">
        <f>SUM('TOTAL VOLUME'!E12*'FedEx Rates'!E12)</f>
        <v>226.26</v>
      </c>
      <c r="F12" s="3">
        <f>SUM('TOTAL VOLUME'!F12*'FedEx Rates'!F12)</f>
        <v>88.350000000000009</v>
      </c>
      <c r="G12" s="3">
        <f>SUM('TOTAL VOLUME'!G12*'FedEx Rates'!G12)</f>
        <v>351.54</v>
      </c>
      <c r="H12" s="3">
        <f>SUM('TOTAL VOLUME'!H12*'FedEx Rates'!H12)</f>
        <v>427.56</v>
      </c>
      <c r="I12" s="3">
        <f>SUM('TOTAL VOLUME'!I12*'FedEx Rates'!I12)</f>
        <v>0</v>
      </c>
      <c r="J12" s="3">
        <f>SUM('TOTAL VOLUME'!J12*'FedEx Rates'!J12)</f>
        <v>0</v>
      </c>
      <c r="K12" s="3">
        <f>SUM('TOTAL VOLUME'!K12*'FedEx Rates'!K12)</f>
        <v>0</v>
      </c>
      <c r="L12" s="3">
        <f>SUM('TOTAL VOLUME'!L12*'FedEx Rates'!L12)</f>
        <v>9.17</v>
      </c>
      <c r="M12" s="3">
        <f>SUM('TOTAL VOLUME'!M12*'FedEx Rates'!M12)</f>
        <v>12.74</v>
      </c>
      <c r="N12" s="3">
        <f>SUM('TOTAL VOLUME'!N12*'FedEx Rates'!N12)</f>
        <v>44.97</v>
      </c>
      <c r="O12" s="3">
        <f>SUM('TOTAL VOLUME'!O12*'FedEx Rates'!O12)</f>
        <v>156.06</v>
      </c>
      <c r="P12" s="3">
        <f>SUM('TOTAL VOLUME'!P12*'FedEx Rates'!P12)</f>
        <v>11212.5</v>
      </c>
      <c r="Q12" s="3">
        <f>SUM('TOTAL VOLUME'!Q12*'FedEx Rates'!Q12)</f>
        <v>4806.25</v>
      </c>
      <c r="R12" s="3">
        <f>SUM('TOTAL VOLUME'!R12*'FedEx Rates'!R12)</f>
        <v>3375</v>
      </c>
      <c r="S12" s="3">
        <f>SUM('TOTAL VOLUME'!S12*'FedEx Rates'!S12)</f>
        <v>10018.75</v>
      </c>
      <c r="T12" s="3">
        <f>SUM('TOTAL VOLUME'!T12*'FedEx Rates'!T12)</f>
        <v>3476.3399999999997</v>
      </c>
      <c r="U12" s="3">
        <f>SUM('TOTAL VOLUME'!U12*'FedEx Rates'!U12)</f>
        <v>5967.14</v>
      </c>
      <c r="V12" s="3">
        <f>SUM('TOTAL VOLUME'!V12*'FedEx Rates'!V12)</f>
        <v>13727.84</v>
      </c>
      <c r="W12" s="3">
        <f>SUM('TOTAL VOLUME'!W12*'FedEx Rates'!W12)</f>
        <v>570.13</v>
      </c>
      <c r="X12" s="3">
        <f>SUM('TOTAL VOLUME'!X12*'FedEx Rates'!X12)</f>
        <v>499.84</v>
      </c>
      <c r="Y12" s="3">
        <f>SUM('TOTAL VOLUME'!Y12*'FedEx Rates'!Y12)</f>
        <v>1019.16</v>
      </c>
      <c r="Z12" s="3">
        <f>SUM('TOTAL VOLUME'!Z12*'FedEx Rates'!Z12)</f>
        <v>3124.17</v>
      </c>
      <c r="AA12" s="3">
        <f>SUM('TOTAL VOLUME'!AA12*'FedEx Rates'!AA12)</f>
        <v>2184.16</v>
      </c>
      <c r="AB12" s="3">
        <f>SUM('TOTAL VOLUME'!AB12*'FedEx Rates'!AB12)</f>
        <v>1711.5600000000002</v>
      </c>
      <c r="AC12" s="3">
        <f>SUM('TOTAL VOLUME'!AC12*'FedEx Rates'!AC12)</f>
        <v>5820.8</v>
      </c>
    </row>
    <row r="13" spans="1:29" x14ac:dyDescent="0.2">
      <c r="A13" s="2">
        <v>12</v>
      </c>
      <c r="B13" s="3">
        <f>SUM('TOTAL VOLUME'!B13*'FedEx Rates'!B13)</f>
        <v>18.450000000000003</v>
      </c>
      <c r="C13" s="3">
        <f>SUM('TOTAL VOLUME'!C13*'FedEx Rates'!C13)</f>
        <v>37.049999999999997</v>
      </c>
      <c r="D13" s="3">
        <f>SUM('TOTAL VOLUME'!D13*'FedEx Rates'!D13)</f>
        <v>72.88</v>
      </c>
      <c r="E13" s="3">
        <f>SUM('TOTAL VOLUME'!E13*'FedEx Rates'!E13)</f>
        <v>159.35999999999999</v>
      </c>
      <c r="F13" s="3">
        <f>SUM('TOTAL VOLUME'!F13*'FedEx Rates'!F13)</f>
        <v>304.64</v>
      </c>
      <c r="G13" s="3">
        <f>SUM('TOTAL VOLUME'!G13*'FedEx Rates'!G13)</f>
        <v>230.12</v>
      </c>
      <c r="H13" s="3">
        <f>SUM('TOTAL VOLUME'!H13*'FedEx Rates'!H13)</f>
        <v>576.17999999999995</v>
      </c>
      <c r="I13" s="3">
        <f>SUM('TOTAL VOLUME'!I13*'FedEx Rates'!I13)</f>
        <v>5.87</v>
      </c>
      <c r="J13" s="3">
        <f>SUM('TOTAL VOLUME'!J13*'FedEx Rates'!J13)</f>
        <v>0</v>
      </c>
      <c r="K13" s="3">
        <f>SUM('TOTAL VOLUME'!K13*'FedEx Rates'!K13)</f>
        <v>0</v>
      </c>
      <c r="L13" s="3">
        <f>SUM('TOTAL VOLUME'!L13*'FedEx Rates'!L13)</f>
        <v>0</v>
      </c>
      <c r="M13" s="3">
        <f>SUM('TOTAL VOLUME'!M13*'FedEx Rates'!M13)</f>
        <v>81.179999999999993</v>
      </c>
      <c r="N13" s="3">
        <f>SUM('TOTAL VOLUME'!N13*'FedEx Rates'!N13)</f>
        <v>95.64</v>
      </c>
      <c r="O13" s="3">
        <f>SUM('TOTAL VOLUME'!O13*'FedEx Rates'!O13)</f>
        <v>164.88</v>
      </c>
      <c r="P13" s="3">
        <f>SUM('TOTAL VOLUME'!P13*'FedEx Rates'!P13)</f>
        <v>4012.5</v>
      </c>
      <c r="Q13" s="3">
        <f>SUM('TOTAL VOLUME'!Q13*'FedEx Rates'!Q13)</f>
        <v>712.5</v>
      </c>
      <c r="R13" s="3">
        <f>SUM('TOTAL VOLUME'!R13*'FedEx Rates'!R13)</f>
        <v>1968.75</v>
      </c>
      <c r="S13" s="3">
        <f>SUM('TOTAL VOLUME'!S13*'FedEx Rates'!S13)</f>
        <v>4975</v>
      </c>
      <c r="T13" s="3">
        <f>SUM('TOTAL VOLUME'!T13*'FedEx Rates'!T13)</f>
        <v>1819.8</v>
      </c>
      <c r="U13" s="3">
        <f>SUM('TOTAL VOLUME'!U13*'FedEx Rates'!U13)</f>
        <v>1952.6499999999999</v>
      </c>
      <c r="V13" s="3">
        <f>SUM('TOTAL VOLUME'!V13*'FedEx Rates'!V13)</f>
        <v>6105.7100000000009</v>
      </c>
      <c r="W13" s="3">
        <f>SUM('TOTAL VOLUME'!W13*'FedEx Rates'!W13)</f>
        <v>757.56999999999994</v>
      </c>
      <c r="X13" s="3">
        <f>SUM('TOTAL VOLUME'!X13*'FedEx Rates'!X13)</f>
        <v>291.56</v>
      </c>
      <c r="Y13" s="3">
        <f>SUM('TOTAL VOLUME'!Y13*'FedEx Rates'!Y13)</f>
        <v>946.68000000000006</v>
      </c>
      <c r="Z13" s="3">
        <f>SUM('TOTAL VOLUME'!Z13*'FedEx Rates'!Z13)</f>
        <v>2400.39</v>
      </c>
      <c r="AA13" s="3">
        <f>SUM('TOTAL VOLUME'!AA13*'FedEx Rates'!AA13)</f>
        <v>2812.3199999999997</v>
      </c>
      <c r="AB13" s="3">
        <f>SUM('TOTAL VOLUME'!AB13*'FedEx Rates'!AB13)</f>
        <v>1371.2</v>
      </c>
      <c r="AC13" s="3">
        <f>SUM('TOTAL VOLUME'!AC13*'FedEx Rates'!AC13)</f>
        <v>4562.28</v>
      </c>
    </row>
    <row r="14" spans="1:29" x14ac:dyDescent="0.2">
      <c r="A14" s="2">
        <v>13</v>
      </c>
      <c r="B14" s="3">
        <f>SUM('TOTAL VOLUME'!B14*'FedEx Rates'!B14)</f>
        <v>6.58</v>
      </c>
      <c r="C14" s="3">
        <f>SUM('TOTAL VOLUME'!C14*'FedEx Rates'!C14)</f>
        <v>7.8</v>
      </c>
      <c r="D14" s="3">
        <f>SUM('TOTAL VOLUME'!D14*'FedEx Rates'!D14)</f>
        <v>56.760000000000005</v>
      </c>
      <c r="E14" s="3">
        <f>SUM('TOTAL VOLUME'!E14*'FedEx Rates'!E14)</f>
        <v>253.44</v>
      </c>
      <c r="F14" s="3">
        <f>SUM('TOTAL VOLUME'!F14*'FedEx Rates'!F14)</f>
        <v>162.24</v>
      </c>
      <c r="G14" s="3">
        <f>SUM('TOTAL VOLUME'!G14*'FedEx Rates'!G14)</f>
        <v>87.84</v>
      </c>
      <c r="H14" s="3">
        <f>SUM('TOTAL VOLUME'!H14*'FedEx Rates'!H14)</f>
        <v>368.48</v>
      </c>
      <c r="I14" s="3">
        <f>SUM('TOTAL VOLUME'!I14*'FedEx Rates'!I14)</f>
        <v>0</v>
      </c>
      <c r="J14" s="3">
        <f>SUM('TOTAL VOLUME'!J14*'FedEx Rates'!J14)</f>
        <v>0</v>
      </c>
      <c r="K14" s="3">
        <f>SUM('TOTAL VOLUME'!K14*'FedEx Rates'!K14)</f>
        <v>0</v>
      </c>
      <c r="L14" s="3">
        <f>SUM('TOTAL VOLUME'!L14*'FedEx Rates'!L14)</f>
        <v>0</v>
      </c>
      <c r="M14" s="3">
        <f>SUM('TOTAL VOLUME'!M14*'FedEx Rates'!M14)</f>
        <v>0</v>
      </c>
      <c r="N14" s="3">
        <f>SUM('TOTAL VOLUME'!N14*'FedEx Rates'!N14)</f>
        <v>32.06</v>
      </c>
      <c r="O14" s="3">
        <f>SUM('TOTAL VOLUME'!O14*'FedEx Rates'!O14)</f>
        <v>97.15</v>
      </c>
      <c r="P14" s="3">
        <f>SUM('TOTAL VOLUME'!P14*'FedEx Rates'!P14)</f>
        <v>3225</v>
      </c>
      <c r="Q14" s="3">
        <f>SUM('TOTAL VOLUME'!Q14*'FedEx Rates'!Q14)</f>
        <v>668.75</v>
      </c>
      <c r="R14" s="3">
        <f>SUM('TOTAL VOLUME'!R14*'FedEx Rates'!R14)</f>
        <v>1525</v>
      </c>
      <c r="S14" s="3">
        <f>SUM('TOTAL VOLUME'!S14*'FedEx Rates'!S14)</f>
        <v>3493.34</v>
      </c>
      <c r="T14" s="3">
        <f>SUM('TOTAL VOLUME'!T14*'FedEx Rates'!T14)</f>
        <v>3099.7000000000003</v>
      </c>
      <c r="U14" s="3">
        <f>SUM('TOTAL VOLUME'!U14*'FedEx Rates'!U14)</f>
        <v>837.54000000000008</v>
      </c>
      <c r="V14" s="3">
        <f>SUM('TOTAL VOLUME'!V14*'FedEx Rates'!V14)</f>
        <v>5885.0599999999995</v>
      </c>
      <c r="W14" s="3">
        <f>SUM('TOTAL VOLUME'!W14*'FedEx Rates'!W14)</f>
        <v>570.13</v>
      </c>
      <c r="X14" s="3">
        <f>SUM('TOTAL VOLUME'!X14*'FedEx Rates'!X14)</f>
        <v>159.19999999999999</v>
      </c>
      <c r="Y14" s="3">
        <f>SUM('TOTAL VOLUME'!Y14*'FedEx Rates'!Y14)</f>
        <v>715.53</v>
      </c>
      <c r="Z14" s="3">
        <f>SUM('TOTAL VOLUME'!Z14*'FedEx Rates'!Z14)</f>
        <v>1367.01</v>
      </c>
      <c r="AA14" s="3">
        <f>SUM('TOTAL VOLUME'!AA14*'FedEx Rates'!AA14)</f>
        <v>773.72</v>
      </c>
      <c r="AB14" s="3">
        <f>SUM('TOTAL VOLUME'!AB14*'FedEx Rates'!AB14)</f>
        <v>839.7</v>
      </c>
      <c r="AC14" s="3">
        <f>SUM('TOTAL VOLUME'!AC14*'FedEx Rates'!AC14)</f>
        <v>2607.11</v>
      </c>
    </row>
    <row r="15" spans="1:29" x14ac:dyDescent="0.2">
      <c r="A15" s="2">
        <v>14</v>
      </c>
      <c r="B15" s="3">
        <f>SUM('TOTAL VOLUME'!B15*'FedEx Rates'!B15)</f>
        <v>13.82</v>
      </c>
      <c r="C15" s="3">
        <f>SUM('TOTAL VOLUME'!C15*'FedEx Rates'!C15)</f>
        <v>8.2100000000000009</v>
      </c>
      <c r="D15" s="3">
        <f>SUM('TOTAL VOLUME'!D15*'FedEx Rates'!D15)</f>
        <v>120.96000000000001</v>
      </c>
      <c r="E15" s="3">
        <f>SUM('TOTAL VOLUME'!E15*'FedEx Rates'!E15)</f>
        <v>223.20000000000002</v>
      </c>
      <c r="F15" s="3">
        <f>SUM('TOTAL VOLUME'!F15*'FedEx Rates'!F15)</f>
        <v>107.6</v>
      </c>
      <c r="G15" s="3">
        <f>SUM('TOTAL VOLUME'!G15*'FedEx Rates'!G15)</f>
        <v>161.76999999999998</v>
      </c>
      <c r="H15" s="3">
        <f>SUM('TOTAL VOLUME'!H15*'FedEx Rates'!H15)</f>
        <v>288.84000000000003</v>
      </c>
      <c r="I15" s="3">
        <f>SUM('TOTAL VOLUME'!I15*'FedEx Rates'!I15)</f>
        <v>12.92</v>
      </c>
      <c r="J15" s="3">
        <f>SUM('TOTAL VOLUME'!J15*'FedEx Rates'!J15)</f>
        <v>7.76</v>
      </c>
      <c r="K15" s="3">
        <f>SUM('TOTAL VOLUME'!K15*'FedEx Rates'!K15)</f>
        <v>0</v>
      </c>
      <c r="L15" s="3">
        <f>SUM('TOTAL VOLUME'!L15*'FedEx Rates'!L15)</f>
        <v>57.35</v>
      </c>
      <c r="M15" s="3">
        <f>SUM('TOTAL VOLUME'!M15*'FedEx Rates'!M15)</f>
        <v>14.54</v>
      </c>
      <c r="N15" s="3">
        <f>SUM('TOTAL VOLUME'!N15*'FedEx Rates'!N15)</f>
        <v>67.400000000000006</v>
      </c>
      <c r="O15" s="3">
        <f>SUM('TOTAL VOLUME'!O15*'FedEx Rates'!O15)</f>
        <v>81.8</v>
      </c>
      <c r="P15" s="3">
        <f>SUM('TOTAL VOLUME'!P15*'FedEx Rates'!P15)</f>
        <v>13675</v>
      </c>
      <c r="Q15" s="3">
        <f>SUM('TOTAL VOLUME'!Q15*'FedEx Rates'!Q15)</f>
        <v>3943.75</v>
      </c>
      <c r="R15" s="3">
        <f>SUM('TOTAL VOLUME'!R15*'FedEx Rates'!R15)</f>
        <v>7993.75</v>
      </c>
      <c r="S15" s="3">
        <f>SUM('TOTAL VOLUME'!S15*'FedEx Rates'!S15)</f>
        <v>10634</v>
      </c>
      <c r="T15" s="3">
        <f>SUM('TOTAL VOLUME'!T15*'FedEx Rates'!T15)</f>
        <v>10326.75</v>
      </c>
      <c r="U15" s="3">
        <f>SUM('TOTAL VOLUME'!U15*'FedEx Rates'!U15)</f>
        <v>4457.5200000000004</v>
      </c>
      <c r="V15" s="3">
        <f>SUM('TOTAL VOLUME'!V15*'FedEx Rates'!V15)</f>
        <v>27520.07</v>
      </c>
      <c r="W15" s="3">
        <f>SUM('TOTAL VOLUME'!W15*'FedEx Rates'!W15)</f>
        <v>921.57999999999993</v>
      </c>
      <c r="X15" s="3">
        <f>SUM('TOTAL VOLUME'!X15*'FedEx Rates'!X15)</f>
        <v>145.08000000000001</v>
      </c>
      <c r="Y15" s="3">
        <f>SUM('TOTAL VOLUME'!Y15*'FedEx Rates'!Y15)</f>
        <v>761.28</v>
      </c>
      <c r="Z15" s="3">
        <f>SUM('TOTAL VOLUME'!Z15*'FedEx Rates'!Z15)</f>
        <v>1782</v>
      </c>
      <c r="AA15" s="3">
        <f>SUM('TOTAL VOLUME'!AA15*'FedEx Rates'!AA15)</f>
        <v>908.81999999999994</v>
      </c>
      <c r="AB15" s="3">
        <f>SUM('TOTAL VOLUME'!AB15*'FedEx Rates'!AB15)</f>
        <v>940.49999999999989</v>
      </c>
      <c r="AC15" s="3">
        <f>SUM('TOTAL VOLUME'!AC15*'FedEx Rates'!AC15)</f>
        <v>1919.0000000000002</v>
      </c>
    </row>
    <row r="16" spans="1:29" x14ac:dyDescent="0.2">
      <c r="A16" s="2">
        <v>15</v>
      </c>
      <c r="B16" s="3">
        <f>SUM('TOTAL VOLUME'!B16*'FedEx Rates'!B16)</f>
        <v>0</v>
      </c>
      <c r="C16" s="3">
        <f>SUM('TOTAL VOLUME'!C16*'FedEx Rates'!C16)</f>
        <v>8.41</v>
      </c>
      <c r="D16" s="3">
        <f>SUM('TOTAL VOLUME'!D16*'FedEx Rates'!D16)</f>
        <v>0</v>
      </c>
      <c r="E16" s="3">
        <f>SUM('TOTAL VOLUME'!E16*'FedEx Rates'!E16)</f>
        <v>108.22</v>
      </c>
      <c r="F16" s="3">
        <f>SUM('TOTAL VOLUME'!F16*'FedEx Rates'!F16)</f>
        <v>226.6</v>
      </c>
      <c r="G16" s="3">
        <f>SUM('TOTAL VOLUME'!G16*'FedEx Rates'!G16)</f>
        <v>72.39</v>
      </c>
      <c r="H16" s="3">
        <f>SUM('TOTAL VOLUME'!H16*'FedEx Rates'!H16)</f>
        <v>276.76</v>
      </c>
      <c r="I16" s="3">
        <f>SUM('TOTAL VOLUME'!I16*'FedEx Rates'!I16)</f>
        <v>0</v>
      </c>
      <c r="J16" s="3">
        <f>SUM('TOTAL VOLUME'!J16*'FedEx Rates'!J16)</f>
        <v>0</v>
      </c>
      <c r="K16" s="3">
        <f>SUM('TOTAL VOLUME'!K16*'FedEx Rates'!K16)</f>
        <v>0</v>
      </c>
      <c r="L16" s="3">
        <f>SUM('TOTAL VOLUME'!L16*'FedEx Rates'!L16)</f>
        <v>0</v>
      </c>
      <c r="M16" s="3">
        <f>SUM('TOTAL VOLUME'!M16*'FedEx Rates'!M16)</f>
        <v>30.64</v>
      </c>
      <c r="N16" s="3">
        <f>SUM('TOTAL VOLUME'!N16*'FedEx Rates'!N16)</f>
        <v>92.05</v>
      </c>
      <c r="O16" s="3">
        <f>SUM('TOTAL VOLUME'!O16*'FedEx Rates'!O16)</f>
        <v>129.60000000000002</v>
      </c>
      <c r="P16" s="3">
        <f>SUM('TOTAL VOLUME'!P16*'FedEx Rates'!P16)</f>
        <v>1518.75</v>
      </c>
      <c r="Q16" s="3">
        <f>SUM('TOTAL VOLUME'!Q16*'FedEx Rates'!Q16)</f>
        <v>293.75</v>
      </c>
      <c r="R16" s="3">
        <f>SUM('TOTAL VOLUME'!R16*'FedEx Rates'!R16)</f>
        <v>1281.25</v>
      </c>
      <c r="S16" s="3">
        <f>SUM('TOTAL VOLUME'!S16*'FedEx Rates'!S16)</f>
        <v>3075.61</v>
      </c>
      <c r="T16" s="3">
        <f>SUM('TOTAL VOLUME'!T16*'FedEx Rates'!T16)</f>
        <v>2126.2399999999998</v>
      </c>
      <c r="U16" s="3">
        <f>SUM('TOTAL VOLUME'!U16*'FedEx Rates'!U16)</f>
        <v>980.69999999999993</v>
      </c>
      <c r="V16" s="3">
        <f>SUM('TOTAL VOLUME'!V16*'FedEx Rates'!V16)</f>
        <v>5794.22</v>
      </c>
      <c r="W16" s="3">
        <f>SUM('TOTAL VOLUME'!W16*'FedEx Rates'!W16)</f>
        <v>421.73999999999995</v>
      </c>
      <c r="X16" s="3">
        <f>SUM('TOTAL VOLUME'!X16*'FedEx Rates'!X16)</f>
        <v>299.7</v>
      </c>
      <c r="Y16" s="3">
        <f>SUM('TOTAL VOLUME'!Y16*'FedEx Rates'!Y16)</f>
        <v>834.4</v>
      </c>
      <c r="Z16" s="3">
        <f>SUM('TOTAL VOLUME'!Z16*'FedEx Rates'!Z16)</f>
        <v>2209.13</v>
      </c>
      <c r="AA16" s="3">
        <f>SUM('TOTAL VOLUME'!AA16*'FedEx Rates'!AA16)</f>
        <v>1304.3800000000001</v>
      </c>
      <c r="AB16" s="3">
        <f>SUM('TOTAL VOLUME'!AB16*'FedEx Rates'!AB16)</f>
        <v>1077.8700000000001</v>
      </c>
      <c r="AC16" s="3">
        <f>SUM('TOTAL VOLUME'!AC16*'FedEx Rates'!AC16)</f>
        <v>4108.7699999999995</v>
      </c>
    </row>
    <row r="17" spans="1:29" x14ac:dyDescent="0.2">
      <c r="A17" s="2">
        <v>16</v>
      </c>
      <c r="B17" s="3">
        <f>SUM('TOTAL VOLUME'!B17*'FedEx Rates'!B17)</f>
        <v>29.4</v>
      </c>
      <c r="C17" s="3">
        <f>SUM('TOTAL VOLUME'!C17*'FedEx Rates'!C17)</f>
        <v>8.69</v>
      </c>
      <c r="D17" s="3">
        <f>SUM('TOTAL VOLUME'!D17*'FedEx Rates'!D17)</f>
        <v>44.16</v>
      </c>
      <c r="E17" s="3">
        <f>SUM('TOTAL VOLUME'!E17*'FedEx Rates'!E17)</f>
        <v>159.60000000000002</v>
      </c>
      <c r="F17" s="3">
        <f>SUM('TOTAL VOLUME'!F17*'FedEx Rates'!F17)</f>
        <v>331.09999999999997</v>
      </c>
      <c r="G17" s="3">
        <f>SUM('TOTAL VOLUME'!G17*'FedEx Rates'!G17)</f>
        <v>50.74</v>
      </c>
      <c r="H17" s="3">
        <f>SUM('TOTAL VOLUME'!H17*'FedEx Rates'!H17)</f>
        <v>235.98</v>
      </c>
      <c r="I17" s="3">
        <f>SUM('TOTAL VOLUME'!I17*'FedEx Rates'!I17)</f>
        <v>0</v>
      </c>
      <c r="J17" s="3">
        <f>SUM('TOTAL VOLUME'!J17*'FedEx Rates'!J17)</f>
        <v>0</v>
      </c>
      <c r="K17" s="3">
        <f>SUM('TOTAL VOLUME'!K17*'FedEx Rates'!K17)</f>
        <v>0</v>
      </c>
      <c r="L17" s="3">
        <f>SUM('TOTAL VOLUME'!L17*'FedEx Rates'!L17)</f>
        <v>25.66</v>
      </c>
      <c r="M17" s="3">
        <f>SUM('TOTAL VOLUME'!M17*'FedEx Rates'!M17)</f>
        <v>0</v>
      </c>
      <c r="N17" s="3">
        <f>SUM('TOTAL VOLUME'!N17*'FedEx Rates'!N17)</f>
        <v>155.04</v>
      </c>
      <c r="O17" s="3">
        <f>SUM('TOTAL VOLUME'!O17*'FedEx Rates'!O17)</f>
        <v>90.2</v>
      </c>
      <c r="P17" s="3">
        <f>SUM('TOTAL VOLUME'!P17*'FedEx Rates'!P17)</f>
        <v>993.75</v>
      </c>
      <c r="Q17" s="3">
        <f>SUM('TOTAL VOLUME'!Q17*'FedEx Rates'!Q17)</f>
        <v>493.75</v>
      </c>
      <c r="R17" s="3">
        <f>SUM('TOTAL VOLUME'!R17*'FedEx Rates'!R17)</f>
        <v>831.25</v>
      </c>
      <c r="S17" s="3">
        <f>SUM('TOTAL VOLUME'!S17*'FedEx Rates'!S17)</f>
        <v>1938.55</v>
      </c>
      <c r="T17" s="3">
        <f>SUM('TOTAL VOLUME'!T17*'FedEx Rates'!T17)</f>
        <v>1826.28</v>
      </c>
      <c r="U17" s="3">
        <f>SUM('TOTAL VOLUME'!U17*'FedEx Rates'!U17)</f>
        <v>1023.36</v>
      </c>
      <c r="V17" s="3">
        <f>SUM('TOTAL VOLUME'!V17*'FedEx Rates'!V17)</f>
        <v>5907.72</v>
      </c>
      <c r="W17" s="3">
        <f>SUM('TOTAL VOLUME'!W17*'FedEx Rates'!W17)</f>
        <v>1062.1599999999999</v>
      </c>
      <c r="X17" s="3">
        <f>SUM('TOTAL VOLUME'!X17*'FedEx Rates'!X17)</f>
        <v>1026.04</v>
      </c>
      <c r="Y17" s="3">
        <f>SUM('TOTAL VOLUME'!Y17*'FedEx Rates'!Y17)</f>
        <v>1977.8</v>
      </c>
      <c r="Z17" s="3">
        <f>SUM('TOTAL VOLUME'!Z17*'FedEx Rates'!Z17)</f>
        <v>5566.64</v>
      </c>
      <c r="AA17" s="3">
        <f>SUM('TOTAL VOLUME'!AA17*'FedEx Rates'!AA17)</f>
        <v>3867.15</v>
      </c>
      <c r="AB17" s="3">
        <f>SUM('TOTAL VOLUME'!AB17*'FedEx Rates'!AB17)</f>
        <v>2435.94</v>
      </c>
      <c r="AC17" s="3">
        <f>SUM('TOTAL VOLUME'!AC17*'FedEx Rates'!AC17)</f>
        <v>11400.51</v>
      </c>
    </row>
    <row r="18" spans="1:29" x14ac:dyDescent="0.2">
      <c r="A18" s="2">
        <v>17</v>
      </c>
      <c r="B18" s="3">
        <f>SUM('TOTAL VOLUME'!B18*'FedEx Rates'!B18)</f>
        <v>37.799999999999997</v>
      </c>
      <c r="C18" s="3">
        <f>SUM('TOTAL VOLUME'!C18*'FedEx Rates'!C18)</f>
        <v>8.9499999999999993</v>
      </c>
      <c r="D18" s="3">
        <f>SUM('TOTAL VOLUME'!D18*'FedEx Rates'!D18)</f>
        <v>57.55</v>
      </c>
      <c r="E18" s="3">
        <f>SUM('TOTAL VOLUME'!E18*'FedEx Rates'!E18)</f>
        <v>83.6</v>
      </c>
      <c r="F18" s="3">
        <f>SUM('TOTAL VOLUME'!F18*'FedEx Rates'!F18)</f>
        <v>49.44</v>
      </c>
      <c r="G18" s="3">
        <f>SUM('TOTAL VOLUME'!G18*'FedEx Rates'!G18)</f>
        <v>53.44</v>
      </c>
      <c r="H18" s="3">
        <f>SUM('TOTAL VOLUME'!H18*'FedEx Rates'!H18)</f>
        <v>219.52</v>
      </c>
      <c r="I18" s="3">
        <f>SUM('TOTAL VOLUME'!I18*'FedEx Rates'!I18)</f>
        <v>0</v>
      </c>
      <c r="J18" s="3">
        <f>SUM('TOTAL VOLUME'!J18*'FedEx Rates'!J18)</f>
        <v>8.77</v>
      </c>
      <c r="K18" s="3">
        <f>SUM('TOTAL VOLUME'!K18*'FedEx Rates'!K18)</f>
        <v>0</v>
      </c>
      <c r="L18" s="3">
        <f>SUM('TOTAL VOLUME'!L18*'FedEx Rates'!L18)</f>
        <v>12.96</v>
      </c>
      <c r="M18" s="3">
        <f>SUM('TOTAL VOLUME'!M18*'FedEx Rates'!M18)</f>
        <v>0</v>
      </c>
      <c r="N18" s="3">
        <f>SUM('TOTAL VOLUME'!N18*'FedEx Rates'!N18)</f>
        <v>0</v>
      </c>
      <c r="O18" s="3">
        <f>SUM('TOTAL VOLUME'!O18*'FedEx Rates'!O18)</f>
        <v>306.41000000000003</v>
      </c>
      <c r="P18" s="3">
        <f>SUM('TOTAL VOLUME'!P18*'FedEx Rates'!P18)</f>
        <v>687.5</v>
      </c>
      <c r="Q18" s="3">
        <f>SUM('TOTAL VOLUME'!Q18*'FedEx Rates'!Q18)</f>
        <v>368.75</v>
      </c>
      <c r="R18" s="3">
        <f>SUM('TOTAL VOLUME'!R18*'FedEx Rates'!R18)</f>
        <v>643.75</v>
      </c>
      <c r="S18" s="3">
        <f>SUM('TOTAL VOLUME'!S18*'FedEx Rates'!S18)</f>
        <v>2147.1999999999998</v>
      </c>
      <c r="T18" s="3">
        <f>SUM('TOTAL VOLUME'!T18*'FedEx Rates'!T18)</f>
        <v>1628.25</v>
      </c>
      <c r="U18" s="3">
        <f>SUM('TOTAL VOLUME'!U18*'FedEx Rates'!U18)</f>
        <v>1147.74</v>
      </c>
      <c r="V18" s="3">
        <f>SUM('TOTAL VOLUME'!V18*'FedEx Rates'!V18)</f>
        <v>2707.5</v>
      </c>
      <c r="W18" s="3">
        <f>SUM('TOTAL VOLUME'!W18*'FedEx Rates'!W18)</f>
        <v>1632.29</v>
      </c>
      <c r="X18" s="3">
        <f>SUM('TOTAL VOLUME'!X18*'FedEx Rates'!X18)</f>
        <v>771.12</v>
      </c>
      <c r="Y18" s="3">
        <f>SUM('TOTAL VOLUME'!Y18*'FedEx Rates'!Y18)</f>
        <v>2155.52</v>
      </c>
      <c r="Z18" s="3">
        <f>SUM('TOTAL VOLUME'!Z18*'FedEx Rates'!Z18)</f>
        <v>5648.1100000000006</v>
      </c>
      <c r="AA18" s="3">
        <f>SUM('TOTAL VOLUME'!AA18*'FedEx Rates'!AA18)</f>
        <v>3603.49</v>
      </c>
      <c r="AB18" s="3">
        <f>SUM('TOTAL VOLUME'!AB18*'FedEx Rates'!AB18)</f>
        <v>2563.2200000000003</v>
      </c>
      <c r="AC18" s="3">
        <f>SUM('TOTAL VOLUME'!AC18*'FedEx Rates'!AC18)</f>
        <v>10286.4</v>
      </c>
    </row>
    <row r="19" spans="1:29" x14ac:dyDescent="0.2">
      <c r="A19" s="2">
        <v>18</v>
      </c>
      <c r="B19" s="3">
        <f>SUM('TOTAL VOLUME'!B19*'FedEx Rates'!B19)</f>
        <v>46.92</v>
      </c>
      <c r="C19" s="3">
        <f>SUM('TOTAL VOLUME'!C19*'FedEx Rates'!C19)</f>
        <v>55.44</v>
      </c>
      <c r="D19" s="3">
        <f>SUM('TOTAL VOLUME'!D19*'FedEx Rates'!D19)</f>
        <v>11.93</v>
      </c>
      <c r="E19" s="3">
        <f>SUM('TOTAL VOLUME'!E19*'FedEx Rates'!E19)</f>
        <v>155.79</v>
      </c>
      <c r="F19" s="3">
        <f>SUM('TOTAL VOLUME'!F19*'FedEx Rates'!F19)</f>
        <v>77.22</v>
      </c>
      <c r="G19" s="3">
        <f>SUM('TOTAL VOLUME'!G19*'FedEx Rates'!G19)</f>
        <v>223.2</v>
      </c>
      <c r="H19" s="3">
        <f>SUM('TOTAL VOLUME'!H19*'FedEx Rates'!H19)</f>
        <v>768.96</v>
      </c>
      <c r="I19" s="3">
        <f>SUM('TOTAL VOLUME'!I19*'FedEx Rates'!I19)</f>
        <v>7.57</v>
      </c>
      <c r="J19" s="3">
        <f>SUM('TOTAL VOLUME'!J19*'FedEx Rates'!J19)</f>
        <v>0</v>
      </c>
      <c r="K19" s="3">
        <f>SUM('TOTAL VOLUME'!K19*'FedEx Rates'!K19)</f>
        <v>0</v>
      </c>
      <c r="L19" s="3">
        <f>SUM('TOTAL VOLUME'!L19*'FedEx Rates'!L19)</f>
        <v>0</v>
      </c>
      <c r="M19" s="3">
        <f>SUM('TOTAL VOLUME'!M19*'FedEx Rates'!M19)</f>
        <v>68.8</v>
      </c>
      <c r="N19" s="3">
        <f>SUM('TOTAL VOLUME'!N19*'FedEx Rates'!N19)</f>
        <v>63.78</v>
      </c>
      <c r="O19" s="3">
        <f>SUM('TOTAL VOLUME'!O19*'FedEx Rates'!O19)</f>
        <v>609.25</v>
      </c>
      <c r="P19" s="3">
        <f>SUM('TOTAL VOLUME'!P19*'FedEx Rates'!P19)</f>
        <v>831.25</v>
      </c>
      <c r="Q19" s="3">
        <f>SUM('TOTAL VOLUME'!Q19*'FedEx Rates'!Q19)</f>
        <v>575</v>
      </c>
      <c r="R19" s="3">
        <f>SUM('TOTAL VOLUME'!R19*'FedEx Rates'!R19)</f>
        <v>1218.75</v>
      </c>
      <c r="S19" s="3">
        <f>SUM('TOTAL VOLUME'!S19*'FedEx Rates'!S19)</f>
        <v>2852.19</v>
      </c>
      <c r="T19" s="3">
        <f>SUM('TOTAL VOLUME'!T19*'FedEx Rates'!T19)</f>
        <v>2250.2399999999998</v>
      </c>
      <c r="U19" s="3">
        <f>SUM('TOTAL VOLUME'!U19*'FedEx Rates'!U19)</f>
        <v>1618.8</v>
      </c>
      <c r="V19" s="3">
        <f>SUM('TOTAL VOLUME'!V19*'FedEx Rates'!V19)</f>
        <v>4399.59</v>
      </c>
      <c r="W19" s="3">
        <f>SUM('TOTAL VOLUME'!W19*'FedEx Rates'!W19)</f>
        <v>1046.54</v>
      </c>
      <c r="X19" s="3">
        <f>SUM('TOTAL VOLUME'!X19*'FedEx Rates'!X19)</f>
        <v>646.1</v>
      </c>
      <c r="Y19" s="3">
        <f>SUM('TOTAL VOLUME'!Y19*'FedEx Rates'!Y19)</f>
        <v>998.87</v>
      </c>
      <c r="Z19" s="3">
        <f>SUM('TOTAL VOLUME'!Z19*'FedEx Rates'!Z19)</f>
        <v>3347.07</v>
      </c>
      <c r="AA19" s="3">
        <f>SUM('TOTAL VOLUME'!AA19*'FedEx Rates'!AA19)</f>
        <v>2430.54</v>
      </c>
      <c r="AB19" s="3">
        <f>SUM('TOTAL VOLUME'!AB19*'FedEx Rates'!AB19)</f>
        <v>1093.56</v>
      </c>
      <c r="AC19" s="3">
        <f>SUM('TOTAL VOLUME'!AC19*'FedEx Rates'!AC19)</f>
        <v>5577</v>
      </c>
    </row>
    <row r="20" spans="1:29" x14ac:dyDescent="0.2">
      <c r="A20" s="2">
        <v>19</v>
      </c>
      <c r="B20" s="3">
        <f>SUM('TOTAL VOLUME'!B20*'FedEx Rates'!B20)</f>
        <v>16.239999999999998</v>
      </c>
      <c r="C20" s="3">
        <f>SUM('TOTAL VOLUME'!C20*'FedEx Rates'!C20)</f>
        <v>28.47</v>
      </c>
      <c r="D20" s="3">
        <f>SUM('TOTAL VOLUME'!D20*'FedEx Rates'!D20)</f>
        <v>24.58</v>
      </c>
      <c r="E20" s="3">
        <f>SUM('TOTAL VOLUME'!E20*'FedEx Rates'!E20)</f>
        <v>288.16000000000003</v>
      </c>
      <c r="F20" s="3">
        <f>SUM('TOTAL VOLUME'!F20*'FedEx Rates'!F20)</f>
        <v>106.72</v>
      </c>
      <c r="G20" s="3">
        <f>SUM('TOTAL VOLUME'!G20*'FedEx Rates'!G20)</f>
        <v>145.9</v>
      </c>
      <c r="H20" s="3">
        <f>SUM('TOTAL VOLUME'!H20*'FedEx Rates'!H20)</f>
        <v>150.1</v>
      </c>
      <c r="I20" s="3">
        <f>SUM('TOTAL VOLUME'!I20*'FedEx Rates'!I20)</f>
        <v>0</v>
      </c>
      <c r="J20" s="3">
        <f>SUM('TOTAL VOLUME'!J20*'FedEx Rates'!J20)</f>
        <v>0</v>
      </c>
      <c r="K20" s="3">
        <f>SUM('TOTAL VOLUME'!K20*'FedEx Rates'!K20)</f>
        <v>0</v>
      </c>
      <c r="L20" s="3">
        <f>SUM('TOTAL VOLUME'!L20*'FedEx Rates'!L20)</f>
        <v>0</v>
      </c>
      <c r="M20" s="3">
        <f>SUM('TOTAL VOLUME'!M20*'FedEx Rates'!M20)</f>
        <v>17.78</v>
      </c>
      <c r="N20" s="3">
        <f>SUM('TOTAL VOLUME'!N20*'FedEx Rates'!N20)</f>
        <v>43.7</v>
      </c>
      <c r="O20" s="3">
        <f>SUM('TOTAL VOLUME'!O20*'FedEx Rates'!O20)</f>
        <v>303</v>
      </c>
      <c r="P20" s="3">
        <f>SUM('TOTAL VOLUME'!P20*'FedEx Rates'!P20)</f>
        <v>656.25</v>
      </c>
      <c r="Q20" s="3">
        <f>SUM('TOTAL VOLUME'!Q20*'FedEx Rates'!Q20)</f>
        <v>278.95999999999998</v>
      </c>
      <c r="R20" s="3">
        <f>SUM('TOTAL VOLUME'!R20*'FedEx Rates'!R20)</f>
        <v>694.43000000000006</v>
      </c>
      <c r="S20" s="3">
        <f>SUM('TOTAL VOLUME'!S20*'FedEx Rates'!S20)</f>
        <v>1940.23</v>
      </c>
      <c r="T20" s="3">
        <f>SUM('TOTAL VOLUME'!T20*'FedEx Rates'!T20)</f>
        <v>1321.3000000000002</v>
      </c>
      <c r="U20" s="3">
        <f>SUM('TOTAL VOLUME'!U20*'FedEx Rates'!U20)</f>
        <v>789.84</v>
      </c>
      <c r="V20" s="3">
        <f>SUM('TOTAL VOLUME'!V20*'FedEx Rates'!V20)</f>
        <v>2103.56</v>
      </c>
      <c r="W20" s="3">
        <f>SUM('TOTAL VOLUME'!W20*'FedEx Rates'!W20)</f>
        <v>499.84</v>
      </c>
      <c r="X20" s="3">
        <f>SUM('TOTAL VOLUME'!X20*'FedEx Rates'!X20)</f>
        <v>323.75</v>
      </c>
      <c r="Y20" s="3">
        <f>SUM('TOTAL VOLUME'!Y20*'FedEx Rates'!Y20)</f>
        <v>644.48</v>
      </c>
      <c r="Z20" s="3">
        <f>SUM('TOTAL VOLUME'!Z20*'FedEx Rates'!Z20)</f>
        <v>1722.6299999999999</v>
      </c>
      <c r="AA20" s="3">
        <f>SUM('TOTAL VOLUME'!AA20*'FedEx Rates'!AA20)</f>
        <v>1158.5999999999999</v>
      </c>
      <c r="AB20" s="3">
        <f>SUM('TOTAL VOLUME'!AB20*'FedEx Rates'!AB20)</f>
        <v>694.65</v>
      </c>
      <c r="AC20" s="3">
        <f>SUM('TOTAL VOLUME'!AC20*'FedEx Rates'!AC20)</f>
        <v>2511.9899999999998</v>
      </c>
    </row>
    <row r="21" spans="1:29" x14ac:dyDescent="0.2">
      <c r="A21" s="2">
        <v>20</v>
      </c>
      <c r="B21" s="3">
        <f>SUM('TOTAL VOLUME'!B21*'FedEx Rates'!B21)</f>
        <v>33.64</v>
      </c>
      <c r="C21" s="3">
        <f>SUM('TOTAL VOLUME'!C21*'FedEx Rates'!C21)</f>
        <v>19.82</v>
      </c>
      <c r="D21" s="3">
        <f>SUM('TOTAL VOLUME'!D21*'FedEx Rates'!D21)</f>
        <v>25.52</v>
      </c>
      <c r="E21" s="3">
        <f>SUM('TOTAL VOLUME'!E21*'FedEx Rates'!E21)</f>
        <v>150.80000000000001</v>
      </c>
      <c r="F21" s="3">
        <f>SUM('TOTAL VOLUME'!F21*'FedEx Rates'!F21)</f>
        <v>138.15</v>
      </c>
      <c r="G21" s="3">
        <f>SUM('TOTAL VOLUME'!G21*'FedEx Rates'!G21)</f>
        <v>120.76</v>
      </c>
      <c r="H21" s="3">
        <f>SUM('TOTAL VOLUME'!H21*'FedEx Rates'!H21)</f>
        <v>217.91</v>
      </c>
      <c r="I21" s="3">
        <f>SUM('TOTAL VOLUME'!I21*'FedEx Rates'!I21)</f>
        <v>0</v>
      </c>
      <c r="J21" s="3">
        <f>SUM('TOTAL VOLUME'!J21*'FedEx Rates'!J21)</f>
        <v>0</v>
      </c>
      <c r="K21" s="3">
        <f>SUM('TOTAL VOLUME'!K21*'FedEx Rates'!K21)</f>
        <v>0</v>
      </c>
      <c r="L21" s="3">
        <f>SUM('TOTAL VOLUME'!L21*'FedEx Rates'!L21)</f>
        <v>0</v>
      </c>
      <c r="M21" s="3">
        <f>SUM('TOTAL VOLUME'!M21*'FedEx Rates'!M21)</f>
        <v>18.45</v>
      </c>
      <c r="N21" s="3">
        <f>SUM('TOTAL VOLUME'!N21*'FedEx Rates'!N21)</f>
        <v>65.760000000000005</v>
      </c>
      <c r="O21" s="3">
        <f>SUM('TOTAL VOLUME'!O21*'FedEx Rates'!O21)</f>
        <v>263.29999999999995</v>
      </c>
      <c r="P21" s="3">
        <f>SUM('TOTAL VOLUME'!P21*'FedEx Rates'!P21)</f>
        <v>1062.5</v>
      </c>
      <c r="Q21" s="3">
        <f>SUM('TOTAL VOLUME'!Q21*'FedEx Rates'!Q21)</f>
        <v>421.73999999999995</v>
      </c>
      <c r="R21" s="3">
        <f>SUM('TOTAL VOLUME'!R21*'FedEx Rates'!R21)</f>
        <v>685.65</v>
      </c>
      <c r="S21" s="3">
        <f>SUM('TOTAL VOLUME'!S21*'FedEx Rates'!S21)</f>
        <v>2513.39</v>
      </c>
      <c r="T21" s="3">
        <f>SUM('TOTAL VOLUME'!T21*'FedEx Rates'!T21)</f>
        <v>2075.6999999999998</v>
      </c>
      <c r="U21" s="3">
        <f>SUM('TOTAL VOLUME'!U21*'FedEx Rates'!U21)</f>
        <v>1365.6000000000001</v>
      </c>
      <c r="V21" s="3">
        <f>SUM('TOTAL VOLUME'!V21*'FedEx Rates'!V21)</f>
        <v>3182.68</v>
      </c>
      <c r="W21" s="3">
        <f>SUM('TOTAL VOLUME'!W21*'FedEx Rates'!W21)</f>
        <v>374.88</v>
      </c>
      <c r="X21" s="3">
        <f>SUM('TOTAL VOLUME'!X21*'FedEx Rates'!X21)</f>
        <v>139.19999999999999</v>
      </c>
      <c r="Y21" s="3">
        <f>SUM('TOTAL VOLUME'!Y21*'FedEx Rates'!Y21)</f>
        <v>443.03999999999996</v>
      </c>
      <c r="Z21" s="3">
        <f>SUM('TOTAL VOLUME'!Z21*'FedEx Rates'!Z21)</f>
        <v>1137.6000000000001</v>
      </c>
      <c r="AA21" s="3">
        <f>SUM('TOTAL VOLUME'!AA21*'FedEx Rates'!AA21)</f>
        <v>755.43000000000006</v>
      </c>
      <c r="AB21" s="3">
        <f>SUM('TOTAL VOLUME'!AB21*'FedEx Rates'!AB21)</f>
        <v>591.07999999999993</v>
      </c>
      <c r="AC21" s="3">
        <f>SUM('TOTAL VOLUME'!AC21*'FedEx Rates'!AC21)</f>
        <v>1747.9799999999998</v>
      </c>
    </row>
    <row r="22" spans="1:29" x14ac:dyDescent="0.2">
      <c r="A22" s="2">
        <v>21</v>
      </c>
      <c r="B22" s="3">
        <f>SUM('TOTAL VOLUME'!B22*'FedEx Rates'!B22)</f>
        <v>44</v>
      </c>
      <c r="C22" s="3">
        <f>SUM('TOTAL VOLUME'!C22*'FedEx Rates'!C22)</f>
        <v>10.3</v>
      </c>
      <c r="D22" s="3">
        <f>SUM('TOTAL VOLUME'!D22*'FedEx Rates'!D22)</f>
        <v>92.61</v>
      </c>
      <c r="E22" s="3">
        <f>SUM('TOTAL VOLUME'!E22*'FedEx Rates'!E22)</f>
        <v>233.76</v>
      </c>
      <c r="F22" s="3">
        <f>SUM('TOTAL VOLUME'!F22*'FedEx Rates'!F22)</f>
        <v>305.03000000000003</v>
      </c>
      <c r="G22" s="3">
        <f>SUM('TOTAL VOLUME'!G22*'FedEx Rates'!G22)</f>
        <v>187.38</v>
      </c>
      <c r="H22" s="3">
        <f>SUM('TOTAL VOLUME'!H22*'FedEx Rates'!H22)</f>
        <v>605.72</v>
      </c>
      <c r="I22" s="3">
        <f>SUM('TOTAL VOLUME'!I22*'FedEx Rates'!I22)</f>
        <v>0</v>
      </c>
      <c r="J22" s="3">
        <f>SUM('TOTAL VOLUME'!J22*'FedEx Rates'!J22)</f>
        <v>9.74</v>
      </c>
      <c r="K22" s="3">
        <f>SUM('TOTAL VOLUME'!K22*'FedEx Rates'!K22)</f>
        <v>23.8</v>
      </c>
      <c r="L22" s="3">
        <f>SUM('TOTAL VOLUME'!L22*'FedEx Rates'!L22)</f>
        <v>43.71</v>
      </c>
      <c r="M22" s="3">
        <f>SUM('TOTAL VOLUME'!M22*'FedEx Rates'!M22)</f>
        <v>96.6</v>
      </c>
      <c r="N22" s="3">
        <f>SUM('TOTAL VOLUME'!N22*'FedEx Rates'!N22)</f>
        <v>93.44</v>
      </c>
      <c r="O22" s="3">
        <f>SUM('TOTAL VOLUME'!O22*'FedEx Rates'!O22)</f>
        <v>326.28000000000003</v>
      </c>
      <c r="P22" s="3">
        <f>SUM('TOTAL VOLUME'!P22*'FedEx Rates'!P22)</f>
        <v>1350</v>
      </c>
      <c r="Q22" s="3">
        <f>SUM('TOTAL VOLUME'!Q22*'FedEx Rates'!Q22)</f>
        <v>776.88</v>
      </c>
      <c r="R22" s="3">
        <f>SUM('TOTAL VOLUME'!R22*'FedEx Rates'!R22)</f>
        <v>1532.01</v>
      </c>
      <c r="S22" s="3">
        <f>SUM('TOTAL VOLUME'!S22*'FedEx Rates'!S22)</f>
        <v>3792.0399999999995</v>
      </c>
      <c r="T22" s="3">
        <f>SUM('TOTAL VOLUME'!T22*'FedEx Rates'!T22)</f>
        <v>3184.5</v>
      </c>
      <c r="U22" s="3">
        <f>SUM('TOTAL VOLUME'!U22*'FedEx Rates'!U22)</f>
        <v>2094.2999999999997</v>
      </c>
      <c r="V22" s="3">
        <f>SUM('TOTAL VOLUME'!V22*'FedEx Rates'!V22)</f>
        <v>5254.14</v>
      </c>
      <c r="W22" s="3">
        <f>SUM('TOTAL VOLUME'!W22*'FedEx Rates'!W22)</f>
        <v>445.16999999999996</v>
      </c>
      <c r="X22" s="3">
        <f>SUM('TOTAL VOLUME'!X22*'FedEx Rates'!X22)</f>
        <v>281.59000000000003</v>
      </c>
      <c r="Y22" s="3">
        <f>SUM('TOTAL VOLUME'!Y22*'FedEx Rates'!Y22)</f>
        <v>594.88</v>
      </c>
      <c r="Z22" s="3">
        <f>SUM('TOTAL VOLUME'!Z22*'FedEx Rates'!Z22)</f>
        <v>1595.7</v>
      </c>
      <c r="AA22" s="3">
        <f>SUM('TOTAL VOLUME'!AA22*'FedEx Rates'!AA22)</f>
        <v>1952.25</v>
      </c>
      <c r="AB22" s="3">
        <f>SUM('TOTAL VOLUME'!AB22*'FedEx Rates'!AB22)</f>
        <v>1093.68</v>
      </c>
      <c r="AC22" s="3">
        <f>SUM('TOTAL VOLUME'!AC22*'FedEx Rates'!AC22)</f>
        <v>2321.6200000000003</v>
      </c>
    </row>
    <row r="23" spans="1:29" x14ac:dyDescent="0.2">
      <c r="A23" s="2">
        <v>22</v>
      </c>
      <c r="B23" s="3">
        <f>SUM('TOTAL VOLUME'!B23*'FedEx Rates'!B23)</f>
        <v>27.21</v>
      </c>
      <c r="C23" s="3">
        <f>SUM('TOTAL VOLUME'!C23*'FedEx Rates'!C23)</f>
        <v>21.56</v>
      </c>
      <c r="D23" s="3">
        <f>SUM('TOTAL VOLUME'!D23*'FedEx Rates'!D23)</f>
        <v>122.49</v>
      </c>
      <c r="E23" s="3">
        <f>SUM('TOTAL VOLUME'!E23*'FedEx Rates'!E23)</f>
        <v>260.39</v>
      </c>
      <c r="F23" s="3">
        <f>SUM('TOTAL VOLUME'!F23*'FedEx Rates'!F23)</f>
        <v>295.5</v>
      </c>
      <c r="G23" s="3">
        <f>SUM('TOTAL VOLUME'!G23*'FedEx Rates'!G23)</f>
        <v>194.52</v>
      </c>
      <c r="H23" s="3">
        <f>SUM('TOTAL VOLUME'!H23*'FedEx Rates'!H23)</f>
        <v>861.11999999999989</v>
      </c>
      <c r="I23" s="3">
        <f>SUM('TOTAL VOLUME'!I23*'FedEx Rates'!I23)</f>
        <v>8.61</v>
      </c>
      <c r="J23" s="3">
        <f>SUM('TOTAL VOLUME'!J23*'FedEx Rates'!J23)</f>
        <v>0</v>
      </c>
      <c r="K23" s="3">
        <f>SUM('TOTAL VOLUME'!K23*'FedEx Rates'!K23)</f>
        <v>0</v>
      </c>
      <c r="L23" s="3">
        <f>SUM('TOTAL VOLUME'!L23*'FedEx Rates'!L23)</f>
        <v>77.45</v>
      </c>
      <c r="M23" s="3">
        <f>SUM('TOTAL VOLUME'!M23*'FedEx Rates'!M23)</f>
        <v>19.989999999999998</v>
      </c>
      <c r="N23" s="3">
        <f>SUM('TOTAL VOLUME'!N23*'FedEx Rates'!N23)</f>
        <v>94</v>
      </c>
      <c r="O23" s="3">
        <f>SUM('TOTAL VOLUME'!O23*'FedEx Rates'!O23)</f>
        <v>197.47</v>
      </c>
      <c r="P23" s="3">
        <f>SUM('TOTAL VOLUME'!P23*'FedEx Rates'!P23)</f>
        <v>2081.25</v>
      </c>
      <c r="Q23" s="3">
        <f>SUM('TOTAL VOLUME'!Q23*'FedEx Rates'!Q23)</f>
        <v>946.11</v>
      </c>
      <c r="R23" s="3">
        <f>SUM('TOTAL VOLUME'!R23*'FedEx Rates'!R23)</f>
        <v>2089.7599999999998</v>
      </c>
      <c r="S23" s="3">
        <f>SUM('TOTAL VOLUME'!S23*'FedEx Rates'!S23)</f>
        <v>5193.7</v>
      </c>
      <c r="T23" s="3">
        <f>SUM('TOTAL VOLUME'!T23*'FedEx Rates'!T23)</f>
        <v>4789.08</v>
      </c>
      <c r="U23" s="3">
        <f>SUM('TOTAL VOLUME'!U23*'FedEx Rates'!U23)</f>
        <v>2607.9500000000003</v>
      </c>
      <c r="V23" s="3">
        <f>SUM('TOTAL VOLUME'!V23*'FedEx Rates'!V23)</f>
        <v>7024.6</v>
      </c>
      <c r="W23" s="3">
        <f>SUM('TOTAL VOLUME'!W23*'FedEx Rates'!W23)</f>
        <v>429.54999999999995</v>
      </c>
      <c r="X23" s="3">
        <f>SUM('TOTAL VOLUME'!X23*'FedEx Rates'!X23)</f>
        <v>153.75</v>
      </c>
      <c r="Y23" s="3">
        <f>SUM('TOTAL VOLUME'!Y23*'FedEx Rates'!Y23)</f>
        <v>991.11999999999989</v>
      </c>
      <c r="Z23" s="3">
        <f>SUM('TOTAL VOLUME'!Z23*'FedEx Rates'!Z23)</f>
        <v>1986.46</v>
      </c>
      <c r="AA23" s="3">
        <f>SUM('TOTAL VOLUME'!AA23*'FedEx Rates'!AA23)</f>
        <v>1490.3999999999999</v>
      </c>
      <c r="AB23" s="3">
        <f>SUM('TOTAL VOLUME'!AB23*'FedEx Rates'!AB23)</f>
        <v>1124.1600000000001</v>
      </c>
      <c r="AC23" s="3">
        <f>SUM('TOTAL VOLUME'!AC23*'FedEx Rates'!AC23)</f>
        <v>2719.5</v>
      </c>
    </row>
    <row r="24" spans="1:29" x14ac:dyDescent="0.2">
      <c r="A24" s="2">
        <v>23</v>
      </c>
      <c r="B24" s="3">
        <f>SUM('TOTAL VOLUME'!B24*'FedEx Rates'!B24)</f>
        <v>37.159999999999997</v>
      </c>
      <c r="C24" s="3">
        <f>SUM('TOTAL VOLUME'!C24*'FedEx Rates'!C24)</f>
        <v>33.089999999999996</v>
      </c>
      <c r="D24" s="3">
        <f>SUM('TOTAL VOLUME'!D24*'FedEx Rates'!D24)</f>
        <v>28.18</v>
      </c>
      <c r="E24" s="3">
        <f>SUM('TOTAL VOLUME'!E24*'FedEx Rates'!E24)</f>
        <v>164.88</v>
      </c>
      <c r="F24" s="3">
        <f>SUM('TOTAL VOLUME'!F24*'FedEx Rates'!F24)</f>
        <v>183.66</v>
      </c>
      <c r="G24" s="3">
        <f>SUM('TOTAL VOLUME'!G24*'FedEx Rates'!G24)</f>
        <v>167.45000000000002</v>
      </c>
      <c r="H24" s="3">
        <f>SUM('TOTAL VOLUME'!H24*'FedEx Rates'!H24)</f>
        <v>856.5</v>
      </c>
      <c r="I24" s="3">
        <f>SUM('TOTAL VOLUME'!I24*'FedEx Rates'!I24)</f>
        <v>0</v>
      </c>
      <c r="J24" s="3">
        <f>SUM('TOTAL VOLUME'!J24*'FedEx Rates'!J24)</f>
        <v>0</v>
      </c>
      <c r="K24" s="3">
        <f>SUM('TOTAL VOLUME'!K24*'FedEx Rates'!K24)</f>
        <v>13.25</v>
      </c>
      <c r="L24" s="3">
        <f>SUM('TOTAL VOLUME'!L24*'FedEx Rates'!L24)</f>
        <v>0</v>
      </c>
      <c r="M24" s="3">
        <f>SUM('TOTAL VOLUME'!M24*'FedEx Rates'!M24)</f>
        <v>41.64</v>
      </c>
      <c r="N24" s="3">
        <f>SUM('TOTAL VOLUME'!N24*'FedEx Rates'!N24)</f>
        <v>76.38</v>
      </c>
      <c r="O24" s="3">
        <f>SUM('TOTAL VOLUME'!O24*'FedEx Rates'!O24)</f>
        <v>341.52</v>
      </c>
      <c r="P24" s="3">
        <f>SUM('TOTAL VOLUME'!P24*'FedEx Rates'!P24)</f>
        <v>1606.25</v>
      </c>
      <c r="Q24" s="3">
        <f>SUM('TOTAL VOLUME'!Q24*'FedEx Rates'!Q24)</f>
        <v>1174.76</v>
      </c>
      <c r="R24" s="3">
        <f>SUM('TOTAL VOLUME'!R24*'FedEx Rates'!R24)</f>
        <v>1133.54</v>
      </c>
      <c r="S24" s="3">
        <f>SUM('TOTAL VOLUME'!S24*'FedEx Rates'!S24)</f>
        <v>3672</v>
      </c>
      <c r="T24" s="3">
        <f>SUM('TOTAL VOLUME'!T24*'FedEx Rates'!T24)</f>
        <v>3209.36</v>
      </c>
      <c r="U24" s="3">
        <f>SUM('TOTAL VOLUME'!U24*'FedEx Rates'!U24)</f>
        <v>1639.44</v>
      </c>
      <c r="V24" s="3">
        <f>SUM('TOTAL VOLUME'!V24*'FedEx Rates'!V24)</f>
        <v>5530.2</v>
      </c>
      <c r="W24" s="3">
        <f>SUM('TOTAL VOLUME'!W24*'FedEx Rates'!W24)</f>
        <v>468.59999999999997</v>
      </c>
      <c r="X24" s="3">
        <f>SUM('TOTAL VOLUME'!X24*'FedEx Rates'!X24)</f>
        <v>133.9</v>
      </c>
      <c r="Y24" s="3">
        <f>SUM('TOTAL VOLUME'!Y24*'FedEx Rates'!Y24)</f>
        <v>372.21</v>
      </c>
      <c r="Z24" s="3">
        <f>SUM('TOTAL VOLUME'!Z24*'FedEx Rates'!Z24)</f>
        <v>1104.48</v>
      </c>
      <c r="AA24" s="3">
        <f>SUM('TOTAL VOLUME'!AA24*'FedEx Rates'!AA24)</f>
        <v>805.32</v>
      </c>
      <c r="AB24" s="3">
        <f>SUM('TOTAL VOLUME'!AB24*'FedEx Rates'!AB24)</f>
        <v>617.5</v>
      </c>
      <c r="AC24" s="3">
        <f>SUM('TOTAL VOLUME'!AC24*'FedEx Rates'!AC24)</f>
        <v>2696.4</v>
      </c>
    </row>
    <row r="25" spans="1:29" x14ac:dyDescent="0.2">
      <c r="A25" s="2">
        <v>24</v>
      </c>
      <c r="B25" s="3">
        <f>SUM('TOTAL VOLUME'!B25*'FedEx Rates'!B25)</f>
        <v>9.5</v>
      </c>
      <c r="C25" s="3">
        <f>SUM('TOTAL VOLUME'!C25*'FedEx Rates'!C25)</f>
        <v>22.94</v>
      </c>
      <c r="D25" s="3">
        <f>SUM('TOTAL VOLUME'!D25*'FedEx Rates'!D25)</f>
        <v>14.54</v>
      </c>
      <c r="E25" s="3">
        <f>SUM('TOTAL VOLUME'!E25*'FedEx Rates'!E25)</f>
        <v>192.69</v>
      </c>
      <c r="F25" s="3">
        <f>SUM('TOTAL VOLUME'!F25*'FedEx Rates'!F25)</f>
        <v>126.96</v>
      </c>
      <c r="G25" s="3">
        <f>SUM('TOTAL VOLUME'!G25*'FedEx Rates'!G25)</f>
        <v>67.88</v>
      </c>
      <c r="H25" s="3">
        <f>SUM('TOTAL VOLUME'!H25*'FedEx Rates'!H25)</f>
        <v>553.91999999999996</v>
      </c>
      <c r="I25" s="3">
        <f>SUM('TOTAL VOLUME'!I25*'FedEx Rates'!I25)</f>
        <v>0</v>
      </c>
      <c r="J25" s="3">
        <f>SUM('TOTAL VOLUME'!J25*'FedEx Rates'!J25)</f>
        <v>0</v>
      </c>
      <c r="K25" s="3">
        <f>SUM('TOTAL VOLUME'!K25*'FedEx Rates'!K25)</f>
        <v>0</v>
      </c>
      <c r="L25" s="3">
        <f>SUM('TOTAL VOLUME'!L25*'FedEx Rates'!L25)</f>
        <v>0</v>
      </c>
      <c r="M25" s="3">
        <f>SUM('TOTAL VOLUME'!M25*'FedEx Rates'!M25)</f>
        <v>64.53</v>
      </c>
      <c r="N25" s="3">
        <f>SUM('TOTAL VOLUME'!N25*'FedEx Rates'!N25)</f>
        <v>0</v>
      </c>
      <c r="O25" s="3">
        <f>SUM('TOTAL VOLUME'!O25*'FedEx Rates'!O25)</f>
        <v>143</v>
      </c>
      <c r="P25" s="3">
        <f>SUM('TOTAL VOLUME'!P25*'FedEx Rates'!P25)</f>
        <v>837.5</v>
      </c>
      <c r="Q25" s="3">
        <f>SUM('TOTAL VOLUME'!Q25*'FedEx Rates'!Q25)</f>
        <v>383.94</v>
      </c>
      <c r="R25" s="3">
        <f>SUM('TOTAL VOLUME'!R25*'FedEx Rates'!R25)</f>
        <v>827.31</v>
      </c>
      <c r="S25" s="3">
        <f>SUM('TOTAL VOLUME'!S25*'FedEx Rates'!S25)</f>
        <v>2625.28</v>
      </c>
      <c r="T25" s="3">
        <f>SUM('TOTAL VOLUME'!T25*'FedEx Rates'!T25)</f>
        <v>2203.8200000000002</v>
      </c>
      <c r="U25" s="3">
        <f>SUM('TOTAL VOLUME'!U25*'FedEx Rates'!U25)</f>
        <v>1181.28</v>
      </c>
      <c r="V25" s="3">
        <f>SUM('TOTAL VOLUME'!V25*'FedEx Rates'!V25)</f>
        <v>4257.16</v>
      </c>
      <c r="W25" s="3">
        <f>SUM('TOTAL VOLUME'!W25*'FedEx Rates'!W25)</f>
        <v>507.65</v>
      </c>
      <c r="X25" s="3">
        <f>SUM('TOTAL VOLUME'!X25*'FedEx Rates'!X25)</f>
        <v>269.09999999999997</v>
      </c>
      <c r="Y25" s="3">
        <f>SUM('TOTAL VOLUME'!Y25*'FedEx Rates'!Y25)</f>
        <v>357.66</v>
      </c>
      <c r="Z25" s="3">
        <f>SUM('TOTAL VOLUME'!Z25*'FedEx Rates'!Z25)</f>
        <v>1789.29</v>
      </c>
      <c r="AA25" s="3">
        <f>SUM('TOTAL VOLUME'!AA25*'FedEx Rates'!AA25)</f>
        <v>1306.74</v>
      </c>
      <c r="AB25" s="3">
        <f>SUM('TOTAL VOLUME'!AB25*'FedEx Rates'!AB25)</f>
        <v>1083.5999999999999</v>
      </c>
      <c r="AC25" s="3">
        <f>SUM('TOTAL VOLUME'!AC25*'FedEx Rates'!AC25)</f>
        <v>2802.39</v>
      </c>
    </row>
    <row r="26" spans="1:29" x14ac:dyDescent="0.2">
      <c r="A26" s="2">
        <v>25</v>
      </c>
      <c r="B26" s="3">
        <f>SUM('TOTAL VOLUME'!B26*'FedEx Rates'!B26)</f>
        <v>9.81</v>
      </c>
      <c r="C26" s="3">
        <f>SUM('TOTAL VOLUME'!C26*'FedEx Rates'!C26)</f>
        <v>11.79</v>
      </c>
      <c r="D26" s="3">
        <f>SUM('TOTAL VOLUME'!D26*'FedEx Rates'!D26)</f>
        <v>29.62</v>
      </c>
      <c r="E26" s="3">
        <f>SUM('TOTAL VOLUME'!E26*'FedEx Rates'!E26)</f>
        <v>332.1</v>
      </c>
      <c r="F26" s="3">
        <f>SUM('TOTAL VOLUME'!F26*'FedEx Rates'!F26)</f>
        <v>65.540000000000006</v>
      </c>
      <c r="G26" s="3">
        <f>SUM('TOTAL VOLUME'!G26*'FedEx Rates'!G26)</f>
        <v>144.08000000000001</v>
      </c>
      <c r="H26" s="3">
        <f>SUM('TOTAL VOLUME'!H26*'FedEx Rates'!H26)</f>
        <v>262.64000000000004</v>
      </c>
      <c r="I26" s="3">
        <f>SUM('TOTAL VOLUME'!I26*'FedEx Rates'!I26)</f>
        <v>0</v>
      </c>
      <c r="J26" s="3">
        <f>SUM('TOTAL VOLUME'!J26*'FedEx Rates'!J26)</f>
        <v>0</v>
      </c>
      <c r="K26" s="3">
        <f>SUM('TOTAL VOLUME'!K26*'FedEx Rates'!K26)</f>
        <v>0</v>
      </c>
      <c r="L26" s="3">
        <f>SUM('TOTAL VOLUME'!L26*'FedEx Rates'!L26)</f>
        <v>0</v>
      </c>
      <c r="M26" s="3">
        <f>SUM('TOTAL VOLUME'!M26*'FedEx Rates'!M26)</f>
        <v>44.22</v>
      </c>
      <c r="N26" s="3">
        <f>SUM('TOTAL VOLUME'!N26*'FedEx Rates'!N26)</f>
        <v>0</v>
      </c>
      <c r="O26" s="3">
        <f>SUM('TOTAL VOLUME'!O26*'FedEx Rates'!O26)</f>
        <v>155.69999999999999</v>
      </c>
      <c r="P26" s="3">
        <f>SUM('TOTAL VOLUME'!P26*'FedEx Rates'!P26)</f>
        <v>881.25</v>
      </c>
      <c r="Q26" s="3">
        <f>SUM('TOTAL VOLUME'!Q26*'FedEx Rates'!Q26)</f>
        <v>321.3</v>
      </c>
      <c r="R26" s="3">
        <f>SUM('TOTAL VOLUME'!R26*'FedEx Rates'!R26)</f>
        <v>541.02</v>
      </c>
      <c r="S26" s="3">
        <f>SUM('TOTAL VOLUME'!S26*'FedEx Rates'!S26)</f>
        <v>1561.2300000000002</v>
      </c>
      <c r="T26" s="3">
        <f>SUM('TOTAL VOLUME'!T26*'FedEx Rates'!T26)</f>
        <v>1291.45</v>
      </c>
      <c r="U26" s="3">
        <f>SUM('TOTAL VOLUME'!U26*'FedEx Rates'!U26)</f>
        <v>1355</v>
      </c>
      <c r="V26" s="3">
        <f>SUM('TOTAL VOLUME'!V26*'FedEx Rates'!V26)</f>
        <v>3074.5499999999997</v>
      </c>
      <c r="W26" s="3">
        <f>SUM('TOTAL VOLUME'!W26*'FedEx Rates'!W26)</f>
        <v>359.26</v>
      </c>
      <c r="X26" s="3">
        <f>SUM('TOTAL VOLUME'!X26*'FedEx Rates'!X26)</f>
        <v>166.08</v>
      </c>
      <c r="Y26" s="3">
        <f>SUM('TOTAL VOLUME'!Y26*'FedEx Rates'!Y26)</f>
        <v>349.18</v>
      </c>
      <c r="Z26" s="3">
        <f>SUM('TOTAL VOLUME'!Z26*'FedEx Rates'!Z26)</f>
        <v>665.4</v>
      </c>
      <c r="AA26" s="3">
        <f>SUM('TOTAL VOLUME'!AA26*'FedEx Rates'!AA26)</f>
        <v>666.13</v>
      </c>
      <c r="AB26" s="3">
        <f>SUM('TOTAL VOLUME'!AB26*'FedEx Rates'!AB26)</f>
        <v>530.66999999999996</v>
      </c>
      <c r="AC26" s="3">
        <f>SUM('TOTAL VOLUME'!AC26*'FedEx Rates'!AC26)</f>
        <v>798.87</v>
      </c>
    </row>
    <row r="27" spans="1:29" x14ac:dyDescent="0.2">
      <c r="A27" s="2">
        <v>26</v>
      </c>
      <c r="B27" s="3">
        <f>SUM('TOTAL VOLUME'!B27*'FedEx Rates'!B27)</f>
        <v>30.33</v>
      </c>
      <c r="C27" s="3">
        <f>SUM('TOTAL VOLUME'!C27*'FedEx Rates'!C27)</f>
        <v>12.11</v>
      </c>
      <c r="D27" s="3">
        <f>SUM('TOTAL VOLUME'!D27*'FedEx Rates'!D27)</f>
        <v>15.37</v>
      </c>
      <c r="E27" s="3">
        <f>SUM('TOTAL VOLUME'!E27*'FedEx Rates'!E27)</f>
        <v>457.40000000000003</v>
      </c>
      <c r="F27" s="3">
        <f>SUM('TOTAL VOLUME'!F27*'FedEx Rates'!F27)</f>
        <v>304.92</v>
      </c>
      <c r="G27" s="3">
        <f>SUM('TOTAL VOLUME'!G27*'FedEx Rates'!G27)</f>
        <v>111.75</v>
      </c>
      <c r="H27" s="3">
        <f>SUM('TOTAL VOLUME'!H27*'FedEx Rates'!H27)</f>
        <v>192.8</v>
      </c>
      <c r="I27" s="3">
        <f>SUM('TOTAL VOLUME'!I27*'FedEx Rates'!I27)</f>
        <v>0</v>
      </c>
      <c r="J27" s="3">
        <f>SUM('TOTAL VOLUME'!J27*'FedEx Rates'!J27)</f>
        <v>0</v>
      </c>
      <c r="K27" s="3">
        <f>SUM('TOTAL VOLUME'!K27*'FedEx Rates'!K27)</f>
        <v>0</v>
      </c>
      <c r="L27" s="3">
        <f>SUM('TOTAL VOLUME'!L27*'FedEx Rates'!L27)</f>
        <v>17.66</v>
      </c>
      <c r="M27" s="3">
        <f>SUM('TOTAL VOLUME'!M27*'FedEx Rates'!M27)</f>
        <v>22.79</v>
      </c>
      <c r="N27" s="3">
        <f>SUM('TOTAL VOLUME'!N27*'FedEx Rates'!N27)</f>
        <v>56.32</v>
      </c>
      <c r="O27" s="3">
        <f>SUM('TOTAL VOLUME'!O27*'FedEx Rates'!O27)</f>
        <v>96.24</v>
      </c>
      <c r="P27" s="3">
        <f>SUM('TOTAL VOLUME'!P27*'FedEx Rates'!P27)</f>
        <v>518.4</v>
      </c>
      <c r="Q27" s="3">
        <f>SUM('TOTAL VOLUME'!Q27*'FedEx Rates'!Q27)</f>
        <v>738</v>
      </c>
      <c r="R27" s="3">
        <f>SUM('TOTAL VOLUME'!R27*'FedEx Rates'!R27)</f>
        <v>1159.24</v>
      </c>
      <c r="S27" s="3">
        <f>SUM('TOTAL VOLUME'!S27*'FedEx Rates'!S27)</f>
        <v>3277.5</v>
      </c>
      <c r="T27" s="3">
        <f>SUM('TOTAL VOLUME'!T27*'FedEx Rates'!T27)</f>
        <v>1233.8400000000001</v>
      </c>
      <c r="U27" s="3">
        <f>SUM('TOTAL VOLUME'!U27*'FedEx Rates'!U27)</f>
        <v>4215.8999999999996</v>
      </c>
      <c r="V27" s="3">
        <f>SUM('TOTAL VOLUME'!V27*'FedEx Rates'!V27)</f>
        <v>15044.15</v>
      </c>
      <c r="W27" s="3">
        <f>SUM('TOTAL VOLUME'!W27*'FedEx Rates'!W27)</f>
        <v>204.36</v>
      </c>
      <c r="X27" s="3">
        <f>SUM('TOTAL VOLUME'!X27*'FedEx Rates'!X27)</f>
        <v>235.41000000000003</v>
      </c>
      <c r="Y27" s="3">
        <f>SUM('TOTAL VOLUME'!Y27*'FedEx Rates'!Y27)</f>
        <v>239.03</v>
      </c>
      <c r="Z27" s="3">
        <f>SUM('TOTAL VOLUME'!Z27*'FedEx Rates'!Z27)</f>
        <v>640.17000000000007</v>
      </c>
      <c r="AA27" s="3">
        <f>SUM('TOTAL VOLUME'!AA27*'FedEx Rates'!AA27)</f>
        <v>495.79999999999995</v>
      </c>
      <c r="AB27" s="3">
        <f>SUM('TOTAL VOLUME'!AB27*'FedEx Rates'!AB27)</f>
        <v>388.5</v>
      </c>
      <c r="AC27" s="3">
        <f>SUM('TOTAL VOLUME'!AC27*'FedEx Rates'!AC27)</f>
        <v>1082</v>
      </c>
    </row>
    <row r="28" spans="1:29" x14ac:dyDescent="0.2">
      <c r="A28" s="2">
        <v>27</v>
      </c>
      <c r="B28" s="3">
        <f>SUM('TOTAL VOLUME'!B28*'FedEx Rates'!B28)</f>
        <v>10.43</v>
      </c>
      <c r="C28" s="3">
        <f>SUM('TOTAL VOLUME'!C28*'FedEx Rates'!C28)</f>
        <v>49.88</v>
      </c>
      <c r="D28" s="3">
        <f>SUM('TOTAL VOLUME'!D28*'FedEx Rates'!D28)</f>
        <v>0</v>
      </c>
      <c r="E28" s="3">
        <f>SUM('TOTAL VOLUME'!E28*'FedEx Rates'!E28)</f>
        <v>189.44</v>
      </c>
      <c r="F28" s="3">
        <f>SUM('TOTAL VOLUME'!F28*'FedEx Rates'!F28)</f>
        <v>70.040000000000006</v>
      </c>
      <c r="G28" s="3">
        <f>SUM('TOTAL VOLUME'!G28*'FedEx Rates'!G28)</f>
        <v>38.51</v>
      </c>
      <c r="H28" s="3">
        <f>SUM('TOTAL VOLUME'!H28*'FedEx Rates'!H28)</f>
        <v>79.540000000000006</v>
      </c>
      <c r="I28" s="3">
        <f>SUM('TOTAL VOLUME'!I28*'FedEx Rates'!I28)</f>
        <v>10.18</v>
      </c>
      <c r="J28" s="3">
        <f>SUM('TOTAL VOLUME'!J28*'FedEx Rates'!J28)</f>
        <v>0</v>
      </c>
      <c r="K28" s="3">
        <f>SUM('TOTAL VOLUME'!K28*'FedEx Rates'!K28)</f>
        <v>0</v>
      </c>
      <c r="L28" s="3">
        <f>SUM('TOTAL VOLUME'!L28*'FedEx Rates'!L28)</f>
        <v>93.05</v>
      </c>
      <c r="M28" s="3">
        <f>SUM('TOTAL VOLUME'!M28*'FedEx Rates'!M28)</f>
        <v>0</v>
      </c>
      <c r="N28" s="3">
        <f>SUM('TOTAL VOLUME'!N28*'FedEx Rates'!N28)</f>
        <v>58.3</v>
      </c>
      <c r="O28" s="3">
        <f>SUM('TOTAL VOLUME'!O28*'FedEx Rates'!O28)</f>
        <v>165.35</v>
      </c>
      <c r="P28" s="3">
        <f>SUM('TOTAL VOLUME'!P28*'FedEx Rates'!P28)</f>
        <v>605.36</v>
      </c>
      <c r="Q28" s="3">
        <f>SUM('TOTAL VOLUME'!Q28*'FedEx Rates'!Q28)</f>
        <v>914.76</v>
      </c>
      <c r="R28" s="3">
        <f>SUM('TOTAL VOLUME'!R28*'FedEx Rates'!R28)</f>
        <v>1798.1999999999998</v>
      </c>
      <c r="S28" s="3">
        <f>SUM('TOTAL VOLUME'!S28*'FedEx Rates'!S28)</f>
        <v>4240.74</v>
      </c>
      <c r="T28" s="3">
        <f>SUM('TOTAL VOLUME'!T28*'FedEx Rates'!T28)</f>
        <v>1404.76</v>
      </c>
      <c r="U28" s="3">
        <f>SUM('TOTAL VOLUME'!U28*'FedEx Rates'!U28)</f>
        <v>2570.44</v>
      </c>
      <c r="V28" s="3">
        <f>SUM('TOTAL VOLUME'!V28*'FedEx Rates'!V28)</f>
        <v>10961.199999999999</v>
      </c>
      <c r="W28" s="3">
        <f>SUM('TOTAL VOLUME'!W28*'FedEx Rates'!W28)</f>
        <v>324.31</v>
      </c>
      <c r="X28" s="3">
        <f>SUM('TOTAL VOLUME'!X28*'FedEx Rates'!X28)</f>
        <v>112.89999999999999</v>
      </c>
      <c r="Y28" s="3">
        <f>SUM('TOTAL VOLUME'!Y28*'FedEx Rates'!Y28)</f>
        <v>178.16</v>
      </c>
      <c r="Z28" s="3">
        <f>SUM('TOTAL VOLUME'!Z28*'FedEx Rates'!Z28)</f>
        <v>429.48</v>
      </c>
      <c r="AA28" s="3">
        <f>SUM('TOTAL VOLUME'!AA28*'FedEx Rates'!AA28)</f>
        <v>711.19999999999993</v>
      </c>
      <c r="AB28" s="3">
        <f>SUM('TOTAL VOLUME'!AB28*'FedEx Rates'!AB28)</f>
        <v>159.18</v>
      </c>
      <c r="AC28" s="3">
        <f>SUM('TOTAL VOLUME'!AC28*'FedEx Rates'!AC28)</f>
        <v>1045.6200000000001</v>
      </c>
    </row>
    <row r="29" spans="1:29" x14ac:dyDescent="0.2">
      <c r="A29" s="2">
        <v>28</v>
      </c>
      <c r="B29" s="3">
        <f>SUM('TOTAL VOLUME'!B29*'FedEx Rates'!B29)</f>
        <v>10.77</v>
      </c>
      <c r="C29" s="3">
        <f>SUM('TOTAL VOLUME'!C29*'FedEx Rates'!C29)</f>
        <v>25.76</v>
      </c>
      <c r="D29" s="3">
        <f>SUM('TOTAL VOLUME'!D29*'FedEx Rates'!D29)</f>
        <v>0</v>
      </c>
      <c r="E29" s="3">
        <f>SUM('TOTAL VOLUME'!E29*'FedEx Rates'!E29)</f>
        <v>96.96</v>
      </c>
      <c r="F29" s="3">
        <f>SUM('TOTAL VOLUME'!F29*'FedEx Rates'!F29)</f>
        <v>35.92</v>
      </c>
      <c r="G29" s="3">
        <f>SUM('TOTAL VOLUME'!G29*'FedEx Rates'!G29)</f>
        <v>0</v>
      </c>
      <c r="H29" s="3">
        <f>SUM('TOTAL VOLUME'!H29*'FedEx Rates'!H29)</f>
        <v>162.91999999999999</v>
      </c>
      <c r="I29" s="3">
        <f>SUM('TOTAL VOLUME'!I29*'FedEx Rates'!I29)</f>
        <v>0</v>
      </c>
      <c r="J29" s="3">
        <f>SUM('TOTAL VOLUME'!J29*'FedEx Rates'!J29)</f>
        <v>0</v>
      </c>
      <c r="K29" s="3">
        <f>SUM('TOTAL VOLUME'!K29*'FedEx Rates'!K29)</f>
        <v>0</v>
      </c>
      <c r="L29" s="3">
        <f>SUM('TOTAL VOLUME'!L29*'FedEx Rates'!L29)</f>
        <v>18.71</v>
      </c>
      <c r="M29" s="3">
        <f>SUM('TOTAL VOLUME'!M29*'FedEx Rates'!M29)</f>
        <v>0</v>
      </c>
      <c r="N29" s="3">
        <f>SUM('TOTAL VOLUME'!N29*'FedEx Rates'!N29)</f>
        <v>0</v>
      </c>
      <c r="O29" s="3">
        <f>SUM('TOTAL VOLUME'!O29*'FedEx Rates'!O29)</f>
        <v>102.42</v>
      </c>
      <c r="P29" s="3">
        <f>SUM('TOTAL VOLUME'!P29*'FedEx Rates'!P29)</f>
        <v>451.58000000000004</v>
      </c>
      <c r="Q29" s="3">
        <f>SUM('TOTAL VOLUME'!Q29*'FedEx Rates'!Q29)</f>
        <v>363.78000000000003</v>
      </c>
      <c r="R29" s="3">
        <f>SUM('TOTAL VOLUME'!R29*'FedEx Rates'!R29)</f>
        <v>915.84</v>
      </c>
      <c r="S29" s="3">
        <f>SUM('TOTAL VOLUME'!S29*'FedEx Rates'!S29)</f>
        <v>1288.98</v>
      </c>
      <c r="T29" s="3">
        <f>SUM('TOTAL VOLUME'!T29*'FedEx Rates'!T29)</f>
        <v>787.4</v>
      </c>
      <c r="U29" s="3">
        <f>SUM('TOTAL VOLUME'!U29*'FedEx Rates'!U29)</f>
        <v>630</v>
      </c>
      <c r="V29" s="3">
        <f>SUM('TOTAL VOLUME'!V29*'FedEx Rates'!V29)</f>
        <v>3448.97</v>
      </c>
      <c r="W29" s="3">
        <f>SUM('TOTAL VOLUME'!W29*'FedEx Rates'!W29)</f>
        <v>266.31</v>
      </c>
      <c r="X29" s="3">
        <f>SUM('TOTAL VOLUME'!X29*'FedEx Rates'!X29)</f>
        <v>79.38</v>
      </c>
      <c r="Y29" s="3">
        <f>SUM('TOTAL VOLUME'!Y29*'FedEx Rates'!Y29)</f>
        <v>114.3</v>
      </c>
      <c r="Z29" s="3">
        <f>SUM('TOTAL VOLUME'!Z29*'FedEx Rates'!Z29)</f>
        <v>515.76</v>
      </c>
      <c r="AA29" s="3">
        <f>SUM('TOTAL VOLUME'!AA29*'FedEx Rates'!AA29)</f>
        <v>356.44</v>
      </c>
      <c r="AB29" s="3">
        <f>SUM('TOTAL VOLUME'!AB29*'FedEx Rates'!AB29)</f>
        <v>216.96</v>
      </c>
      <c r="AC29" s="3">
        <f>SUM('TOTAL VOLUME'!AC29*'FedEx Rates'!AC29)</f>
        <v>1013.6</v>
      </c>
    </row>
    <row r="30" spans="1:29" x14ac:dyDescent="0.2">
      <c r="A30" s="2">
        <v>29</v>
      </c>
      <c r="B30" s="3">
        <f>SUM('TOTAL VOLUME'!B30*'FedEx Rates'!B30)</f>
        <v>11.04</v>
      </c>
      <c r="C30" s="3">
        <f>SUM('TOTAL VOLUME'!C30*'FedEx Rates'!C30)</f>
        <v>39.36</v>
      </c>
      <c r="D30" s="3">
        <f>SUM('TOTAL VOLUME'!D30*'FedEx Rates'!D30)</f>
        <v>0</v>
      </c>
      <c r="E30" s="3">
        <f>SUM('TOTAL VOLUME'!E30*'FedEx Rates'!E30)</f>
        <v>0</v>
      </c>
      <c r="F30" s="3">
        <f>SUM('TOTAL VOLUME'!F30*'FedEx Rates'!F30)</f>
        <v>36.89</v>
      </c>
      <c r="G30" s="3">
        <f>SUM('TOTAL VOLUME'!G30*'FedEx Rates'!G30)</f>
        <v>40.49</v>
      </c>
      <c r="H30" s="3">
        <f>SUM('TOTAL VOLUME'!H30*'FedEx Rates'!H30)</f>
        <v>125.82</v>
      </c>
      <c r="I30" s="3">
        <f>SUM('TOTAL VOLUME'!I30*'FedEx Rates'!I30)</f>
        <v>0</v>
      </c>
      <c r="J30" s="3">
        <f>SUM('TOTAL VOLUME'!J30*'FedEx Rates'!J30)</f>
        <v>0</v>
      </c>
      <c r="K30" s="3">
        <f>SUM('TOTAL VOLUME'!K30*'FedEx Rates'!K30)</f>
        <v>0</v>
      </c>
      <c r="L30" s="3">
        <f>SUM('TOTAL VOLUME'!L30*'FedEx Rates'!L30)</f>
        <v>0</v>
      </c>
      <c r="M30" s="3">
        <f>SUM('TOTAL VOLUME'!M30*'FedEx Rates'!M30)</f>
        <v>52.52</v>
      </c>
      <c r="N30" s="3">
        <f>SUM('TOTAL VOLUME'!N30*'FedEx Rates'!N30)</f>
        <v>30.93</v>
      </c>
      <c r="O30" s="3">
        <f>SUM('TOTAL VOLUME'!O30*'FedEx Rates'!O30)</f>
        <v>35.21</v>
      </c>
      <c r="P30" s="3">
        <f>SUM('TOTAL VOLUME'!P30*'FedEx Rates'!P30)</f>
        <v>263.25</v>
      </c>
      <c r="Q30" s="3">
        <f>SUM('TOTAL VOLUME'!Q30*'FedEx Rates'!Q30)</f>
        <v>110.46</v>
      </c>
      <c r="R30" s="3">
        <f>SUM('TOTAL VOLUME'!R30*'FedEx Rates'!R30)</f>
        <v>299.25</v>
      </c>
      <c r="S30" s="3">
        <f>SUM('TOTAL VOLUME'!S30*'FedEx Rates'!S30)</f>
        <v>644.49</v>
      </c>
      <c r="T30" s="3">
        <f>SUM('TOTAL VOLUME'!T30*'FedEx Rates'!T30)</f>
        <v>613.82000000000005</v>
      </c>
      <c r="U30" s="3">
        <f>SUM('TOTAL VOLUME'!U30*'FedEx Rates'!U30)</f>
        <v>276.12</v>
      </c>
      <c r="V30" s="3">
        <f>SUM('TOTAL VOLUME'!V30*'FedEx Rates'!V30)</f>
        <v>1308</v>
      </c>
      <c r="W30" s="3">
        <f>SUM('TOTAL VOLUME'!W30*'FedEx Rates'!W30)</f>
        <v>284.2</v>
      </c>
      <c r="X30" s="3">
        <f>SUM('TOTAL VOLUME'!X30*'FedEx Rates'!X30)</f>
        <v>45.56</v>
      </c>
      <c r="Y30" s="3">
        <f>SUM('TOTAL VOLUME'!Y30*'FedEx Rates'!Y30)</f>
        <v>327.32</v>
      </c>
      <c r="Z30" s="3">
        <f>SUM('TOTAL VOLUME'!Z30*'FedEx Rates'!Z30)</f>
        <v>616</v>
      </c>
      <c r="AA30" s="3">
        <f>SUM('TOTAL VOLUME'!AA30*'FedEx Rates'!AA30)</f>
        <v>509.6</v>
      </c>
      <c r="AB30" s="3">
        <f>SUM('TOTAL VOLUME'!AB30*'FedEx Rates'!AB30)</f>
        <v>418.5</v>
      </c>
      <c r="AC30" s="3">
        <f>SUM('TOTAL VOLUME'!AC30*'FedEx Rates'!AC30)</f>
        <v>1135.68</v>
      </c>
    </row>
    <row r="31" spans="1:29" x14ac:dyDescent="0.2">
      <c r="A31" s="2">
        <v>30</v>
      </c>
      <c r="B31" s="3">
        <f>SUM('TOTAL VOLUME'!B31*'FedEx Rates'!B31)</f>
        <v>11.09</v>
      </c>
      <c r="C31" s="3">
        <f>SUM('TOTAL VOLUME'!C31*'FedEx Rates'!C31)</f>
        <v>0</v>
      </c>
      <c r="D31" s="3">
        <f>SUM('TOTAL VOLUME'!D31*'FedEx Rates'!D31)</f>
        <v>0</v>
      </c>
      <c r="E31" s="3">
        <f>SUM('TOTAL VOLUME'!E31*'FedEx Rates'!E31)</f>
        <v>76.89</v>
      </c>
      <c r="F31" s="3">
        <f>SUM('TOTAL VOLUME'!F31*'FedEx Rates'!F31)</f>
        <v>113.69999999999999</v>
      </c>
      <c r="G31" s="3">
        <f>SUM('TOTAL VOLUME'!G31*'FedEx Rates'!G31)</f>
        <v>83.16</v>
      </c>
      <c r="H31" s="3">
        <f>SUM('TOTAL VOLUME'!H31*'FedEx Rates'!H31)</f>
        <v>258.06</v>
      </c>
      <c r="I31" s="3">
        <f>SUM('TOTAL VOLUME'!I31*'FedEx Rates'!I31)</f>
        <v>0</v>
      </c>
      <c r="J31" s="3">
        <f>SUM('TOTAL VOLUME'!J31*'FedEx Rates'!J31)</f>
        <v>0</v>
      </c>
      <c r="K31" s="3">
        <f>SUM('TOTAL VOLUME'!K31*'FedEx Rates'!K31)</f>
        <v>0</v>
      </c>
      <c r="L31" s="3">
        <f>SUM('TOTAL VOLUME'!L31*'FedEx Rates'!L31)</f>
        <v>19.8</v>
      </c>
      <c r="M31" s="3">
        <f>SUM('TOTAL VOLUME'!M31*'FedEx Rates'!M31)</f>
        <v>27.1</v>
      </c>
      <c r="N31" s="3">
        <f>SUM('TOTAL VOLUME'!N31*'FedEx Rates'!N31)</f>
        <v>0</v>
      </c>
      <c r="O31" s="3">
        <f>SUM('TOTAL VOLUME'!O31*'FedEx Rates'!O31)</f>
        <v>181.05</v>
      </c>
      <c r="P31" s="3">
        <f>SUM('TOTAL VOLUME'!P31*'FedEx Rates'!P31)</f>
        <v>361.46000000000004</v>
      </c>
      <c r="Q31" s="3">
        <f>SUM('TOTAL VOLUME'!Q31*'FedEx Rates'!Q31)</f>
        <v>242.4</v>
      </c>
      <c r="R31" s="3">
        <f>SUM('TOTAL VOLUME'!R31*'FedEx Rates'!R31)</f>
        <v>266.40000000000003</v>
      </c>
      <c r="S31" s="3">
        <f>SUM('TOTAL VOLUME'!S31*'FedEx Rates'!S31)</f>
        <v>1211.8200000000002</v>
      </c>
      <c r="T31" s="3">
        <f>SUM('TOTAL VOLUME'!T31*'FedEx Rates'!T31)</f>
        <v>1061.5999999999999</v>
      </c>
      <c r="U31" s="3">
        <f>SUM('TOTAL VOLUME'!U31*'FedEx Rates'!U31)</f>
        <v>693.9</v>
      </c>
      <c r="V31" s="3">
        <f>SUM('TOTAL VOLUME'!V31*'FedEx Rates'!V31)</f>
        <v>1362.7500000000002</v>
      </c>
      <c r="W31" s="3">
        <f>SUM('TOTAL VOLUME'!W31*'FedEx Rates'!W31)</f>
        <v>530.4</v>
      </c>
      <c r="X31" s="3">
        <f>SUM('TOTAL VOLUME'!X31*'FedEx Rates'!X31)</f>
        <v>251.02</v>
      </c>
      <c r="Y31" s="3">
        <f>SUM('TOTAL VOLUME'!Y31*'FedEx Rates'!Y31)</f>
        <v>374.88</v>
      </c>
      <c r="Z31" s="3">
        <f>SUM('TOTAL VOLUME'!Z31*'FedEx Rates'!Z31)</f>
        <v>1167.95</v>
      </c>
      <c r="AA31" s="3">
        <f>SUM('TOTAL VOLUME'!AA31*'FedEx Rates'!AA31)</f>
        <v>716.80000000000007</v>
      </c>
      <c r="AB31" s="3">
        <f>SUM('TOTAL VOLUME'!AB31*'FedEx Rates'!AB31)</f>
        <v>532.38</v>
      </c>
      <c r="AC31" s="3">
        <f>SUM('TOTAL VOLUME'!AC31*'FedEx Rates'!AC31)</f>
        <v>2421.94</v>
      </c>
    </row>
    <row r="32" spans="1:29" x14ac:dyDescent="0.2">
      <c r="A32" s="2">
        <v>31</v>
      </c>
      <c r="B32" s="3">
        <f>SUM('TOTAL VOLUME'!B32*'FedEx Rates'!B32)</f>
        <v>11.13</v>
      </c>
      <c r="C32" s="3">
        <f>SUM('TOTAL VOLUME'!C32*'FedEx Rates'!C32)</f>
        <v>0</v>
      </c>
      <c r="D32" s="3">
        <f>SUM('TOTAL VOLUME'!D32*'FedEx Rates'!D32)</f>
        <v>35.28</v>
      </c>
      <c r="E32" s="3">
        <f>SUM('TOTAL VOLUME'!E32*'FedEx Rates'!E32)</f>
        <v>157.19999999999999</v>
      </c>
      <c r="F32" s="3">
        <f>SUM('TOTAL VOLUME'!F32*'FedEx Rates'!F32)</f>
        <v>232.56</v>
      </c>
      <c r="G32" s="3">
        <f>SUM('TOTAL VOLUME'!G32*'FedEx Rates'!G32)</f>
        <v>84.98</v>
      </c>
      <c r="H32" s="3">
        <f>SUM('TOTAL VOLUME'!H32*'FedEx Rates'!H32)</f>
        <v>573.94999999999993</v>
      </c>
      <c r="I32" s="3">
        <f>SUM('TOTAL VOLUME'!I32*'FedEx Rates'!I32)</f>
        <v>0</v>
      </c>
      <c r="J32" s="3">
        <f>SUM('TOTAL VOLUME'!J32*'FedEx Rates'!J32)</f>
        <v>0</v>
      </c>
      <c r="K32" s="3">
        <f>SUM('TOTAL VOLUME'!K32*'FedEx Rates'!K32)</f>
        <v>0</v>
      </c>
      <c r="L32" s="3">
        <f>SUM('TOTAL VOLUME'!L32*'FedEx Rates'!L32)</f>
        <v>0</v>
      </c>
      <c r="M32" s="3">
        <f>SUM('TOTAL VOLUME'!M32*'FedEx Rates'!M32)</f>
        <v>0</v>
      </c>
      <c r="N32" s="3">
        <f>SUM('TOTAL VOLUME'!N32*'FedEx Rates'!N32)</f>
        <v>0</v>
      </c>
      <c r="O32" s="3">
        <f>SUM('TOTAL VOLUME'!O32*'FedEx Rates'!O32)</f>
        <v>632.40000000000009</v>
      </c>
      <c r="P32" s="3">
        <f>SUM('TOTAL VOLUME'!P32*'FedEx Rates'!P32)</f>
        <v>632.79000000000008</v>
      </c>
      <c r="Q32" s="3">
        <f>SUM('TOTAL VOLUME'!Q32*'FedEx Rates'!Q32)</f>
        <v>264</v>
      </c>
      <c r="R32" s="3">
        <f>SUM('TOTAL VOLUME'!R32*'FedEx Rates'!R32)</f>
        <v>507.36</v>
      </c>
      <c r="S32" s="3">
        <f>SUM('TOTAL VOLUME'!S32*'FedEx Rates'!S32)</f>
        <v>1400.1</v>
      </c>
      <c r="T32" s="3">
        <f>SUM('TOTAL VOLUME'!T32*'FedEx Rates'!T32)</f>
        <v>1516.26</v>
      </c>
      <c r="U32" s="3">
        <f>SUM('TOTAL VOLUME'!U32*'FedEx Rates'!U32)</f>
        <v>800</v>
      </c>
      <c r="V32" s="3">
        <f>SUM('TOTAL VOLUME'!V32*'FedEx Rates'!V32)</f>
        <v>2548.64</v>
      </c>
      <c r="W32" s="3">
        <f>SUM('TOTAL VOLUME'!W32*'FedEx Rates'!W32)</f>
        <v>507.6</v>
      </c>
      <c r="X32" s="3">
        <f>SUM('TOTAL VOLUME'!X32*'FedEx Rates'!X32)</f>
        <v>129.03</v>
      </c>
      <c r="Y32" s="3">
        <f>SUM('TOTAL VOLUME'!Y32*'FedEx Rates'!Y32)</f>
        <v>659.61</v>
      </c>
      <c r="Z32" s="3">
        <f>SUM('TOTAL VOLUME'!Z32*'FedEx Rates'!Z32)</f>
        <v>1453.76</v>
      </c>
      <c r="AA32" s="3">
        <f>SUM('TOTAL VOLUME'!AA32*'FedEx Rates'!AA32)</f>
        <v>916.74</v>
      </c>
      <c r="AB32" s="3">
        <f>SUM('TOTAL VOLUME'!AB32*'FedEx Rates'!AB32)</f>
        <v>463.68</v>
      </c>
      <c r="AC32" s="3">
        <f>SUM('TOTAL VOLUME'!AC32*'FedEx Rates'!AC32)</f>
        <v>3994.32</v>
      </c>
    </row>
    <row r="33" spans="1:29" x14ac:dyDescent="0.2">
      <c r="A33" s="2">
        <v>32</v>
      </c>
      <c r="B33" s="3">
        <f>SUM('TOTAL VOLUME'!B33*'FedEx Rates'!B33)</f>
        <v>0</v>
      </c>
      <c r="C33" s="3">
        <f>SUM('TOTAL VOLUME'!C33*'FedEx Rates'!C33)</f>
        <v>0</v>
      </c>
      <c r="D33" s="3">
        <f>SUM('TOTAL VOLUME'!D33*'FedEx Rates'!D33)</f>
        <v>18.14</v>
      </c>
      <c r="E33" s="3">
        <f>SUM('TOTAL VOLUME'!E33*'FedEx Rates'!E33)</f>
        <v>160.97999999999999</v>
      </c>
      <c r="F33" s="3">
        <f>SUM('TOTAL VOLUME'!F33*'FedEx Rates'!F33)</f>
        <v>159.6</v>
      </c>
      <c r="G33" s="3">
        <f>SUM('TOTAL VOLUME'!G33*'FedEx Rates'!G33)</f>
        <v>43.67</v>
      </c>
      <c r="H33" s="3">
        <f>SUM('TOTAL VOLUME'!H33*'FedEx Rates'!H33)</f>
        <v>633.07999999999993</v>
      </c>
      <c r="I33" s="3">
        <f>SUM('TOTAL VOLUME'!I33*'FedEx Rates'!I33)</f>
        <v>0</v>
      </c>
      <c r="J33" s="3">
        <f>SUM('TOTAL VOLUME'!J33*'FedEx Rates'!J33)</f>
        <v>0</v>
      </c>
      <c r="K33" s="3">
        <f>SUM('TOTAL VOLUME'!K33*'FedEx Rates'!K33)</f>
        <v>0</v>
      </c>
      <c r="L33" s="3">
        <f>SUM('TOTAL VOLUME'!L33*'FedEx Rates'!L33)</f>
        <v>41.56</v>
      </c>
      <c r="M33" s="3">
        <f>SUM('TOTAL VOLUME'!M33*'FedEx Rates'!M33)</f>
        <v>28.62</v>
      </c>
      <c r="N33" s="3">
        <f>SUM('TOTAL VOLUME'!N33*'FedEx Rates'!N33)</f>
        <v>64.14</v>
      </c>
      <c r="O33" s="3">
        <f>SUM('TOTAL VOLUME'!O33*'FedEx Rates'!O33)</f>
        <v>634.61</v>
      </c>
      <c r="P33" s="3">
        <f>SUM('TOTAL VOLUME'!P33*'FedEx Rates'!P33)</f>
        <v>1623.3600000000001</v>
      </c>
      <c r="Q33" s="3">
        <f>SUM('TOTAL VOLUME'!Q33*'FedEx Rates'!Q33)</f>
        <v>636.02</v>
      </c>
      <c r="R33" s="3">
        <f>SUM('TOTAL VOLUME'!R33*'FedEx Rates'!R33)</f>
        <v>1114.3800000000001</v>
      </c>
      <c r="S33" s="3">
        <f>SUM('TOTAL VOLUME'!S33*'FedEx Rates'!S33)</f>
        <v>2444.79</v>
      </c>
      <c r="T33" s="3">
        <f>SUM('TOTAL VOLUME'!T33*'FedEx Rates'!T33)</f>
        <v>2540.7600000000002</v>
      </c>
      <c r="U33" s="3">
        <f>SUM('TOTAL VOLUME'!U33*'FedEx Rates'!U33)</f>
        <v>1440</v>
      </c>
      <c r="V33" s="3">
        <f>SUM('TOTAL VOLUME'!V33*'FedEx Rates'!V33)</f>
        <v>3221.5</v>
      </c>
      <c r="W33" s="3">
        <f>SUM('TOTAL VOLUME'!W33*'FedEx Rates'!W33)</f>
        <v>461.09999999999997</v>
      </c>
      <c r="X33" s="3">
        <f>SUM('TOTAL VOLUME'!X33*'FedEx Rates'!X33)</f>
        <v>312.26</v>
      </c>
      <c r="Y33" s="3">
        <f>SUM('TOTAL VOLUME'!Y33*'FedEx Rates'!Y33)</f>
        <v>723.84</v>
      </c>
      <c r="Z33" s="3">
        <f>SUM('TOTAL VOLUME'!Z33*'FedEx Rates'!Z33)</f>
        <v>2137.7400000000002</v>
      </c>
      <c r="AA33" s="3">
        <f>SUM('TOTAL VOLUME'!AA33*'FedEx Rates'!AA33)</f>
        <v>1456</v>
      </c>
      <c r="AB33" s="3">
        <f>SUM('TOTAL VOLUME'!AB33*'FedEx Rates'!AB33)</f>
        <v>1222.6199999999999</v>
      </c>
      <c r="AC33" s="3">
        <f>SUM('TOTAL VOLUME'!AC33*'FedEx Rates'!AC33)</f>
        <v>4335.75</v>
      </c>
    </row>
    <row r="34" spans="1:29" x14ac:dyDescent="0.2">
      <c r="A34" s="2">
        <v>33</v>
      </c>
      <c r="B34" s="3">
        <f>SUM('TOTAL VOLUME'!B34*'FedEx Rates'!B34)</f>
        <v>24.2</v>
      </c>
      <c r="C34" s="3">
        <f>SUM('TOTAL VOLUME'!C34*'FedEx Rates'!C34)</f>
        <v>0</v>
      </c>
      <c r="D34" s="3">
        <f>SUM('TOTAL VOLUME'!D34*'FedEx Rates'!D34)</f>
        <v>74.56</v>
      </c>
      <c r="E34" s="3">
        <f>SUM('TOTAL VOLUME'!E34*'FedEx Rates'!E34)</f>
        <v>82.199999999999989</v>
      </c>
      <c r="F34" s="3">
        <f>SUM('TOTAL VOLUME'!F34*'FedEx Rates'!F34)</f>
        <v>81.94</v>
      </c>
      <c r="G34" s="3">
        <f>SUM('TOTAL VOLUME'!G34*'FedEx Rates'!G34)</f>
        <v>89.36</v>
      </c>
      <c r="H34" s="3">
        <f>SUM('TOTAL VOLUME'!H34*'FedEx Rates'!H34)</f>
        <v>510.07</v>
      </c>
      <c r="I34" s="3">
        <f>SUM('TOTAL VOLUME'!I34*'FedEx Rates'!I34)</f>
        <v>11.58</v>
      </c>
      <c r="J34" s="3">
        <f>SUM('TOTAL VOLUME'!J34*'FedEx Rates'!J34)</f>
        <v>0</v>
      </c>
      <c r="K34" s="3">
        <f>SUM('TOTAL VOLUME'!K34*'FedEx Rates'!K34)</f>
        <v>0</v>
      </c>
      <c r="L34" s="3">
        <f>SUM('TOTAL VOLUME'!L34*'FedEx Rates'!L34)</f>
        <v>0</v>
      </c>
      <c r="M34" s="3">
        <f>SUM('TOTAL VOLUME'!M34*'FedEx Rates'!M34)</f>
        <v>0</v>
      </c>
      <c r="N34" s="3">
        <f>SUM('TOTAL VOLUME'!N34*'FedEx Rates'!N34)</f>
        <v>32.9</v>
      </c>
      <c r="O34" s="3">
        <f>SUM('TOTAL VOLUME'!O34*'FedEx Rates'!O34)</f>
        <v>224.82</v>
      </c>
      <c r="P34" s="3">
        <f>SUM('TOTAL VOLUME'!P34*'FedEx Rates'!P34)</f>
        <v>1310.28</v>
      </c>
      <c r="Q34" s="3">
        <f>SUM('TOTAL VOLUME'!Q34*'FedEx Rates'!Q34)</f>
        <v>469.28000000000003</v>
      </c>
      <c r="R34" s="3">
        <f>SUM('TOTAL VOLUME'!R34*'FedEx Rates'!R34)</f>
        <v>691.31000000000006</v>
      </c>
      <c r="S34" s="3">
        <f>SUM('TOTAL VOLUME'!S34*'FedEx Rates'!S34)</f>
        <v>2041.6799999999998</v>
      </c>
      <c r="T34" s="3">
        <f>SUM('TOTAL VOLUME'!T34*'FedEx Rates'!T34)</f>
        <v>2395.7999999999997</v>
      </c>
      <c r="U34" s="3">
        <f>SUM('TOTAL VOLUME'!U34*'FedEx Rates'!U34)</f>
        <v>1057.92</v>
      </c>
      <c r="V34" s="3">
        <f>SUM('TOTAL VOLUME'!V34*'FedEx Rates'!V34)</f>
        <v>3191.44</v>
      </c>
      <c r="W34" s="3">
        <f>SUM('TOTAL VOLUME'!W34*'FedEx Rates'!W34)</f>
        <v>597.64</v>
      </c>
      <c r="X34" s="3">
        <f>SUM('TOTAL VOLUME'!X34*'FedEx Rates'!X34)</f>
        <v>164.97</v>
      </c>
      <c r="Y34" s="3">
        <f>SUM('TOTAL VOLUME'!Y34*'FedEx Rates'!Y34)</f>
        <v>887.6</v>
      </c>
      <c r="Z34" s="3">
        <f>SUM('TOTAL VOLUME'!Z34*'FedEx Rates'!Z34)</f>
        <v>2363.85</v>
      </c>
      <c r="AA34" s="3">
        <f>SUM('TOTAL VOLUME'!AA34*'FedEx Rates'!AA34)</f>
        <v>1653</v>
      </c>
      <c r="AB34" s="3">
        <f>SUM('TOTAL VOLUME'!AB34*'FedEx Rates'!AB34)</f>
        <v>493.28</v>
      </c>
      <c r="AC34" s="3">
        <f>SUM('TOTAL VOLUME'!AC34*'FedEx Rates'!AC34)</f>
        <v>4635.6499999999996</v>
      </c>
    </row>
    <row r="35" spans="1:29" x14ac:dyDescent="0.2">
      <c r="A35" s="2">
        <v>34</v>
      </c>
      <c r="B35" s="3">
        <f>SUM('TOTAL VOLUME'!B35*'FedEx Rates'!B35)</f>
        <v>37.47</v>
      </c>
      <c r="C35" s="3">
        <f>SUM('TOTAL VOLUME'!C35*'FedEx Rates'!C35)</f>
        <v>0</v>
      </c>
      <c r="D35" s="3">
        <f>SUM('TOTAL VOLUME'!D35*'FedEx Rates'!D35)</f>
        <v>0</v>
      </c>
      <c r="E35" s="3">
        <f>SUM('TOTAL VOLUME'!E35*'FedEx Rates'!E35)</f>
        <v>113.48</v>
      </c>
      <c r="F35" s="3">
        <f>SUM('TOTAL VOLUME'!F35*'FedEx Rates'!F35)</f>
        <v>0</v>
      </c>
      <c r="G35" s="3">
        <f>SUM('TOTAL VOLUME'!G35*'FedEx Rates'!G35)</f>
        <v>183.12</v>
      </c>
      <c r="H35" s="3">
        <f>SUM('TOTAL VOLUME'!H35*'FedEx Rates'!H35)</f>
        <v>332.64000000000004</v>
      </c>
      <c r="I35" s="3">
        <f>SUM('TOTAL VOLUME'!I35*'FedEx Rates'!I35)</f>
        <v>0</v>
      </c>
      <c r="J35" s="3">
        <f>SUM('TOTAL VOLUME'!J35*'FedEx Rates'!J35)</f>
        <v>0</v>
      </c>
      <c r="K35" s="3">
        <f>SUM('TOTAL VOLUME'!K35*'FedEx Rates'!K35)</f>
        <v>0</v>
      </c>
      <c r="L35" s="3">
        <f>SUM('TOTAL VOLUME'!L35*'FedEx Rates'!L35)</f>
        <v>0</v>
      </c>
      <c r="M35" s="3">
        <f>SUM('TOTAL VOLUME'!M35*'FedEx Rates'!M35)</f>
        <v>0</v>
      </c>
      <c r="N35" s="3">
        <f>SUM('TOTAL VOLUME'!N35*'FedEx Rates'!N35)</f>
        <v>0</v>
      </c>
      <c r="O35" s="3">
        <f>SUM('TOTAL VOLUME'!O35*'FedEx Rates'!O35)</f>
        <v>322.48</v>
      </c>
      <c r="P35" s="3">
        <f>SUM('TOTAL VOLUME'!P35*'FedEx Rates'!P35)</f>
        <v>1245.6000000000001</v>
      </c>
      <c r="Q35" s="3">
        <f>SUM('TOTAL VOLUME'!Q35*'FedEx Rates'!Q35)</f>
        <v>368.51</v>
      </c>
      <c r="R35" s="3">
        <f>SUM('TOTAL VOLUME'!R35*'FedEx Rates'!R35)</f>
        <v>1064.93</v>
      </c>
      <c r="S35" s="3">
        <f>SUM('TOTAL VOLUME'!S35*'FedEx Rates'!S35)</f>
        <v>1435.41</v>
      </c>
      <c r="T35" s="3">
        <f>SUM('TOTAL VOLUME'!T35*'FedEx Rates'!T35)</f>
        <v>2236.08</v>
      </c>
      <c r="U35" s="3">
        <f>SUM('TOTAL VOLUME'!U35*'FedEx Rates'!U35)</f>
        <v>1140.3399999999999</v>
      </c>
      <c r="V35" s="3">
        <f>SUM('TOTAL VOLUME'!V35*'FedEx Rates'!V35)</f>
        <v>5446.7999999999993</v>
      </c>
      <c r="W35" s="3">
        <f>SUM('TOTAL VOLUME'!W35*'FedEx Rates'!W35)</f>
        <v>573.29999999999995</v>
      </c>
      <c r="X35" s="3">
        <f>SUM('TOTAL VOLUME'!X35*'FedEx Rates'!X35)</f>
        <v>153.12</v>
      </c>
      <c r="Y35" s="3">
        <f>SUM('TOTAL VOLUME'!Y35*'FedEx Rates'!Y35)</f>
        <v>673.4</v>
      </c>
      <c r="Z35" s="3">
        <f>SUM('TOTAL VOLUME'!Z35*'FedEx Rates'!Z35)</f>
        <v>2155.23</v>
      </c>
      <c r="AA35" s="3">
        <f>SUM('TOTAL VOLUME'!AA35*'FedEx Rates'!AA35)</f>
        <v>2027.05</v>
      </c>
      <c r="AB35" s="3">
        <f>SUM('TOTAL VOLUME'!AB35*'FedEx Rates'!AB35)</f>
        <v>1196.24</v>
      </c>
      <c r="AC35" s="3">
        <f>SUM('TOTAL VOLUME'!AC35*'FedEx Rates'!AC35)</f>
        <v>4304.08</v>
      </c>
    </row>
    <row r="36" spans="1:29" x14ac:dyDescent="0.2">
      <c r="A36" s="2">
        <v>35</v>
      </c>
      <c r="B36" s="3">
        <f>SUM('TOTAL VOLUME'!B36*'FedEx Rates'!B36)</f>
        <v>12.74</v>
      </c>
      <c r="C36" s="3">
        <f>SUM('TOTAL VOLUME'!C36*'FedEx Rates'!C36)</f>
        <v>0</v>
      </c>
      <c r="D36" s="3">
        <f>SUM('TOTAL VOLUME'!D36*'FedEx Rates'!D36)</f>
        <v>77.760000000000005</v>
      </c>
      <c r="E36" s="3">
        <f>SUM('TOTAL VOLUME'!E36*'FedEx Rates'!E36)</f>
        <v>115.72</v>
      </c>
      <c r="F36" s="3">
        <f>SUM('TOTAL VOLUME'!F36*'FedEx Rates'!F36)</f>
        <v>217.39999999999998</v>
      </c>
      <c r="G36" s="3">
        <f>SUM('TOTAL VOLUME'!G36*'FedEx Rates'!G36)</f>
        <v>46.79</v>
      </c>
      <c r="H36" s="3">
        <f>SUM('TOTAL VOLUME'!H36*'FedEx Rates'!H36)</f>
        <v>334.03999999999996</v>
      </c>
      <c r="I36" s="3">
        <f>SUM('TOTAL VOLUME'!I36*'FedEx Rates'!I36)</f>
        <v>0</v>
      </c>
      <c r="J36" s="3">
        <f>SUM('TOTAL VOLUME'!J36*'FedEx Rates'!J36)</f>
        <v>0</v>
      </c>
      <c r="K36" s="3">
        <f>SUM('TOTAL VOLUME'!K36*'FedEx Rates'!K36)</f>
        <v>36.200000000000003</v>
      </c>
      <c r="L36" s="3">
        <f>SUM('TOTAL VOLUME'!L36*'FedEx Rates'!L36)</f>
        <v>0</v>
      </c>
      <c r="M36" s="3">
        <f>SUM('TOTAL VOLUME'!M36*'FedEx Rates'!M36)</f>
        <v>29.98</v>
      </c>
      <c r="N36" s="3">
        <f>SUM('TOTAL VOLUME'!N36*'FedEx Rates'!N36)</f>
        <v>0</v>
      </c>
      <c r="O36" s="3">
        <f>SUM('TOTAL VOLUME'!O36*'FedEx Rates'!O36)</f>
        <v>162.4</v>
      </c>
      <c r="P36" s="3">
        <f>SUM('TOTAL VOLUME'!P36*'FedEx Rates'!P36)</f>
        <v>1115.68</v>
      </c>
      <c r="Q36" s="3">
        <f>SUM('TOTAL VOLUME'!Q36*'FedEx Rates'!Q36)</f>
        <v>496.09999999999997</v>
      </c>
      <c r="R36" s="3">
        <f>SUM('TOTAL VOLUME'!R36*'FedEx Rates'!R36)</f>
        <v>1281.43</v>
      </c>
      <c r="S36" s="3">
        <f>SUM('TOTAL VOLUME'!S36*'FedEx Rates'!S36)</f>
        <v>2475.7200000000003</v>
      </c>
      <c r="T36" s="3">
        <f>SUM('TOTAL VOLUME'!T36*'FedEx Rates'!T36)</f>
        <v>2038.26</v>
      </c>
      <c r="U36" s="3">
        <f>SUM('TOTAL VOLUME'!U36*'FedEx Rates'!U36)</f>
        <v>1012.6800000000001</v>
      </c>
      <c r="V36" s="3">
        <f>SUM('TOTAL VOLUME'!V36*'FedEx Rates'!V36)</f>
        <v>4826.8999999999996</v>
      </c>
      <c r="W36" s="3">
        <f>SUM('TOTAL VOLUME'!W36*'FedEx Rates'!W36)</f>
        <v>362.70000000000005</v>
      </c>
      <c r="X36" s="3">
        <f>SUM('TOTAL VOLUME'!X36*'FedEx Rates'!X36)</f>
        <v>140.80000000000001</v>
      </c>
      <c r="Y36" s="3">
        <f>SUM('TOTAL VOLUME'!Y36*'FedEx Rates'!Y36)</f>
        <v>934.56000000000006</v>
      </c>
      <c r="Z36" s="3">
        <f>SUM('TOTAL VOLUME'!Z36*'FedEx Rates'!Z36)</f>
        <v>2073.48</v>
      </c>
      <c r="AA36" s="3">
        <f>SUM('TOTAL VOLUME'!AA36*'FedEx Rates'!AA36)</f>
        <v>1086.8</v>
      </c>
      <c r="AB36" s="3">
        <f>SUM('TOTAL VOLUME'!AB36*'FedEx Rates'!AB36)</f>
        <v>921.62</v>
      </c>
      <c r="AC36" s="3">
        <f>SUM('TOTAL VOLUME'!AC36*'FedEx Rates'!AC36)</f>
        <v>4278.12</v>
      </c>
    </row>
    <row r="37" spans="1:29" x14ac:dyDescent="0.2">
      <c r="A37" s="2">
        <v>36</v>
      </c>
      <c r="B37" s="3">
        <f>SUM('TOTAL VOLUME'!B37*'FedEx Rates'!B37)</f>
        <v>12.94</v>
      </c>
      <c r="C37" s="3">
        <f>SUM('TOTAL VOLUME'!C37*'FedEx Rates'!C37)</f>
        <v>0</v>
      </c>
      <c r="D37" s="3">
        <f>SUM('TOTAL VOLUME'!D37*'FedEx Rates'!D37)</f>
        <v>59.550000000000004</v>
      </c>
      <c r="E37" s="3">
        <f>SUM('TOTAL VOLUME'!E37*'FedEx Rates'!E37)</f>
        <v>29.52</v>
      </c>
      <c r="F37" s="3">
        <f>SUM('TOTAL VOLUME'!F37*'FedEx Rates'!F37)</f>
        <v>44.65</v>
      </c>
      <c r="G37" s="3">
        <f>SUM('TOTAL VOLUME'!G37*'FedEx Rates'!G37)</f>
        <v>144</v>
      </c>
      <c r="H37" s="3">
        <f>SUM('TOTAL VOLUME'!H37*'FedEx Rates'!H37)</f>
        <v>391.6</v>
      </c>
      <c r="I37" s="3">
        <f>SUM('TOTAL VOLUME'!I37*'FedEx Rates'!I37)</f>
        <v>0</v>
      </c>
      <c r="J37" s="3">
        <f>SUM('TOTAL VOLUME'!J37*'FedEx Rates'!J37)</f>
        <v>0</v>
      </c>
      <c r="K37" s="3">
        <f>SUM('TOTAL VOLUME'!K37*'FedEx Rates'!K37)</f>
        <v>0</v>
      </c>
      <c r="L37" s="3">
        <f>SUM('TOTAL VOLUME'!L37*'FedEx Rates'!L37)</f>
        <v>0</v>
      </c>
      <c r="M37" s="3">
        <f>SUM('TOTAL VOLUME'!M37*'FedEx Rates'!M37)</f>
        <v>0</v>
      </c>
      <c r="N37" s="3">
        <f>SUM('TOTAL VOLUME'!N37*'FedEx Rates'!N37)</f>
        <v>0</v>
      </c>
      <c r="O37" s="3">
        <f>SUM('TOTAL VOLUME'!O37*'FedEx Rates'!O37)</f>
        <v>211.85</v>
      </c>
      <c r="P37" s="3">
        <f>SUM('TOTAL VOLUME'!P37*'FedEx Rates'!P37)</f>
        <v>996.96</v>
      </c>
      <c r="Q37" s="3">
        <f>SUM('TOTAL VOLUME'!Q37*'FedEx Rates'!Q37)</f>
        <v>307.02</v>
      </c>
      <c r="R37" s="3">
        <f>SUM('TOTAL VOLUME'!R37*'FedEx Rates'!R37)</f>
        <v>1383.12</v>
      </c>
      <c r="S37" s="3">
        <f>SUM('TOTAL VOLUME'!S37*'FedEx Rates'!S37)</f>
        <v>1923.25</v>
      </c>
      <c r="T37" s="3">
        <f>SUM('TOTAL VOLUME'!T37*'FedEx Rates'!T37)</f>
        <v>2770.2000000000003</v>
      </c>
      <c r="U37" s="3">
        <f>SUM('TOTAL VOLUME'!U37*'FedEx Rates'!U37)</f>
        <v>1173.25</v>
      </c>
      <c r="V37" s="3">
        <f>SUM('TOTAL VOLUME'!V37*'FedEx Rates'!V37)</f>
        <v>3095.75</v>
      </c>
      <c r="W37" s="3">
        <f>SUM('TOTAL VOLUME'!W37*'FedEx Rates'!W37)</f>
        <v>600.78</v>
      </c>
      <c r="X37" s="3">
        <f>SUM('TOTAL VOLUME'!X37*'FedEx Rates'!X37)</f>
        <v>78.300000000000011</v>
      </c>
      <c r="Y37" s="3">
        <f>SUM('TOTAL VOLUME'!Y37*'FedEx Rates'!Y37)</f>
        <v>539.6</v>
      </c>
      <c r="Z37" s="3">
        <f>SUM('TOTAL VOLUME'!Z37*'FedEx Rates'!Z37)</f>
        <v>1858.35</v>
      </c>
      <c r="AA37" s="3">
        <f>SUM('TOTAL VOLUME'!AA37*'FedEx Rates'!AA37)</f>
        <v>1006.4000000000001</v>
      </c>
      <c r="AB37" s="3">
        <f>SUM('TOTAL VOLUME'!AB37*'FedEx Rates'!AB37)</f>
        <v>741.5200000000001</v>
      </c>
      <c r="AC37" s="3">
        <f>SUM('TOTAL VOLUME'!AC37*'FedEx Rates'!AC37)</f>
        <v>3111.4</v>
      </c>
    </row>
    <row r="38" spans="1:29" x14ac:dyDescent="0.2">
      <c r="A38" s="2">
        <v>37</v>
      </c>
      <c r="B38" s="3">
        <f>SUM('TOTAL VOLUME'!B38*'FedEx Rates'!B38)</f>
        <v>26.34</v>
      </c>
      <c r="C38" s="3">
        <f>SUM('TOTAL VOLUME'!C38*'FedEx Rates'!C38)</f>
        <v>0</v>
      </c>
      <c r="D38" s="3">
        <f>SUM('TOTAL VOLUME'!D38*'FedEx Rates'!D38)</f>
        <v>20.329999999999998</v>
      </c>
      <c r="E38" s="3">
        <f>SUM('TOTAL VOLUME'!E38*'FedEx Rates'!E38)</f>
        <v>90.87</v>
      </c>
      <c r="F38" s="3">
        <f>SUM('TOTAL VOLUME'!F38*'FedEx Rates'!F38)</f>
        <v>0</v>
      </c>
      <c r="G38" s="3">
        <f>SUM('TOTAL VOLUME'!G38*'FedEx Rates'!G38)</f>
        <v>99.4</v>
      </c>
      <c r="H38" s="3">
        <f>SUM('TOTAL VOLUME'!H38*'FedEx Rates'!H38)</f>
        <v>410</v>
      </c>
      <c r="I38" s="3">
        <f>SUM('TOTAL VOLUME'!I38*'FedEx Rates'!I38)</f>
        <v>12.44</v>
      </c>
      <c r="J38" s="3">
        <f>SUM('TOTAL VOLUME'!J38*'FedEx Rates'!J38)</f>
        <v>0</v>
      </c>
      <c r="K38" s="3">
        <f>SUM('TOTAL VOLUME'!K38*'FedEx Rates'!K38)</f>
        <v>18.84</v>
      </c>
      <c r="L38" s="3">
        <f>SUM('TOTAL VOLUME'!L38*'FedEx Rates'!L38)</f>
        <v>0</v>
      </c>
      <c r="M38" s="3">
        <f>SUM('TOTAL VOLUME'!M38*'FedEx Rates'!M38)</f>
        <v>32.36</v>
      </c>
      <c r="N38" s="3">
        <f>SUM('TOTAL VOLUME'!N38*'FedEx Rates'!N38)</f>
        <v>0</v>
      </c>
      <c r="O38" s="3">
        <f>SUM('TOTAL VOLUME'!O38*'FedEx Rates'!O38)</f>
        <v>42.55</v>
      </c>
      <c r="P38" s="3">
        <f>SUM('TOTAL VOLUME'!P38*'FedEx Rates'!P38)</f>
        <v>1298.5999999999999</v>
      </c>
      <c r="Q38" s="3">
        <f>SUM('TOTAL VOLUME'!Q38*'FedEx Rates'!Q38)</f>
        <v>539.26</v>
      </c>
      <c r="R38" s="3">
        <f>SUM('TOTAL VOLUME'!R38*'FedEx Rates'!R38)</f>
        <v>1285</v>
      </c>
      <c r="S38" s="3">
        <f>SUM('TOTAL VOLUME'!S38*'FedEx Rates'!S38)</f>
        <v>2842.04</v>
      </c>
      <c r="T38" s="3">
        <f>SUM('TOTAL VOLUME'!T38*'FedEx Rates'!T38)</f>
        <v>3169.3</v>
      </c>
      <c r="U38" s="3">
        <f>SUM('TOTAL VOLUME'!U38*'FedEx Rates'!U38)</f>
        <v>2087.6800000000003</v>
      </c>
      <c r="V38" s="3">
        <f>SUM('TOTAL VOLUME'!V38*'FedEx Rates'!V38)</f>
        <v>5454.6799999999994</v>
      </c>
      <c r="W38" s="3">
        <f>SUM('TOTAL VOLUME'!W38*'FedEx Rates'!W38)</f>
        <v>651.24</v>
      </c>
      <c r="X38" s="3">
        <f>SUM('TOTAL VOLUME'!X38*'FedEx Rates'!X38)</f>
        <v>501.12</v>
      </c>
      <c r="Y38" s="3">
        <f>SUM('TOTAL VOLUME'!Y38*'FedEx Rates'!Y38)</f>
        <v>1739.43</v>
      </c>
      <c r="Z38" s="3">
        <f>SUM('TOTAL VOLUME'!Z38*'FedEx Rates'!Z38)</f>
        <v>3605.7000000000003</v>
      </c>
      <c r="AA38" s="3">
        <f>SUM('TOTAL VOLUME'!AA38*'FedEx Rates'!AA38)</f>
        <v>2172.7999999999997</v>
      </c>
      <c r="AB38" s="3">
        <f>SUM('TOTAL VOLUME'!AB38*'FedEx Rates'!AB38)</f>
        <v>2197.7999999999997</v>
      </c>
      <c r="AC38" s="3">
        <f>SUM('TOTAL VOLUME'!AC38*'FedEx Rates'!AC38)</f>
        <v>5920.0599999999995</v>
      </c>
    </row>
    <row r="39" spans="1:29" x14ac:dyDescent="0.2">
      <c r="A39" s="2">
        <v>38</v>
      </c>
      <c r="B39" s="3">
        <f>SUM('TOTAL VOLUME'!B39*'FedEx Rates'!B39)</f>
        <v>26.78</v>
      </c>
      <c r="C39" s="3">
        <f>SUM('TOTAL VOLUME'!C39*'FedEx Rates'!C39)</f>
        <v>16.13</v>
      </c>
      <c r="D39" s="3">
        <f>SUM('TOTAL VOLUME'!D39*'FedEx Rates'!D39)</f>
        <v>20.84</v>
      </c>
      <c r="E39" s="3">
        <f>SUM('TOTAL VOLUME'!E39*'FedEx Rates'!E39)</f>
        <v>123.56</v>
      </c>
      <c r="F39" s="3">
        <f>SUM('TOTAL VOLUME'!F39*'FedEx Rates'!F39)</f>
        <v>141.09</v>
      </c>
      <c r="G39" s="3">
        <f>SUM('TOTAL VOLUME'!G39*'FedEx Rates'!G39)</f>
        <v>153</v>
      </c>
      <c r="H39" s="3">
        <f>SUM('TOTAL VOLUME'!H39*'FedEx Rates'!H39)</f>
        <v>368.55</v>
      </c>
      <c r="I39" s="3">
        <f>SUM('TOTAL VOLUME'!I39*'FedEx Rates'!I39)</f>
        <v>0</v>
      </c>
      <c r="J39" s="3">
        <f>SUM('TOTAL VOLUME'!J39*'FedEx Rates'!J39)</f>
        <v>0</v>
      </c>
      <c r="K39" s="3">
        <f>SUM('TOTAL VOLUME'!K39*'FedEx Rates'!K39)</f>
        <v>0</v>
      </c>
      <c r="L39" s="3">
        <f>SUM('TOTAL VOLUME'!L39*'FedEx Rates'!L39)</f>
        <v>48.02</v>
      </c>
      <c r="M39" s="3">
        <f>SUM('TOTAL VOLUME'!M39*'FedEx Rates'!M39)</f>
        <v>0</v>
      </c>
      <c r="N39" s="3">
        <f>SUM('TOTAL VOLUME'!N39*'FedEx Rates'!N39)</f>
        <v>73.3</v>
      </c>
      <c r="O39" s="3">
        <f>SUM('TOTAL VOLUME'!O39*'FedEx Rates'!O39)</f>
        <v>213.15</v>
      </c>
      <c r="P39" s="3">
        <f>SUM('TOTAL VOLUME'!P39*'FedEx Rates'!P39)</f>
        <v>1035.45</v>
      </c>
      <c r="Q39" s="3">
        <f>SUM('TOTAL VOLUME'!Q39*'FedEx Rates'!Q39)</f>
        <v>445.43999999999994</v>
      </c>
      <c r="R39" s="3">
        <f>SUM('TOTAL VOLUME'!R39*'FedEx Rates'!R39)</f>
        <v>1082.22</v>
      </c>
      <c r="S39" s="3">
        <f>SUM('TOTAL VOLUME'!S39*'FedEx Rates'!S39)</f>
        <v>2615.2800000000002</v>
      </c>
      <c r="T39" s="3">
        <f>SUM('TOTAL VOLUME'!T39*'FedEx Rates'!T39)</f>
        <v>3003.9</v>
      </c>
      <c r="U39" s="3">
        <f>SUM('TOTAL VOLUME'!U39*'FedEx Rates'!U39)</f>
        <v>1758.74</v>
      </c>
      <c r="V39" s="3">
        <f>SUM('TOTAL VOLUME'!V39*'FedEx Rates'!V39)</f>
        <v>4172.4000000000005</v>
      </c>
      <c r="W39" s="3">
        <f>SUM('TOTAL VOLUME'!W39*'FedEx Rates'!W39)</f>
        <v>282.75</v>
      </c>
      <c r="X39" s="3">
        <f>SUM('TOTAL VOLUME'!X39*'FedEx Rates'!X39)</f>
        <v>182.13</v>
      </c>
      <c r="Y39" s="3">
        <f>SUM('TOTAL VOLUME'!Y39*'FedEx Rates'!Y39)</f>
        <v>476.68</v>
      </c>
      <c r="Z39" s="3">
        <f>SUM('TOTAL VOLUME'!Z39*'FedEx Rates'!Z39)</f>
        <v>1280.1600000000001</v>
      </c>
      <c r="AA39" s="3">
        <f>SUM('TOTAL VOLUME'!AA39*'FedEx Rates'!AA39)</f>
        <v>694.1</v>
      </c>
      <c r="AB39" s="3">
        <f>SUM('TOTAL VOLUME'!AB39*'FedEx Rates'!AB39)</f>
        <v>501.15</v>
      </c>
      <c r="AC39" s="3">
        <f>SUM('TOTAL VOLUME'!AC39*'FedEx Rates'!AC39)</f>
        <v>2471.7599999999998</v>
      </c>
    </row>
    <row r="40" spans="1:29" x14ac:dyDescent="0.2">
      <c r="A40" s="2">
        <v>39</v>
      </c>
      <c r="B40" s="3">
        <f>SUM('TOTAL VOLUME'!B40*'FedEx Rates'!B40)</f>
        <v>27.66</v>
      </c>
      <c r="C40" s="3">
        <f>SUM('TOTAL VOLUME'!C40*'FedEx Rates'!C40)</f>
        <v>0</v>
      </c>
      <c r="D40" s="3">
        <f>SUM('TOTAL VOLUME'!D40*'FedEx Rates'!D40)</f>
        <v>84.8</v>
      </c>
      <c r="E40" s="3">
        <f>SUM('TOTAL VOLUME'!E40*'FedEx Rates'!E40)</f>
        <v>94.53</v>
      </c>
      <c r="F40" s="3">
        <f>SUM('TOTAL VOLUME'!F40*'FedEx Rates'!F40)</f>
        <v>144.47999999999999</v>
      </c>
      <c r="G40" s="3">
        <f>SUM('TOTAL VOLUME'!G40*'FedEx Rates'!G40)</f>
        <v>157.05000000000001</v>
      </c>
      <c r="H40" s="3">
        <f>SUM('TOTAL VOLUME'!H40*'FedEx Rates'!H40)</f>
        <v>432.16</v>
      </c>
      <c r="I40" s="3">
        <f>SUM('TOTAL VOLUME'!I40*'FedEx Rates'!I40)</f>
        <v>0</v>
      </c>
      <c r="J40" s="3">
        <f>SUM('TOTAL VOLUME'!J40*'FedEx Rates'!J40)</f>
        <v>30.54</v>
      </c>
      <c r="K40" s="3">
        <f>SUM('TOTAL VOLUME'!K40*'FedEx Rates'!K40)</f>
        <v>0</v>
      </c>
      <c r="L40" s="3">
        <f>SUM('TOTAL VOLUME'!L40*'FedEx Rates'!L40)</f>
        <v>24.54</v>
      </c>
      <c r="M40" s="3">
        <f>SUM('TOTAL VOLUME'!M40*'FedEx Rates'!M40)</f>
        <v>0</v>
      </c>
      <c r="N40" s="3">
        <f>SUM('TOTAL VOLUME'!N40*'FedEx Rates'!N40)</f>
        <v>38.58</v>
      </c>
      <c r="O40" s="3">
        <f>SUM('TOTAL VOLUME'!O40*'FedEx Rates'!O40)</f>
        <v>265.44</v>
      </c>
      <c r="P40" s="3">
        <f>SUM('TOTAL VOLUME'!P40*'FedEx Rates'!P40)</f>
        <v>2815.15</v>
      </c>
      <c r="Q40" s="3">
        <f>SUM('TOTAL VOLUME'!Q40*'FedEx Rates'!Q40)</f>
        <v>1061.5</v>
      </c>
      <c r="R40" s="3">
        <f>SUM('TOTAL VOLUME'!R40*'FedEx Rates'!R40)</f>
        <v>2941.96</v>
      </c>
      <c r="S40" s="3">
        <f>SUM('TOTAL VOLUME'!S40*'FedEx Rates'!S40)</f>
        <v>7019.8200000000006</v>
      </c>
      <c r="T40" s="3">
        <f>SUM('TOTAL VOLUME'!T40*'FedEx Rates'!T40)</f>
        <v>7917.8700000000008</v>
      </c>
      <c r="U40" s="3">
        <f>SUM('TOTAL VOLUME'!U40*'FedEx Rates'!U40)</f>
        <v>4979.2</v>
      </c>
      <c r="V40" s="3">
        <f>SUM('TOTAL VOLUME'!V40*'FedEx Rates'!V40)</f>
        <v>19429.47</v>
      </c>
      <c r="W40" s="3">
        <f>SUM('TOTAL VOLUME'!W40*'FedEx Rates'!W40)</f>
        <v>313.27999999999997</v>
      </c>
      <c r="X40" s="3">
        <f>SUM('TOTAL VOLUME'!X40*'FedEx Rates'!X40)</f>
        <v>140.39999999999998</v>
      </c>
      <c r="Y40" s="3">
        <f>SUM('TOTAL VOLUME'!Y40*'FedEx Rates'!Y40)</f>
        <v>941.16</v>
      </c>
      <c r="Z40" s="3">
        <f>SUM('TOTAL VOLUME'!Z40*'FedEx Rates'!Z40)</f>
        <v>1372.5</v>
      </c>
      <c r="AA40" s="3">
        <f>SUM('TOTAL VOLUME'!AA40*'FedEx Rates'!AA40)</f>
        <v>853.2</v>
      </c>
      <c r="AB40" s="3">
        <f>SUM('TOTAL VOLUME'!AB40*'FedEx Rates'!AB40)</f>
        <v>650.75</v>
      </c>
      <c r="AC40" s="3">
        <f>SUM('TOTAL VOLUME'!AC40*'FedEx Rates'!AC40)</f>
        <v>1781.9399999999998</v>
      </c>
    </row>
    <row r="41" spans="1:29" x14ac:dyDescent="0.2">
      <c r="A41" s="2">
        <v>40</v>
      </c>
      <c r="B41" s="3">
        <f>SUM('TOTAL VOLUME'!B41*'FedEx Rates'!B41)</f>
        <v>13.87</v>
      </c>
      <c r="C41" s="3">
        <f>SUM('TOTAL VOLUME'!C41*'FedEx Rates'!C41)</f>
        <v>0</v>
      </c>
      <c r="D41" s="3">
        <f>SUM('TOTAL VOLUME'!D41*'FedEx Rates'!D41)</f>
        <v>86.8</v>
      </c>
      <c r="E41" s="3">
        <f>SUM('TOTAL VOLUME'!E41*'FedEx Rates'!E41)</f>
        <v>96.66</v>
      </c>
      <c r="F41" s="3">
        <f>SUM('TOTAL VOLUME'!F41*'FedEx Rates'!F41)</f>
        <v>147.75</v>
      </c>
      <c r="G41" s="3">
        <f>SUM('TOTAL VOLUME'!G41*'FedEx Rates'!G41)</f>
        <v>160.89000000000001</v>
      </c>
      <c r="H41" s="3">
        <f>SUM('TOTAL VOLUME'!H41*'FedEx Rates'!H41)</f>
        <v>552.1</v>
      </c>
      <c r="I41" s="3">
        <f>SUM('TOTAL VOLUME'!I41*'FedEx Rates'!I41)</f>
        <v>0</v>
      </c>
      <c r="J41" s="3">
        <f>SUM('TOTAL VOLUME'!J41*'FedEx Rates'!J41)</f>
        <v>0</v>
      </c>
      <c r="K41" s="3">
        <f>SUM('TOTAL VOLUME'!K41*'FedEx Rates'!K41)</f>
        <v>19.79</v>
      </c>
      <c r="L41" s="3">
        <f>SUM('TOTAL VOLUME'!L41*'FedEx Rates'!L41)</f>
        <v>24.76</v>
      </c>
      <c r="M41" s="3">
        <f>SUM('TOTAL VOLUME'!M41*'FedEx Rates'!M41)</f>
        <v>0</v>
      </c>
      <c r="N41" s="3">
        <f>SUM('TOTAL VOLUME'!N41*'FedEx Rates'!N41)</f>
        <v>0</v>
      </c>
      <c r="O41" s="3">
        <f>SUM('TOTAL VOLUME'!O41*'FedEx Rates'!O41)</f>
        <v>183.36</v>
      </c>
      <c r="P41" s="3">
        <f>SUM('TOTAL VOLUME'!P41*'FedEx Rates'!P41)</f>
        <v>1532.42</v>
      </c>
      <c r="Q41" s="3">
        <f>SUM('TOTAL VOLUME'!Q41*'FedEx Rates'!Q41)</f>
        <v>522.72</v>
      </c>
      <c r="R41" s="3">
        <f>SUM('TOTAL VOLUME'!R41*'FedEx Rates'!R41)</f>
        <v>1470.98</v>
      </c>
      <c r="S41" s="3">
        <f>SUM('TOTAL VOLUME'!S41*'FedEx Rates'!S41)</f>
        <v>4203.96</v>
      </c>
      <c r="T41" s="3">
        <f>SUM('TOTAL VOLUME'!T41*'FedEx Rates'!T41)</f>
        <v>3723.75</v>
      </c>
      <c r="U41" s="3">
        <f>SUM('TOTAL VOLUME'!U41*'FedEx Rates'!U41)</f>
        <v>2392.35</v>
      </c>
      <c r="V41" s="3">
        <f>SUM('TOTAL VOLUME'!V41*'FedEx Rates'!V41)</f>
        <v>8493.39</v>
      </c>
      <c r="W41" s="3">
        <f>SUM('TOTAL VOLUME'!W41*'FedEx Rates'!W41)</f>
        <v>245.25</v>
      </c>
      <c r="X41" s="3">
        <f>SUM('TOTAL VOLUME'!X41*'FedEx Rates'!X41)</f>
        <v>70.400000000000006</v>
      </c>
      <c r="Y41" s="3">
        <f>SUM('TOTAL VOLUME'!Y41*'FedEx Rates'!Y41)</f>
        <v>199.99</v>
      </c>
      <c r="Z41" s="3">
        <f>SUM('TOTAL VOLUME'!Z41*'FedEx Rates'!Z41)</f>
        <v>793.78</v>
      </c>
      <c r="AA41" s="3">
        <f>SUM('TOTAL VOLUME'!AA41*'FedEx Rates'!AA41)</f>
        <v>380.15999999999997</v>
      </c>
      <c r="AB41" s="3">
        <f>SUM('TOTAL VOLUME'!AB41*'FedEx Rates'!AB41)</f>
        <v>549.44000000000005</v>
      </c>
      <c r="AC41" s="3">
        <f>SUM('TOTAL VOLUME'!AC41*'FedEx Rates'!AC41)</f>
        <v>1190.68</v>
      </c>
    </row>
    <row r="42" spans="1:29" x14ac:dyDescent="0.2">
      <c r="A42" s="2">
        <v>41</v>
      </c>
      <c r="B42" s="3">
        <f>SUM('TOTAL VOLUME'!B42*'FedEx Rates'!B42)</f>
        <v>14.54</v>
      </c>
      <c r="C42" s="3">
        <f>SUM('TOTAL VOLUME'!C42*'FedEx Rates'!C42)</f>
        <v>0</v>
      </c>
      <c r="D42" s="3">
        <f>SUM('TOTAL VOLUME'!D42*'FedEx Rates'!D42)</f>
        <v>43.9</v>
      </c>
      <c r="E42" s="3">
        <f>SUM('TOTAL VOLUME'!E42*'FedEx Rates'!E42)</f>
        <v>65.62</v>
      </c>
      <c r="F42" s="3">
        <f>SUM('TOTAL VOLUME'!F42*'FedEx Rates'!F42)</f>
        <v>100.74</v>
      </c>
      <c r="G42" s="3">
        <f>SUM('TOTAL VOLUME'!G42*'FedEx Rates'!G42)</f>
        <v>0</v>
      </c>
      <c r="H42" s="3">
        <f>SUM('TOTAL VOLUME'!H42*'FedEx Rates'!H42)</f>
        <v>56.71</v>
      </c>
      <c r="I42" s="3">
        <f>SUM('TOTAL VOLUME'!I42*'FedEx Rates'!I42)</f>
        <v>0</v>
      </c>
      <c r="J42" s="3">
        <f>SUM('TOTAL VOLUME'!J42*'FedEx Rates'!J42)</f>
        <v>0</v>
      </c>
      <c r="K42" s="3">
        <f>SUM('TOTAL VOLUME'!K42*'FedEx Rates'!K42)</f>
        <v>0</v>
      </c>
      <c r="L42" s="3">
        <f>SUM('TOTAL VOLUME'!L42*'FedEx Rates'!L42)</f>
        <v>51.28</v>
      </c>
      <c r="M42" s="3">
        <f>SUM('TOTAL VOLUME'!M42*'FedEx Rates'!M42)</f>
        <v>35.18</v>
      </c>
      <c r="N42" s="3">
        <f>SUM('TOTAL VOLUME'!N42*'FedEx Rates'!N42)</f>
        <v>0</v>
      </c>
      <c r="O42" s="3">
        <f>SUM('TOTAL VOLUME'!O42*'FedEx Rates'!O42)</f>
        <v>46.81</v>
      </c>
      <c r="P42" s="3">
        <f>SUM('TOTAL VOLUME'!P42*'FedEx Rates'!P42)</f>
        <v>1662.55</v>
      </c>
      <c r="Q42" s="3">
        <f>SUM('TOTAL VOLUME'!Q42*'FedEx Rates'!Q42)</f>
        <v>949.4</v>
      </c>
      <c r="R42" s="3">
        <f>SUM('TOTAL VOLUME'!R42*'FedEx Rates'!R42)</f>
        <v>3527.8</v>
      </c>
      <c r="S42" s="3">
        <f>SUM('TOTAL VOLUME'!S42*'FedEx Rates'!S42)</f>
        <v>6489.0599999999995</v>
      </c>
      <c r="T42" s="3">
        <f>SUM('TOTAL VOLUME'!T42*'FedEx Rates'!T42)</f>
        <v>6292.5999999999995</v>
      </c>
      <c r="U42" s="3">
        <f>SUM('TOTAL VOLUME'!U42*'FedEx Rates'!U42)</f>
        <v>3127.8</v>
      </c>
      <c r="V42" s="3">
        <f>SUM('TOTAL VOLUME'!V42*'FedEx Rates'!V42)</f>
        <v>11397.400000000001</v>
      </c>
      <c r="W42" s="3">
        <f>SUM('TOTAL VOLUME'!W42*'FedEx Rates'!W42)</f>
        <v>246</v>
      </c>
      <c r="X42" s="3">
        <f>SUM('TOTAL VOLUME'!X42*'FedEx Rates'!X42)</f>
        <v>44.28</v>
      </c>
      <c r="Y42" s="3">
        <f>SUM('TOTAL VOLUME'!Y42*'FedEx Rates'!Y42)</f>
        <v>354.71999999999997</v>
      </c>
      <c r="Z42" s="3">
        <f>SUM('TOTAL VOLUME'!Z42*'FedEx Rates'!Z42)</f>
        <v>751.43999999999994</v>
      </c>
      <c r="AA42" s="3">
        <f>SUM('TOTAL VOLUME'!AA42*'FedEx Rates'!AA42)</f>
        <v>1437.9199999999998</v>
      </c>
      <c r="AB42" s="3">
        <f>SUM('TOTAL VOLUME'!AB42*'FedEx Rates'!AB42)</f>
        <v>557.12</v>
      </c>
      <c r="AC42" s="3">
        <f>SUM('TOTAL VOLUME'!AC42*'FedEx Rates'!AC42)</f>
        <v>1608.1999999999998</v>
      </c>
    </row>
    <row r="43" spans="1:29" x14ac:dyDescent="0.2">
      <c r="A43" s="2">
        <v>42</v>
      </c>
      <c r="B43" s="3">
        <f>SUM('TOTAL VOLUME'!B43*'FedEx Rates'!B43)</f>
        <v>44.31</v>
      </c>
      <c r="C43" s="3">
        <f>SUM('TOTAL VOLUME'!C43*'FedEx Rates'!C43)</f>
        <v>35.659999999999997</v>
      </c>
      <c r="D43" s="3">
        <f>SUM('TOTAL VOLUME'!D43*'FedEx Rates'!D43)</f>
        <v>67.199999999999989</v>
      </c>
      <c r="E43" s="3">
        <f>SUM('TOTAL VOLUME'!E43*'FedEx Rates'!E43)</f>
        <v>234.57</v>
      </c>
      <c r="F43" s="3">
        <f>SUM('TOTAL VOLUME'!F43*'FedEx Rates'!F43)</f>
        <v>154.35000000000002</v>
      </c>
      <c r="G43" s="3">
        <f>SUM('TOTAL VOLUME'!G43*'FedEx Rates'!G43)</f>
        <v>0</v>
      </c>
      <c r="H43" s="3">
        <f>SUM('TOTAL VOLUME'!H43*'FedEx Rates'!H43)</f>
        <v>697.43999999999994</v>
      </c>
      <c r="I43" s="3">
        <f>SUM('TOTAL VOLUME'!I43*'FedEx Rates'!I43)</f>
        <v>0</v>
      </c>
      <c r="J43" s="3">
        <f>SUM('TOTAL VOLUME'!J43*'FedEx Rates'!J43)</f>
        <v>0</v>
      </c>
      <c r="K43" s="3">
        <f>SUM('TOTAL VOLUME'!K43*'FedEx Rates'!K43)</f>
        <v>0</v>
      </c>
      <c r="L43" s="3">
        <f>SUM('TOTAL VOLUME'!L43*'FedEx Rates'!L43)</f>
        <v>26.31</v>
      </c>
      <c r="M43" s="3">
        <f>SUM('TOTAL VOLUME'!M43*'FedEx Rates'!M43)</f>
        <v>0</v>
      </c>
      <c r="N43" s="3">
        <f>SUM('TOTAL VOLUME'!N43*'FedEx Rates'!N43)</f>
        <v>79.260000000000005</v>
      </c>
      <c r="O43" s="3">
        <f>SUM('TOTAL VOLUME'!O43*'FedEx Rates'!O43)</f>
        <v>143.49</v>
      </c>
      <c r="P43" s="3">
        <f>SUM('TOTAL VOLUME'!P43*'FedEx Rates'!P43)</f>
        <v>6715.24</v>
      </c>
      <c r="Q43" s="3">
        <f>SUM('TOTAL VOLUME'!Q43*'FedEx Rates'!Q43)</f>
        <v>4664.4000000000005</v>
      </c>
      <c r="R43" s="3">
        <f>SUM('TOTAL VOLUME'!R43*'FedEx Rates'!R43)</f>
        <v>12918.36</v>
      </c>
      <c r="S43" s="3">
        <f>SUM('TOTAL VOLUME'!S43*'FedEx Rates'!S43)</f>
        <v>16419.3</v>
      </c>
      <c r="T43" s="3">
        <f>SUM('TOTAL VOLUME'!T43*'FedEx Rates'!T43)</f>
        <v>21563.4</v>
      </c>
      <c r="U43" s="3">
        <f>SUM('TOTAL VOLUME'!U43*'FedEx Rates'!U43)</f>
        <v>11887.37</v>
      </c>
      <c r="V43" s="3">
        <f>SUM('TOTAL VOLUME'!V43*'FedEx Rates'!V43)</f>
        <v>40564.299999999996</v>
      </c>
      <c r="W43" s="3">
        <f>SUM('TOTAL VOLUME'!W43*'FedEx Rates'!W43)</f>
        <v>280.53000000000003</v>
      </c>
      <c r="X43" s="3">
        <f>SUM('TOTAL VOLUME'!X43*'FedEx Rates'!X43)</f>
        <v>207.62</v>
      </c>
      <c r="Y43" s="3">
        <f>SUM('TOTAL VOLUME'!Y43*'FedEx Rates'!Y43)</f>
        <v>688.62</v>
      </c>
      <c r="Z43" s="3">
        <f>SUM('TOTAL VOLUME'!Z43*'FedEx Rates'!Z43)</f>
        <v>985.80000000000007</v>
      </c>
      <c r="AA43" s="3">
        <f>SUM('TOTAL VOLUME'!AA43*'FedEx Rates'!AA43)</f>
        <v>1041.9100000000001</v>
      </c>
      <c r="AB43" s="3">
        <f>SUM('TOTAL VOLUME'!AB43*'FedEx Rates'!AB43)</f>
        <v>594.15000000000009</v>
      </c>
      <c r="AC43" s="3">
        <f>SUM('TOTAL VOLUME'!AC43*'FedEx Rates'!AC43)</f>
        <v>1344.6000000000001</v>
      </c>
    </row>
    <row r="44" spans="1:29" x14ac:dyDescent="0.2">
      <c r="A44" s="2">
        <v>43</v>
      </c>
      <c r="B44" s="3">
        <f>SUM('TOTAL VOLUME'!B44*'FedEx Rates'!B44)</f>
        <v>0</v>
      </c>
      <c r="C44" s="3">
        <f>SUM('TOTAL VOLUME'!C44*'FedEx Rates'!C44)</f>
        <v>0</v>
      </c>
      <c r="D44" s="3">
        <f>SUM('TOTAL VOLUME'!D44*'FedEx Rates'!D44)</f>
        <v>22.74</v>
      </c>
      <c r="E44" s="3">
        <f>SUM('TOTAL VOLUME'!E44*'FedEx Rates'!E44)</f>
        <v>102.21000000000001</v>
      </c>
      <c r="F44" s="3">
        <f>SUM('TOTAL VOLUME'!F44*'FedEx Rates'!F44)</f>
        <v>0</v>
      </c>
      <c r="G44" s="3">
        <f>SUM('TOTAL VOLUME'!G44*'FedEx Rates'!G44)</f>
        <v>114.86</v>
      </c>
      <c r="H44" s="3">
        <f>SUM('TOTAL VOLUME'!H44*'FedEx Rates'!H44)</f>
        <v>296.70000000000005</v>
      </c>
      <c r="I44" s="3">
        <f>SUM('TOTAL VOLUME'!I44*'FedEx Rates'!I44)</f>
        <v>0</v>
      </c>
      <c r="J44" s="3">
        <f>SUM('TOTAL VOLUME'!J44*'FedEx Rates'!J44)</f>
        <v>0</v>
      </c>
      <c r="K44" s="3">
        <f>SUM('TOTAL VOLUME'!K44*'FedEx Rates'!K44)</f>
        <v>0</v>
      </c>
      <c r="L44" s="3">
        <f>SUM('TOTAL VOLUME'!L44*'FedEx Rates'!L44)</f>
        <v>0</v>
      </c>
      <c r="M44" s="3">
        <f>SUM('TOTAL VOLUME'!M44*'FedEx Rates'!M44)</f>
        <v>0</v>
      </c>
      <c r="N44" s="3">
        <f>SUM('TOTAL VOLUME'!N44*'FedEx Rates'!N44)</f>
        <v>0</v>
      </c>
      <c r="O44" s="3">
        <f>SUM('TOTAL VOLUME'!O44*'FedEx Rates'!O44)</f>
        <v>146.82</v>
      </c>
      <c r="P44" s="3">
        <f>SUM('TOTAL VOLUME'!P44*'FedEx Rates'!P44)</f>
        <v>1248.77</v>
      </c>
      <c r="Q44" s="3">
        <f>SUM('TOTAL VOLUME'!Q44*'FedEx Rates'!Q44)</f>
        <v>472.88</v>
      </c>
      <c r="R44" s="3">
        <f>SUM('TOTAL VOLUME'!R44*'FedEx Rates'!R44)</f>
        <v>840.64</v>
      </c>
      <c r="S44" s="3">
        <f>SUM('TOTAL VOLUME'!S44*'FedEx Rates'!S44)</f>
        <v>1731.6</v>
      </c>
      <c r="T44" s="3">
        <f>SUM('TOTAL VOLUME'!T44*'FedEx Rates'!T44)</f>
        <v>1752.96</v>
      </c>
      <c r="U44" s="3">
        <f>SUM('TOTAL VOLUME'!U44*'FedEx Rates'!U44)</f>
        <v>1774.9199999999998</v>
      </c>
      <c r="V44" s="3">
        <f>SUM('TOTAL VOLUME'!V44*'FedEx Rates'!V44)</f>
        <v>2546.12</v>
      </c>
      <c r="W44" s="3">
        <f>SUM('TOTAL VOLUME'!W44*'FedEx Rates'!W44)</f>
        <v>320.10000000000002</v>
      </c>
      <c r="X44" s="3">
        <f>SUM('TOTAL VOLUME'!X44*'FedEx Rates'!X44)</f>
        <v>135.54</v>
      </c>
      <c r="Y44" s="3">
        <f>SUM('TOTAL VOLUME'!Y44*'FedEx Rates'!Y44)</f>
        <v>245.68</v>
      </c>
      <c r="Z44" s="3">
        <f>SUM('TOTAL VOLUME'!Z44*'FedEx Rates'!Z44)</f>
        <v>522.24</v>
      </c>
      <c r="AA44" s="3">
        <f>SUM('TOTAL VOLUME'!AA44*'FedEx Rates'!AA44)</f>
        <v>855.5</v>
      </c>
      <c r="AB44" s="3">
        <f>SUM('TOTAL VOLUME'!AB44*'FedEx Rates'!AB44)</f>
        <v>329.93999999999994</v>
      </c>
      <c r="AC44" s="3">
        <f>SUM('TOTAL VOLUME'!AC44*'FedEx Rates'!AC44)</f>
        <v>709.37999999999988</v>
      </c>
    </row>
    <row r="45" spans="1:29" x14ac:dyDescent="0.2">
      <c r="A45" s="2">
        <v>44</v>
      </c>
      <c r="B45" s="3">
        <f>SUM('TOTAL VOLUME'!B45*'FedEx Rates'!B45)</f>
        <v>0</v>
      </c>
      <c r="C45" s="3">
        <f>SUM('TOTAL VOLUME'!C45*'FedEx Rates'!C45)</f>
        <v>0</v>
      </c>
      <c r="D45" s="3">
        <f>SUM('TOTAL VOLUME'!D45*'FedEx Rates'!D45)</f>
        <v>0</v>
      </c>
      <c r="E45" s="3">
        <f>SUM('TOTAL VOLUME'!E45*'FedEx Rates'!E45)</f>
        <v>104.01</v>
      </c>
      <c r="F45" s="3">
        <f>SUM('TOTAL VOLUME'!F45*'FedEx Rates'!F45)</f>
        <v>0</v>
      </c>
      <c r="G45" s="3">
        <f>SUM('TOTAL VOLUME'!G45*'FedEx Rates'!G45)</f>
        <v>116.82</v>
      </c>
      <c r="H45" s="3">
        <f>SUM('TOTAL VOLUME'!H45*'FedEx Rates'!H45)</f>
        <v>181.53</v>
      </c>
      <c r="I45" s="3">
        <f>SUM('TOTAL VOLUME'!I45*'FedEx Rates'!I45)</f>
        <v>14.76</v>
      </c>
      <c r="J45" s="3">
        <f>SUM('TOTAL VOLUME'!J45*'FedEx Rates'!J45)</f>
        <v>0</v>
      </c>
      <c r="K45" s="3">
        <f>SUM('TOTAL VOLUME'!K45*'FedEx Rates'!K45)</f>
        <v>21.83</v>
      </c>
      <c r="L45" s="3">
        <f>SUM('TOTAL VOLUME'!L45*'FedEx Rates'!L45)</f>
        <v>54.7</v>
      </c>
      <c r="M45" s="3">
        <f>SUM('TOTAL VOLUME'!M45*'FedEx Rates'!M45)</f>
        <v>0</v>
      </c>
      <c r="N45" s="3">
        <f>SUM('TOTAL VOLUME'!N45*'FedEx Rates'!N45)</f>
        <v>0</v>
      </c>
      <c r="O45" s="3">
        <f>SUM('TOTAL VOLUME'!O45*'FedEx Rates'!O45)</f>
        <v>196.24</v>
      </c>
      <c r="P45" s="3">
        <f>SUM('TOTAL VOLUME'!P45*'FedEx Rates'!P45)</f>
        <v>847.3900000000001</v>
      </c>
      <c r="Q45" s="3">
        <f>SUM('TOTAL VOLUME'!Q45*'FedEx Rates'!Q45)</f>
        <v>281.88</v>
      </c>
      <c r="R45" s="3">
        <f>SUM('TOTAL VOLUME'!R45*'FedEx Rates'!R45)</f>
        <v>911.25</v>
      </c>
      <c r="S45" s="3">
        <f>SUM('TOTAL VOLUME'!S45*'FedEx Rates'!S45)</f>
        <v>1645.28</v>
      </c>
      <c r="T45" s="3">
        <f>SUM('TOTAL VOLUME'!T45*'FedEx Rates'!T45)</f>
        <v>1230.1199999999999</v>
      </c>
      <c r="U45" s="3">
        <f>SUM('TOTAL VOLUME'!U45*'FedEx Rates'!U45)</f>
        <v>849.81</v>
      </c>
      <c r="V45" s="3">
        <f>SUM('TOTAL VOLUME'!V45*'FedEx Rates'!V45)</f>
        <v>3324.99</v>
      </c>
      <c r="W45" s="3">
        <f>SUM('TOTAL VOLUME'!W45*'FedEx Rates'!W45)</f>
        <v>229.11</v>
      </c>
      <c r="X45" s="3">
        <f>SUM('TOTAL VOLUME'!X45*'FedEx Rates'!X45)</f>
        <v>142.65</v>
      </c>
      <c r="Y45" s="3">
        <f>SUM('TOTAL VOLUME'!Y45*'FedEx Rates'!Y45)</f>
        <v>530.74</v>
      </c>
      <c r="Z45" s="3">
        <f>SUM('TOTAL VOLUME'!Z45*'FedEx Rates'!Z45)</f>
        <v>603.54</v>
      </c>
      <c r="AA45" s="3">
        <f>SUM('TOTAL VOLUME'!AA45*'FedEx Rates'!AA45)</f>
        <v>835.68000000000006</v>
      </c>
      <c r="AB45" s="3">
        <f>SUM('TOTAL VOLUME'!AB45*'FedEx Rates'!AB45)</f>
        <v>186.25</v>
      </c>
      <c r="AC45" s="3">
        <f>SUM('TOTAL VOLUME'!AC45*'FedEx Rates'!AC45)</f>
        <v>1386.6999999999998</v>
      </c>
    </row>
    <row r="46" spans="1:29" x14ac:dyDescent="0.2">
      <c r="A46" s="2">
        <v>45</v>
      </c>
      <c r="B46" s="3">
        <f>SUM('TOTAL VOLUME'!B46*'FedEx Rates'!B46)</f>
        <v>0</v>
      </c>
      <c r="C46" s="3">
        <f>SUM('TOTAL VOLUME'!C46*'FedEx Rates'!C46)</f>
        <v>18.88</v>
      </c>
      <c r="D46" s="3">
        <f>SUM('TOTAL VOLUME'!D46*'FedEx Rates'!D46)</f>
        <v>23.59</v>
      </c>
      <c r="E46" s="3">
        <f>SUM('TOTAL VOLUME'!E46*'FedEx Rates'!E46)</f>
        <v>70.3</v>
      </c>
      <c r="F46" s="3">
        <f>SUM('TOTAL VOLUME'!F46*'FedEx Rates'!F46)</f>
        <v>54.66</v>
      </c>
      <c r="G46" s="3">
        <f>SUM('TOTAL VOLUME'!G46*'FedEx Rates'!G46)</f>
        <v>59.5</v>
      </c>
      <c r="H46" s="3">
        <f>SUM('TOTAL VOLUME'!H46*'FedEx Rates'!H46)</f>
        <v>0</v>
      </c>
      <c r="I46" s="3">
        <f>SUM('TOTAL VOLUME'!I46*'FedEx Rates'!I46)</f>
        <v>0</v>
      </c>
      <c r="J46" s="3">
        <f>SUM('TOTAL VOLUME'!J46*'FedEx Rates'!J46)</f>
        <v>0</v>
      </c>
      <c r="K46" s="3">
        <f>SUM('TOTAL VOLUME'!K46*'FedEx Rates'!K46)</f>
        <v>0</v>
      </c>
      <c r="L46" s="3">
        <f>SUM('TOTAL VOLUME'!L46*'FedEx Rates'!L46)</f>
        <v>0</v>
      </c>
      <c r="M46" s="3">
        <f>SUM('TOTAL VOLUME'!M46*'FedEx Rates'!M46)</f>
        <v>0</v>
      </c>
      <c r="N46" s="3">
        <f>SUM('TOTAL VOLUME'!N46*'FedEx Rates'!N46)</f>
        <v>0</v>
      </c>
      <c r="O46" s="3">
        <f>SUM('TOTAL VOLUME'!O46*'FedEx Rates'!O46)</f>
        <v>196.84</v>
      </c>
      <c r="P46" s="3">
        <f>SUM('TOTAL VOLUME'!P46*'FedEx Rates'!P46)</f>
        <v>714</v>
      </c>
      <c r="Q46" s="3">
        <f>SUM('TOTAL VOLUME'!Q46*'FedEx Rates'!Q46)</f>
        <v>146.16</v>
      </c>
      <c r="R46" s="3">
        <f>SUM('TOTAL VOLUME'!R46*'FedEx Rates'!R46)</f>
        <v>291.60000000000002</v>
      </c>
      <c r="S46" s="3">
        <f>SUM('TOTAL VOLUME'!S46*'FedEx Rates'!S46)</f>
        <v>749.69999999999993</v>
      </c>
      <c r="T46" s="3">
        <f>SUM('TOTAL VOLUME'!T46*'FedEx Rates'!T46)</f>
        <v>808.28000000000009</v>
      </c>
      <c r="U46" s="3">
        <f>SUM('TOTAL VOLUME'!U46*'FedEx Rates'!U46)</f>
        <v>932.82</v>
      </c>
      <c r="V46" s="3">
        <f>SUM('TOTAL VOLUME'!V46*'FedEx Rates'!V46)</f>
        <v>1661.92</v>
      </c>
      <c r="W46" s="3">
        <f>SUM('TOTAL VOLUME'!W46*'FedEx Rates'!W46)</f>
        <v>194.31</v>
      </c>
      <c r="X46" s="3">
        <f>SUM('TOTAL VOLUME'!X46*'FedEx Rates'!X46)</f>
        <v>32.92</v>
      </c>
      <c r="Y46" s="3">
        <f>SUM('TOTAL VOLUME'!Y46*'FedEx Rates'!Y46)</f>
        <v>63.12</v>
      </c>
      <c r="Z46" s="3">
        <f>SUM('TOTAL VOLUME'!Z46*'FedEx Rates'!Z46)</f>
        <v>677.4</v>
      </c>
      <c r="AA46" s="3">
        <f>SUM('TOTAL VOLUME'!AA46*'FedEx Rates'!AA46)</f>
        <v>941.7600000000001</v>
      </c>
      <c r="AB46" s="3">
        <f>SUM('TOTAL VOLUME'!AB46*'FedEx Rates'!AB46)</f>
        <v>37.86</v>
      </c>
      <c r="AC46" s="3">
        <f>SUM('TOTAL VOLUME'!AC46*'FedEx Rates'!AC46)</f>
        <v>1230.7</v>
      </c>
    </row>
    <row r="47" spans="1:29" x14ac:dyDescent="0.2">
      <c r="A47" s="2">
        <v>46</v>
      </c>
      <c r="B47" s="3">
        <f>SUM('TOTAL VOLUME'!B47*'FedEx Rates'!B47)</f>
        <v>15.89</v>
      </c>
      <c r="C47" s="3">
        <f>SUM('TOTAL VOLUME'!C47*'FedEx Rates'!C47)</f>
        <v>0</v>
      </c>
      <c r="D47" s="3">
        <f>SUM('TOTAL VOLUME'!D47*'FedEx Rates'!D47)</f>
        <v>0</v>
      </c>
      <c r="E47" s="3">
        <f>SUM('TOTAL VOLUME'!E47*'FedEx Rates'!E47)</f>
        <v>35.51</v>
      </c>
      <c r="F47" s="3">
        <f>SUM('TOTAL VOLUME'!F47*'FedEx Rates'!F47)</f>
        <v>0</v>
      </c>
      <c r="G47" s="3">
        <f>SUM('TOTAL VOLUME'!G47*'FedEx Rates'!G47)</f>
        <v>0</v>
      </c>
      <c r="H47" s="3">
        <f>SUM('TOTAL VOLUME'!H47*'FedEx Rates'!H47)</f>
        <v>62.73</v>
      </c>
      <c r="I47" s="3">
        <f>SUM('TOTAL VOLUME'!I47*'FedEx Rates'!I47)</f>
        <v>0</v>
      </c>
      <c r="J47" s="3">
        <f>SUM('TOTAL VOLUME'!J47*'FedEx Rates'!J47)</f>
        <v>0</v>
      </c>
      <c r="K47" s="3">
        <f>SUM('TOTAL VOLUME'!K47*'FedEx Rates'!K47)</f>
        <v>0</v>
      </c>
      <c r="L47" s="3">
        <f>SUM('TOTAL VOLUME'!L47*'FedEx Rates'!L47)</f>
        <v>28.95</v>
      </c>
      <c r="M47" s="3">
        <f>SUM('TOTAL VOLUME'!M47*'FedEx Rates'!M47)</f>
        <v>0</v>
      </c>
      <c r="N47" s="3">
        <f>SUM('TOTAL VOLUME'!N47*'FedEx Rates'!N47)</f>
        <v>43.79</v>
      </c>
      <c r="O47" s="3">
        <f>SUM('TOTAL VOLUME'!O47*'FedEx Rates'!O47)</f>
        <v>0</v>
      </c>
      <c r="P47" s="3">
        <f>SUM('TOTAL VOLUME'!P47*'FedEx Rates'!P47)</f>
        <v>216.5</v>
      </c>
      <c r="Q47" s="3">
        <f>SUM('TOTAL VOLUME'!Q47*'FedEx Rates'!Q47)</f>
        <v>189.9</v>
      </c>
      <c r="R47" s="3">
        <f>SUM('TOTAL VOLUME'!R47*'FedEx Rates'!R47)</f>
        <v>326.03999999999996</v>
      </c>
      <c r="S47" s="3">
        <f>SUM('TOTAL VOLUME'!S47*'FedEx Rates'!S47)</f>
        <v>479.04</v>
      </c>
      <c r="T47" s="3">
        <f>SUM('TOTAL VOLUME'!T47*'FedEx Rates'!T47)</f>
        <v>395.85</v>
      </c>
      <c r="U47" s="3">
        <f>SUM('TOTAL VOLUME'!U47*'FedEx Rates'!U47)</f>
        <v>381.65</v>
      </c>
      <c r="V47" s="3">
        <f>SUM('TOTAL VOLUME'!V47*'FedEx Rates'!V47)</f>
        <v>1304.68</v>
      </c>
      <c r="W47" s="3">
        <f>SUM('TOTAL VOLUME'!W47*'FedEx Rates'!W47)</f>
        <v>305.5</v>
      </c>
      <c r="X47" s="3">
        <f>SUM('TOTAL VOLUME'!X47*'FedEx Rates'!X47)</f>
        <v>99.18</v>
      </c>
      <c r="Y47" s="3">
        <f>SUM('TOTAL VOLUME'!Y47*'FedEx Rates'!Y47)</f>
        <v>192.42000000000002</v>
      </c>
      <c r="Z47" s="3">
        <f>SUM('TOTAL VOLUME'!Z47*'FedEx Rates'!Z47)</f>
        <v>487.19999999999993</v>
      </c>
      <c r="AA47" s="3">
        <f>SUM('TOTAL VOLUME'!AA47*'FedEx Rates'!AA47)</f>
        <v>757.8900000000001</v>
      </c>
      <c r="AB47" s="3">
        <f>SUM('TOTAL VOLUME'!AB47*'FedEx Rates'!AB47)</f>
        <v>306.32</v>
      </c>
      <c r="AC47" s="3">
        <f>SUM('TOTAL VOLUME'!AC47*'FedEx Rates'!AC47)</f>
        <v>1154.4399999999998</v>
      </c>
    </row>
    <row r="48" spans="1:29" x14ac:dyDescent="0.2">
      <c r="A48" s="2">
        <v>47</v>
      </c>
      <c r="B48" s="3">
        <f>SUM('TOTAL VOLUME'!B48*'FedEx Rates'!B48)</f>
        <v>0</v>
      </c>
      <c r="C48" s="3">
        <f>SUM('TOTAL VOLUME'!C48*'FedEx Rates'!C48)</f>
        <v>0</v>
      </c>
      <c r="D48" s="3">
        <f>SUM('TOTAL VOLUME'!D48*'FedEx Rates'!D48)</f>
        <v>24.47</v>
      </c>
      <c r="E48" s="3">
        <f>SUM('TOTAL VOLUME'!E48*'FedEx Rates'!E48)</f>
        <v>0</v>
      </c>
      <c r="F48" s="3">
        <f>SUM('TOTAL VOLUME'!F48*'FedEx Rates'!F48)</f>
        <v>0</v>
      </c>
      <c r="G48" s="3">
        <f>SUM('TOTAL VOLUME'!G48*'FedEx Rates'!G48)</f>
        <v>60.56</v>
      </c>
      <c r="H48" s="3">
        <f>SUM('TOTAL VOLUME'!H48*'FedEx Rates'!H48)</f>
        <v>251.48</v>
      </c>
      <c r="I48" s="3">
        <f>SUM('TOTAL VOLUME'!I48*'FedEx Rates'!I48)</f>
        <v>0</v>
      </c>
      <c r="J48" s="3">
        <f>SUM('TOTAL VOLUME'!J48*'FedEx Rates'!J48)</f>
        <v>0</v>
      </c>
      <c r="K48" s="3">
        <f>SUM('TOTAL VOLUME'!K48*'FedEx Rates'!K48)</f>
        <v>0</v>
      </c>
      <c r="L48" s="3">
        <f>SUM('TOTAL VOLUME'!L48*'FedEx Rates'!L48)</f>
        <v>58.1</v>
      </c>
      <c r="M48" s="3">
        <f>SUM('TOTAL VOLUME'!M48*'FedEx Rates'!M48)</f>
        <v>0</v>
      </c>
      <c r="N48" s="3">
        <f>SUM('TOTAL VOLUME'!N48*'FedEx Rates'!N48)</f>
        <v>0</v>
      </c>
      <c r="O48" s="3">
        <f>SUM('TOTAL VOLUME'!O48*'FedEx Rates'!O48)</f>
        <v>52.53</v>
      </c>
      <c r="P48" s="3">
        <f>SUM('TOTAL VOLUME'!P48*'FedEx Rates'!P48)</f>
        <v>252.01</v>
      </c>
      <c r="Q48" s="3">
        <f>SUM('TOTAL VOLUME'!Q48*'FedEx Rates'!Q48)</f>
        <v>97.109999999999985</v>
      </c>
      <c r="R48" s="3">
        <f>SUM('TOTAL VOLUME'!R48*'FedEx Rates'!R48)</f>
        <v>165.62</v>
      </c>
      <c r="S48" s="3">
        <f>SUM('TOTAL VOLUME'!S48*'FedEx Rates'!S48)</f>
        <v>301.60000000000002</v>
      </c>
      <c r="T48" s="3">
        <f>SUM('TOTAL VOLUME'!T48*'FedEx Rates'!T48)</f>
        <v>515.97</v>
      </c>
      <c r="U48" s="3">
        <f>SUM('TOTAL VOLUME'!U48*'FedEx Rates'!U48)</f>
        <v>343.35</v>
      </c>
      <c r="V48" s="3">
        <f>SUM('TOTAL VOLUME'!V48*'FedEx Rates'!V48)</f>
        <v>1325.48</v>
      </c>
      <c r="W48" s="3">
        <f>SUM('TOTAL VOLUME'!W48*'FedEx Rates'!W48)</f>
        <v>404.94</v>
      </c>
      <c r="X48" s="3">
        <f>SUM('TOTAL VOLUME'!X48*'FedEx Rates'!X48)</f>
        <v>184.47</v>
      </c>
      <c r="Y48" s="3">
        <f>SUM('TOTAL VOLUME'!Y48*'FedEx Rates'!Y48)</f>
        <v>1285.2</v>
      </c>
      <c r="Z48" s="3">
        <f>SUM('TOTAL VOLUME'!Z48*'FedEx Rates'!Z48)</f>
        <v>1991.01</v>
      </c>
      <c r="AA48" s="3">
        <f>SUM('TOTAL VOLUME'!AA48*'FedEx Rates'!AA48)</f>
        <v>2030</v>
      </c>
      <c r="AB48" s="3">
        <f>SUM('TOTAL VOLUME'!AB48*'FedEx Rates'!AB48)</f>
        <v>1267.2</v>
      </c>
      <c r="AC48" s="3">
        <f>SUM('TOTAL VOLUME'!AC48*'FedEx Rates'!AC48)</f>
        <v>3600.93</v>
      </c>
    </row>
    <row r="49" spans="1:29" x14ac:dyDescent="0.2">
      <c r="A49" s="2">
        <v>48</v>
      </c>
      <c r="B49" s="3">
        <f>SUM('TOTAL VOLUME'!B49*'FedEx Rates'!B49)</f>
        <v>32.54</v>
      </c>
      <c r="C49" s="3">
        <f>SUM('TOTAL VOLUME'!C49*'FedEx Rates'!C49)</f>
        <v>0</v>
      </c>
      <c r="D49" s="3">
        <f>SUM('TOTAL VOLUME'!D49*'FedEx Rates'!D49)</f>
        <v>0</v>
      </c>
      <c r="E49" s="3">
        <f>SUM('TOTAL VOLUME'!E49*'FedEx Rates'!E49)</f>
        <v>178</v>
      </c>
      <c r="F49" s="3">
        <f>SUM('TOTAL VOLUME'!F49*'FedEx Rates'!F49)</f>
        <v>0</v>
      </c>
      <c r="G49" s="3">
        <f>SUM('TOTAL VOLUME'!G49*'FedEx Rates'!G49)</f>
        <v>0</v>
      </c>
      <c r="H49" s="3">
        <f>SUM('TOTAL VOLUME'!H49*'FedEx Rates'!H49)</f>
        <v>0</v>
      </c>
      <c r="I49" s="3">
        <f>SUM('TOTAL VOLUME'!I49*'FedEx Rates'!I49)</f>
        <v>0</v>
      </c>
      <c r="J49" s="3">
        <f>SUM('TOTAL VOLUME'!J49*'FedEx Rates'!J49)</f>
        <v>0</v>
      </c>
      <c r="K49" s="3">
        <f>SUM('TOTAL VOLUME'!K49*'FedEx Rates'!K49)</f>
        <v>0</v>
      </c>
      <c r="L49" s="3">
        <f>SUM('TOTAL VOLUME'!L49*'FedEx Rates'!L49)</f>
        <v>30.01</v>
      </c>
      <c r="M49" s="3">
        <f>SUM('TOTAL VOLUME'!M49*'FedEx Rates'!M49)</f>
        <v>0</v>
      </c>
      <c r="N49" s="3">
        <f>SUM('TOTAL VOLUME'!N49*'FedEx Rates'!N49)</f>
        <v>47</v>
      </c>
      <c r="O49" s="3">
        <f>SUM('TOTAL VOLUME'!O49*'FedEx Rates'!O49)</f>
        <v>0</v>
      </c>
      <c r="P49" s="3">
        <f>SUM('TOTAL VOLUME'!P49*'FedEx Rates'!P49)</f>
        <v>313.2</v>
      </c>
      <c r="Q49" s="3">
        <f>SUM('TOTAL VOLUME'!Q49*'FedEx Rates'!Q49)</f>
        <v>54.400000000000006</v>
      </c>
      <c r="R49" s="3">
        <f>SUM('TOTAL VOLUME'!R49*'FedEx Rates'!R49)</f>
        <v>180.32000000000002</v>
      </c>
      <c r="S49" s="3">
        <f>SUM('TOTAL VOLUME'!S49*'FedEx Rates'!S49)</f>
        <v>547.05000000000007</v>
      </c>
      <c r="T49" s="3">
        <f>SUM('TOTAL VOLUME'!T49*'FedEx Rates'!T49)</f>
        <v>368.59999999999997</v>
      </c>
      <c r="U49" s="3">
        <f>SUM('TOTAL VOLUME'!U49*'FedEx Rates'!U49)</f>
        <v>300.17</v>
      </c>
      <c r="V49" s="3">
        <f>SUM('TOTAL VOLUME'!V49*'FedEx Rates'!V49)</f>
        <v>2045.31</v>
      </c>
      <c r="W49" s="3">
        <f>SUM('TOTAL VOLUME'!W49*'FedEx Rates'!W49)</f>
        <v>274.39</v>
      </c>
      <c r="X49" s="3">
        <f>SUM('TOTAL VOLUME'!X49*'FedEx Rates'!X49)</f>
        <v>134.4</v>
      </c>
      <c r="Y49" s="3">
        <f>SUM('TOTAL VOLUME'!Y49*'FedEx Rates'!Y49)</f>
        <v>128.56</v>
      </c>
      <c r="Z49" s="3">
        <f>SUM('TOTAL VOLUME'!Z49*'FedEx Rates'!Z49)</f>
        <v>492.65999999999997</v>
      </c>
      <c r="AA49" s="3">
        <f>SUM('TOTAL VOLUME'!AA49*'FedEx Rates'!AA49)</f>
        <v>507.92</v>
      </c>
      <c r="AB49" s="3">
        <f>SUM('TOTAL VOLUME'!AB49*'FedEx Rates'!AB49)</f>
        <v>430.1</v>
      </c>
      <c r="AC49" s="3">
        <f>SUM('TOTAL VOLUME'!AC49*'FedEx Rates'!AC49)</f>
        <v>1076.6599999999999</v>
      </c>
    </row>
    <row r="50" spans="1:29" x14ac:dyDescent="0.2">
      <c r="A50" s="2">
        <v>49</v>
      </c>
      <c r="B50" s="3">
        <f>SUM('TOTAL VOLUME'!B50*'FedEx Rates'!B50)</f>
        <v>0</v>
      </c>
      <c r="C50" s="3">
        <f>SUM('TOTAL VOLUME'!C50*'FedEx Rates'!C50)</f>
        <v>0</v>
      </c>
      <c r="D50" s="3">
        <f>SUM('TOTAL VOLUME'!D50*'FedEx Rates'!D50)</f>
        <v>0</v>
      </c>
      <c r="E50" s="3">
        <f>SUM('TOTAL VOLUME'!E50*'FedEx Rates'!E50)</f>
        <v>71.3</v>
      </c>
      <c r="F50" s="3">
        <f>SUM('TOTAL VOLUME'!F50*'FedEx Rates'!F50)</f>
        <v>0</v>
      </c>
      <c r="G50" s="3">
        <f>SUM('TOTAL VOLUME'!G50*'FedEx Rates'!G50)</f>
        <v>0</v>
      </c>
      <c r="H50" s="3">
        <f>SUM('TOTAL VOLUME'!H50*'FedEx Rates'!H50)</f>
        <v>63.43</v>
      </c>
      <c r="I50" s="3">
        <f>SUM('TOTAL VOLUME'!I50*'FedEx Rates'!I50)</f>
        <v>0</v>
      </c>
      <c r="J50" s="3">
        <f>SUM('TOTAL VOLUME'!J50*'FedEx Rates'!J50)</f>
        <v>0</v>
      </c>
      <c r="K50" s="3">
        <f>SUM('TOTAL VOLUME'!K50*'FedEx Rates'!K50)</f>
        <v>0</v>
      </c>
      <c r="L50" s="3">
        <f>SUM('TOTAL VOLUME'!L50*'FedEx Rates'!L50)</f>
        <v>0</v>
      </c>
      <c r="M50" s="3">
        <f>SUM('TOTAL VOLUME'!M50*'FedEx Rates'!M50)</f>
        <v>0</v>
      </c>
      <c r="N50" s="3">
        <f>SUM('TOTAL VOLUME'!N50*'FedEx Rates'!N50)</f>
        <v>0</v>
      </c>
      <c r="O50" s="3">
        <f>SUM('TOTAL VOLUME'!O50*'FedEx Rates'!O50)</f>
        <v>0</v>
      </c>
      <c r="P50" s="3">
        <f>SUM('TOTAL VOLUME'!P50*'FedEx Rates'!P50)</f>
        <v>217.49999999999997</v>
      </c>
      <c r="Q50" s="3">
        <f>SUM('TOTAL VOLUME'!Q50*'FedEx Rates'!Q50)</f>
        <v>108.9</v>
      </c>
      <c r="R50" s="3">
        <f>SUM('TOTAL VOLUME'!R50*'FedEx Rates'!R50)</f>
        <v>103.12</v>
      </c>
      <c r="S50" s="3">
        <f>SUM('TOTAL VOLUME'!S50*'FedEx Rates'!S50)</f>
        <v>328.23</v>
      </c>
      <c r="T50" s="3">
        <f>SUM('TOTAL VOLUME'!T50*'FedEx Rates'!T50)</f>
        <v>195.39999999999998</v>
      </c>
      <c r="U50" s="3">
        <f>SUM('TOTAL VOLUME'!U50*'FedEx Rates'!U50)</f>
        <v>141.35999999999999</v>
      </c>
      <c r="V50" s="3">
        <f>SUM('TOTAL VOLUME'!V50*'FedEx Rates'!V50)</f>
        <v>468.90000000000003</v>
      </c>
      <c r="W50" s="3">
        <f>SUM('TOTAL VOLUME'!W50*'FedEx Rates'!W50)</f>
        <v>454.09999999999997</v>
      </c>
      <c r="X50" s="3">
        <f>SUM('TOTAL VOLUME'!X50*'FedEx Rates'!X50)</f>
        <v>319.77</v>
      </c>
      <c r="Y50" s="3">
        <f>SUM('TOTAL VOLUME'!Y50*'FedEx Rates'!Y50)</f>
        <v>1511.5199999999998</v>
      </c>
      <c r="Z50" s="3">
        <f>SUM('TOTAL VOLUME'!Z50*'FedEx Rates'!Z50)</f>
        <v>2888.8599999999997</v>
      </c>
      <c r="AA50" s="3">
        <f>SUM('TOTAL VOLUME'!AA50*'FedEx Rates'!AA50)</f>
        <v>2032.24</v>
      </c>
      <c r="AB50" s="3">
        <f>SUM('TOTAL VOLUME'!AB50*'FedEx Rates'!AB50)</f>
        <v>1175.1000000000001</v>
      </c>
      <c r="AC50" s="3">
        <f>SUM('TOTAL VOLUME'!AC50*'FedEx Rates'!AC50)</f>
        <v>4598.7299999999996</v>
      </c>
    </row>
    <row r="51" spans="1:29" x14ac:dyDescent="0.2">
      <c r="A51" s="2">
        <v>50</v>
      </c>
      <c r="B51" s="3">
        <f>SUM('TOTAL VOLUME'!B51*'FedEx Rates'!B51)</f>
        <v>0</v>
      </c>
      <c r="C51" s="3">
        <f>SUM('TOTAL VOLUME'!C51*'FedEx Rates'!C51)</f>
        <v>40.06</v>
      </c>
      <c r="D51" s="3">
        <f>SUM('TOTAL VOLUME'!D51*'FedEx Rates'!D51)</f>
        <v>0</v>
      </c>
      <c r="E51" s="3">
        <f>SUM('TOTAL VOLUME'!E51*'FedEx Rates'!E51)</f>
        <v>0</v>
      </c>
      <c r="F51" s="3">
        <f>SUM('TOTAL VOLUME'!F51*'FedEx Rates'!F51)</f>
        <v>59.66</v>
      </c>
      <c r="G51" s="3">
        <f>SUM('TOTAL VOLUME'!G51*'FedEx Rates'!G51)</f>
        <v>62.27</v>
      </c>
      <c r="H51" s="3">
        <f>SUM('TOTAL VOLUME'!H51*'FedEx Rates'!H51)</f>
        <v>254.08</v>
      </c>
      <c r="I51" s="3">
        <f>SUM('TOTAL VOLUME'!I51*'FedEx Rates'!I51)</f>
        <v>15.05</v>
      </c>
      <c r="J51" s="3">
        <f>SUM('TOTAL VOLUME'!J51*'FedEx Rates'!J51)</f>
        <v>0</v>
      </c>
      <c r="K51" s="3">
        <f>SUM('TOTAL VOLUME'!K51*'FedEx Rates'!K51)</f>
        <v>0</v>
      </c>
      <c r="L51" s="3">
        <f>SUM('TOTAL VOLUME'!L51*'FedEx Rates'!L51)</f>
        <v>0</v>
      </c>
      <c r="M51" s="3">
        <f>SUM('TOTAL VOLUME'!M51*'FedEx Rates'!M51)</f>
        <v>0</v>
      </c>
      <c r="N51" s="3">
        <f>SUM('TOTAL VOLUME'!N51*'FedEx Rates'!N51)</f>
        <v>0</v>
      </c>
      <c r="O51" s="3">
        <f>SUM('TOTAL VOLUME'!O51*'FedEx Rates'!O51)</f>
        <v>54.39</v>
      </c>
      <c r="P51" s="3">
        <f>SUM('TOTAL VOLUME'!P51*'FedEx Rates'!P51)</f>
        <v>174.20000000000002</v>
      </c>
      <c r="Q51" s="3">
        <f>SUM('TOTAL VOLUME'!Q51*'FedEx Rates'!Q51)</f>
        <v>32.67</v>
      </c>
      <c r="R51" s="3">
        <f>SUM('TOTAL VOLUME'!R51*'FedEx Rates'!R51)</f>
        <v>154.68</v>
      </c>
      <c r="S51" s="3">
        <f>SUM('TOTAL VOLUME'!S51*'FedEx Rates'!S51)</f>
        <v>234.60000000000002</v>
      </c>
      <c r="T51" s="3">
        <f>SUM('TOTAL VOLUME'!T51*'FedEx Rates'!T51)</f>
        <v>390.79999999999995</v>
      </c>
      <c r="U51" s="3">
        <f>SUM('TOTAL VOLUME'!U51*'FedEx Rates'!U51)</f>
        <v>141.35999999999999</v>
      </c>
      <c r="V51" s="3">
        <f>SUM('TOTAL VOLUME'!V51*'FedEx Rates'!V51)</f>
        <v>628.56000000000006</v>
      </c>
      <c r="W51" s="3">
        <f>SUM('TOTAL VOLUME'!W51*'FedEx Rates'!W51)</f>
        <v>228.38</v>
      </c>
      <c r="X51" s="3">
        <f>SUM('TOTAL VOLUME'!X51*'FedEx Rates'!X51)</f>
        <v>135.36000000000001</v>
      </c>
      <c r="Y51" s="3">
        <f>SUM('TOTAL VOLUME'!Y51*'FedEx Rates'!Y51)</f>
        <v>225.96</v>
      </c>
      <c r="Z51" s="3">
        <f>SUM('TOTAL VOLUME'!Z51*'FedEx Rates'!Z51)</f>
        <v>212.28000000000003</v>
      </c>
      <c r="AA51" s="3">
        <f>SUM('TOTAL VOLUME'!AA51*'FedEx Rates'!AA51)</f>
        <v>473.71999999999997</v>
      </c>
      <c r="AB51" s="3">
        <f>SUM('TOTAL VOLUME'!AB51*'FedEx Rates'!AB51)</f>
        <v>78.66</v>
      </c>
      <c r="AC51" s="3">
        <f>SUM('TOTAL VOLUME'!AC51*'FedEx Rates'!AC51)</f>
        <v>581.69999999999993</v>
      </c>
    </row>
    <row r="52" spans="1:29" x14ac:dyDescent="0.2">
      <c r="A52" s="2">
        <v>51</v>
      </c>
      <c r="B52" s="3">
        <f>SUM('TOTAL VOLUME'!B52*'FedEx Rates'!B52)</f>
        <v>16.510000000000002</v>
      </c>
      <c r="C52" s="3">
        <f>SUM('TOTAL VOLUME'!C52*'FedEx Rates'!C52)</f>
        <v>0</v>
      </c>
      <c r="D52" s="3">
        <f>SUM('TOTAL VOLUME'!D52*'FedEx Rates'!D52)</f>
        <v>0</v>
      </c>
      <c r="E52" s="3">
        <f>SUM('TOTAL VOLUME'!E52*'FedEx Rates'!E52)</f>
        <v>73.84</v>
      </c>
      <c r="F52" s="3">
        <f>SUM('TOTAL VOLUME'!F52*'FedEx Rates'!F52)</f>
        <v>0</v>
      </c>
      <c r="G52" s="3">
        <f>SUM('TOTAL VOLUME'!G52*'FedEx Rates'!G52)</f>
        <v>0</v>
      </c>
      <c r="H52" s="3">
        <f>SUM('TOTAL VOLUME'!H52*'FedEx Rates'!H52)</f>
        <v>0</v>
      </c>
      <c r="I52" s="3">
        <f>SUM('TOTAL VOLUME'!I52*'FedEx Rates'!I52)</f>
        <v>0</v>
      </c>
      <c r="J52" s="3">
        <f>SUM('TOTAL VOLUME'!J52*'FedEx Rates'!J52)</f>
        <v>0</v>
      </c>
      <c r="K52" s="3">
        <f>SUM('TOTAL VOLUME'!K52*'FedEx Rates'!K52)</f>
        <v>0</v>
      </c>
      <c r="L52" s="3">
        <f>SUM('TOTAL VOLUME'!L52*'FedEx Rates'!L52)</f>
        <v>0</v>
      </c>
      <c r="M52" s="3">
        <f>SUM('TOTAL VOLUME'!M52*'FedEx Rates'!M52)</f>
        <v>0</v>
      </c>
      <c r="N52" s="3">
        <f>SUM('TOTAL VOLUME'!N52*'FedEx Rates'!N52)</f>
        <v>47.94</v>
      </c>
      <c r="O52" s="3">
        <f>SUM('TOTAL VOLUME'!O52*'FedEx Rates'!O52)</f>
        <v>58.99</v>
      </c>
      <c r="P52" s="3">
        <f>SUM('TOTAL VOLUME'!P52*'FedEx Rates'!P52)</f>
        <v>182.91000000000003</v>
      </c>
      <c r="Q52" s="3">
        <f>SUM('TOTAL VOLUME'!Q52*'FedEx Rates'!Q52)</f>
        <v>32.67</v>
      </c>
      <c r="R52" s="3">
        <f>SUM('TOTAL VOLUME'!R52*'FedEx Rates'!R52)</f>
        <v>245.1</v>
      </c>
      <c r="S52" s="3">
        <f>SUM('TOTAL VOLUME'!S52*'FedEx Rates'!S52)</f>
        <v>266.05</v>
      </c>
      <c r="T52" s="3">
        <f>SUM('TOTAL VOLUME'!T52*'FedEx Rates'!T52)</f>
        <v>511.94000000000005</v>
      </c>
      <c r="U52" s="3">
        <f>SUM('TOTAL VOLUME'!U52*'FedEx Rates'!U52)</f>
        <v>166.25</v>
      </c>
      <c r="V52" s="3">
        <f>SUM('TOTAL VOLUME'!V52*'FedEx Rates'!V52)</f>
        <v>666.75</v>
      </c>
      <c r="W52" s="3">
        <f>SUM('TOTAL VOLUME'!W52*'FedEx Rates'!W52)</f>
        <v>187.32000000000002</v>
      </c>
      <c r="X52" s="3">
        <f>SUM('TOTAL VOLUME'!X52*'FedEx Rates'!X52)</f>
        <v>94</v>
      </c>
      <c r="Y52" s="3">
        <f>SUM('TOTAL VOLUME'!Y52*'FedEx Rates'!Y52)</f>
        <v>311.58</v>
      </c>
      <c r="Z52" s="3">
        <f>SUM('TOTAL VOLUME'!Z52*'FedEx Rates'!Z52)</f>
        <v>269.71000000000004</v>
      </c>
      <c r="AA52" s="3">
        <f>SUM('TOTAL VOLUME'!AA52*'FedEx Rates'!AA52)</f>
        <v>314.56</v>
      </c>
      <c r="AB52" s="3">
        <f>SUM('TOTAL VOLUME'!AB52*'FedEx Rates'!AB52)</f>
        <v>127.62</v>
      </c>
      <c r="AC52" s="3">
        <f>SUM('TOTAL VOLUME'!AC52*'FedEx Rates'!AC52)</f>
        <v>659.09999999999991</v>
      </c>
    </row>
    <row r="53" spans="1:29" x14ac:dyDescent="0.2">
      <c r="A53" s="2">
        <v>52</v>
      </c>
      <c r="B53" s="3">
        <f>SUM('TOTAL VOLUME'!B53*'FedEx Rates'!B53)</f>
        <v>0</v>
      </c>
      <c r="C53" s="3">
        <f>SUM('TOTAL VOLUME'!C53*'FedEx Rates'!C53)</f>
        <v>0</v>
      </c>
      <c r="D53" s="3">
        <f>SUM('TOTAL VOLUME'!D53*'FedEx Rates'!D53)</f>
        <v>0</v>
      </c>
      <c r="E53" s="3">
        <f>SUM('TOTAL VOLUME'!E53*'FedEx Rates'!E53)</f>
        <v>0</v>
      </c>
      <c r="F53" s="3">
        <f>SUM('TOTAL VOLUME'!F53*'FedEx Rates'!F53)</f>
        <v>63.49</v>
      </c>
      <c r="G53" s="3">
        <f>SUM('TOTAL VOLUME'!G53*'FedEx Rates'!G53)</f>
        <v>0</v>
      </c>
      <c r="H53" s="3">
        <f>SUM('TOTAL VOLUME'!H53*'FedEx Rates'!H53)</f>
        <v>70.19</v>
      </c>
      <c r="I53" s="3">
        <f>SUM('TOTAL VOLUME'!I53*'FedEx Rates'!I53)</f>
        <v>0</v>
      </c>
      <c r="J53" s="3">
        <f>SUM('TOTAL VOLUME'!J53*'FedEx Rates'!J53)</f>
        <v>0</v>
      </c>
      <c r="K53" s="3">
        <f>SUM('TOTAL VOLUME'!K53*'FedEx Rates'!K53)</f>
        <v>0</v>
      </c>
      <c r="L53" s="3">
        <f>SUM('TOTAL VOLUME'!L53*'FedEx Rates'!L53)</f>
        <v>0</v>
      </c>
      <c r="M53" s="3">
        <f>SUM('TOTAL VOLUME'!M53*'FedEx Rates'!M53)</f>
        <v>0</v>
      </c>
      <c r="N53" s="3">
        <f>SUM('TOTAL VOLUME'!N53*'FedEx Rates'!N53)</f>
        <v>0</v>
      </c>
      <c r="O53" s="3">
        <f>SUM('TOTAL VOLUME'!O53*'FedEx Rates'!O53)</f>
        <v>59.46</v>
      </c>
      <c r="P53" s="3">
        <f>SUM('TOTAL VOLUME'!P53*'FedEx Rates'!P53)</f>
        <v>95.81</v>
      </c>
      <c r="Q53" s="3">
        <f>SUM('TOTAL VOLUME'!Q53*'FedEx Rates'!Q53)</f>
        <v>32.700000000000003</v>
      </c>
      <c r="R53" s="3">
        <f>SUM('TOTAL VOLUME'!R53*'FedEx Rates'!R53)</f>
        <v>142.01</v>
      </c>
      <c r="S53" s="3">
        <f>SUM('TOTAL VOLUME'!S53*'FedEx Rates'!S53)</f>
        <v>125.2</v>
      </c>
      <c r="T53" s="3">
        <f>SUM('TOTAL VOLUME'!T53*'FedEx Rates'!T53)</f>
        <v>137.9</v>
      </c>
      <c r="U53" s="3">
        <f>SUM('TOTAL VOLUME'!U53*'FedEx Rates'!U53)</f>
        <v>118.75</v>
      </c>
      <c r="V53" s="3">
        <f>SUM('TOTAL VOLUME'!V53*'FedEx Rates'!V53)</f>
        <v>240.03000000000003</v>
      </c>
      <c r="W53" s="3">
        <f>SUM('TOTAL VOLUME'!W53*'FedEx Rates'!W53)</f>
        <v>285.18</v>
      </c>
      <c r="X53" s="3">
        <f>SUM('TOTAL VOLUME'!X53*'FedEx Rates'!X53)</f>
        <v>79.16</v>
      </c>
      <c r="Y53" s="3">
        <f>SUM('TOTAL VOLUME'!Y53*'FedEx Rates'!Y53)</f>
        <v>37.090000000000003</v>
      </c>
      <c r="Z53" s="3">
        <f>SUM('TOTAL VOLUME'!Z53*'FedEx Rates'!Z53)</f>
        <v>314.32</v>
      </c>
      <c r="AA53" s="3">
        <f>SUM('TOTAL VOLUME'!AA53*'FedEx Rates'!AA53)</f>
        <v>203.75</v>
      </c>
      <c r="AB53" s="3">
        <f>SUM('TOTAL VOLUME'!AB53*'FedEx Rates'!AB53)</f>
        <v>88.4</v>
      </c>
      <c r="AC53" s="3">
        <f>SUM('TOTAL VOLUME'!AC53*'FedEx Rates'!AC53)</f>
        <v>741.76</v>
      </c>
    </row>
    <row r="54" spans="1:29" x14ac:dyDescent="0.2">
      <c r="A54" s="2">
        <v>53</v>
      </c>
      <c r="B54" s="3">
        <f>SUM('TOTAL VOLUME'!B54*'FedEx Rates'!B54)</f>
        <v>0</v>
      </c>
      <c r="C54" s="3">
        <f>SUM('TOTAL VOLUME'!C54*'FedEx Rates'!C54)</f>
        <v>0</v>
      </c>
      <c r="D54" s="3">
        <f>SUM('TOTAL VOLUME'!D54*'FedEx Rates'!D54)</f>
        <v>27.54</v>
      </c>
      <c r="E54" s="3">
        <f>SUM('TOTAL VOLUME'!E54*'FedEx Rates'!E54)</f>
        <v>0</v>
      </c>
      <c r="F54" s="3">
        <f>SUM('TOTAL VOLUME'!F54*'FedEx Rates'!F54)</f>
        <v>0</v>
      </c>
      <c r="G54" s="3">
        <f>SUM('TOTAL VOLUME'!G54*'FedEx Rates'!G54)</f>
        <v>69.290000000000006</v>
      </c>
      <c r="H54" s="3">
        <f>SUM('TOTAL VOLUME'!H54*'FedEx Rates'!H54)</f>
        <v>141.36000000000001</v>
      </c>
      <c r="I54" s="3">
        <f>SUM('TOTAL VOLUME'!I54*'FedEx Rates'!I54)</f>
        <v>0</v>
      </c>
      <c r="J54" s="3">
        <f>SUM('TOTAL VOLUME'!J54*'FedEx Rates'!J54)</f>
        <v>0</v>
      </c>
      <c r="K54" s="3">
        <f>SUM('TOTAL VOLUME'!K54*'FedEx Rates'!K54)</f>
        <v>0</v>
      </c>
      <c r="L54" s="3">
        <f>SUM('TOTAL VOLUME'!L54*'FedEx Rates'!L54)</f>
        <v>0</v>
      </c>
      <c r="M54" s="3">
        <f>SUM('TOTAL VOLUME'!M54*'FedEx Rates'!M54)</f>
        <v>0</v>
      </c>
      <c r="N54" s="3">
        <f>SUM('TOTAL VOLUME'!N54*'FedEx Rates'!N54)</f>
        <v>0</v>
      </c>
      <c r="O54" s="3">
        <f>SUM('TOTAL VOLUME'!O54*'FedEx Rates'!O54)</f>
        <v>0</v>
      </c>
      <c r="P54" s="3">
        <f>SUM('TOTAL VOLUME'!P54*'FedEx Rates'!P54)</f>
        <v>104.64000000000001</v>
      </c>
      <c r="Q54" s="3">
        <f>SUM('TOTAL VOLUME'!Q54*'FedEx Rates'!Q54)</f>
        <v>54.5</v>
      </c>
      <c r="R54" s="3">
        <f>SUM('TOTAL VOLUME'!R54*'FedEx Rates'!R54)</f>
        <v>90.37</v>
      </c>
      <c r="S54" s="3">
        <f>SUM('TOTAL VOLUME'!S54*'FedEx Rates'!S54)</f>
        <v>189.72</v>
      </c>
      <c r="T54" s="3">
        <f>SUM('TOTAL VOLUME'!T54*'FedEx Rates'!T54)</f>
        <v>256.09999999999997</v>
      </c>
      <c r="U54" s="3">
        <f>SUM('TOTAL VOLUME'!U54*'FedEx Rates'!U54)</f>
        <v>71.28</v>
      </c>
      <c r="V54" s="3">
        <f>SUM('TOTAL VOLUME'!V54*'FedEx Rates'!V54)</f>
        <v>323.15999999999997</v>
      </c>
      <c r="W54" s="3">
        <f>SUM('TOTAL VOLUME'!W54*'FedEx Rates'!W54)</f>
        <v>178.49</v>
      </c>
      <c r="X54" s="3">
        <f>SUM('TOTAL VOLUME'!X54*'FedEx Rates'!X54)</f>
        <v>59.64</v>
      </c>
      <c r="Y54" s="3">
        <f>SUM('TOTAL VOLUME'!Y54*'FedEx Rates'!Y54)</f>
        <v>112.02000000000001</v>
      </c>
      <c r="Z54" s="3">
        <f>SUM('TOTAL VOLUME'!Z54*'FedEx Rates'!Z54)</f>
        <v>480.72</v>
      </c>
      <c r="AA54" s="3">
        <f>SUM('TOTAL VOLUME'!AA54*'FedEx Rates'!AA54)</f>
        <v>81.8</v>
      </c>
      <c r="AB54" s="3">
        <f>SUM('TOTAL VOLUME'!AB54*'FedEx Rates'!AB54)</f>
        <v>138.75</v>
      </c>
      <c r="AC54" s="3">
        <f>SUM('TOTAL VOLUME'!AC54*'FedEx Rates'!AC54)</f>
        <v>662.48</v>
      </c>
    </row>
    <row r="55" spans="1:29" x14ac:dyDescent="0.2">
      <c r="A55" s="2">
        <v>54</v>
      </c>
      <c r="B55" s="3">
        <f>SUM('TOTAL VOLUME'!B55*'FedEx Rates'!B55)</f>
        <v>0</v>
      </c>
      <c r="C55" s="3">
        <f>SUM('TOTAL VOLUME'!C55*'FedEx Rates'!C55)</f>
        <v>21.88</v>
      </c>
      <c r="D55" s="3">
        <f>SUM('TOTAL VOLUME'!D55*'FedEx Rates'!D55)</f>
        <v>0</v>
      </c>
      <c r="E55" s="3">
        <f>SUM('TOTAL VOLUME'!E55*'FedEx Rates'!E55)</f>
        <v>0</v>
      </c>
      <c r="F55" s="3">
        <f>SUM('TOTAL VOLUME'!F55*'FedEx Rates'!F55)</f>
        <v>0</v>
      </c>
      <c r="G55" s="3">
        <f>SUM('TOTAL VOLUME'!G55*'FedEx Rates'!G55)</f>
        <v>69.38</v>
      </c>
      <c r="H55" s="3">
        <f>SUM('TOTAL VOLUME'!H55*'FedEx Rates'!H55)</f>
        <v>0</v>
      </c>
      <c r="I55" s="3">
        <f>SUM('TOTAL VOLUME'!I55*'FedEx Rates'!I55)</f>
        <v>0</v>
      </c>
      <c r="J55" s="3">
        <f>SUM('TOTAL VOLUME'!J55*'FedEx Rates'!J55)</f>
        <v>0</v>
      </c>
      <c r="K55" s="3">
        <f>SUM('TOTAL VOLUME'!K55*'FedEx Rates'!K55)</f>
        <v>0</v>
      </c>
      <c r="L55" s="3">
        <f>SUM('TOTAL VOLUME'!L55*'FedEx Rates'!L55)</f>
        <v>0</v>
      </c>
      <c r="M55" s="3">
        <f>SUM('TOTAL VOLUME'!M55*'FedEx Rates'!M55)</f>
        <v>0</v>
      </c>
      <c r="N55" s="3">
        <f>SUM('TOTAL VOLUME'!N55*'FedEx Rates'!N55)</f>
        <v>0</v>
      </c>
      <c r="O55" s="3">
        <f>SUM('TOTAL VOLUME'!O55*'FedEx Rates'!O55)</f>
        <v>0</v>
      </c>
      <c r="P55" s="3">
        <f>SUM('TOTAL VOLUME'!P55*'FedEx Rates'!P55)</f>
        <v>78.48</v>
      </c>
      <c r="Q55" s="3">
        <f>SUM('TOTAL VOLUME'!Q55*'FedEx Rates'!Q55)</f>
        <v>43.6</v>
      </c>
      <c r="R55" s="3">
        <f>SUM('TOTAL VOLUME'!R55*'FedEx Rates'!R55)</f>
        <v>103.44</v>
      </c>
      <c r="S55" s="3">
        <f>SUM('TOTAL VOLUME'!S55*'FedEx Rates'!S55)</f>
        <v>221.76</v>
      </c>
      <c r="T55" s="3">
        <f>SUM('TOTAL VOLUME'!T55*'FedEx Rates'!T55)</f>
        <v>137.97</v>
      </c>
      <c r="U55" s="3">
        <f>SUM('TOTAL VOLUME'!U55*'FedEx Rates'!U55)</f>
        <v>190.08</v>
      </c>
      <c r="V55" s="3">
        <f>SUM('TOTAL VOLUME'!V55*'FedEx Rates'!V55)</f>
        <v>107.76</v>
      </c>
      <c r="W55" s="3">
        <f>SUM('TOTAL VOLUME'!W55*'FedEx Rates'!W55)</f>
        <v>399.33</v>
      </c>
      <c r="X55" s="3">
        <f>SUM('TOTAL VOLUME'!X55*'FedEx Rates'!X55)</f>
        <v>99.65</v>
      </c>
      <c r="Y55" s="3">
        <f>SUM('TOTAL VOLUME'!Y55*'FedEx Rates'!Y55)</f>
        <v>186.95</v>
      </c>
      <c r="Z55" s="3">
        <f>SUM('TOTAL VOLUME'!Z55*'FedEx Rates'!Z55)</f>
        <v>842.94</v>
      </c>
      <c r="AA55" s="3">
        <f>SUM('TOTAL VOLUME'!AA55*'FedEx Rates'!AA55)</f>
        <v>450.34</v>
      </c>
      <c r="AB55" s="3">
        <f>SUM('TOTAL VOLUME'!AB55*'FedEx Rates'!AB55)</f>
        <v>46.46</v>
      </c>
      <c r="AC55" s="3">
        <f>SUM('TOTAL VOLUME'!AC55*'FedEx Rates'!AC55)</f>
        <v>711.15</v>
      </c>
    </row>
    <row r="56" spans="1:29" x14ac:dyDescent="0.2">
      <c r="A56" s="2">
        <v>55</v>
      </c>
      <c r="B56" s="3">
        <f>SUM('TOTAL VOLUME'!B56*'FedEx Rates'!B56)</f>
        <v>18.62</v>
      </c>
      <c r="C56" s="3">
        <f>SUM('TOTAL VOLUME'!C56*'FedEx Rates'!C56)</f>
        <v>21.96</v>
      </c>
      <c r="D56" s="3">
        <f>SUM('TOTAL VOLUME'!D56*'FedEx Rates'!D56)</f>
        <v>0</v>
      </c>
      <c r="E56" s="3">
        <f>SUM('TOTAL VOLUME'!E56*'FedEx Rates'!E56)</f>
        <v>39.43</v>
      </c>
      <c r="F56" s="3">
        <f>SUM('TOTAL VOLUME'!F56*'FedEx Rates'!F56)</f>
        <v>66.459999999999994</v>
      </c>
      <c r="G56" s="3">
        <f>SUM('TOTAL VOLUME'!G56*'FedEx Rates'!G56)</f>
        <v>0</v>
      </c>
      <c r="H56" s="3">
        <f>SUM('TOTAL VOLUME'!H56*'FedEx Rates'!H56)</f>
        <v>70.849999999999994</v>
      </c>
      <c r="I56" s="3">
        <f>SUM('TOTAL VOLUME'!I56*'FedEx Rates'!I56)</f>
        <v>0</v>
      </c>
      <c r="J56" s="3">
        <f>SUM('TOTAL VOLUME'!J56*'FedEx Rates'!J56)</f>
        <v>0</v>
      </c>
      <c r="K56" s="3">
        <f>SUM('TOTAL VOLUME'!K56*'FedEx Rates'!K56)</f>
        <v>0</v>
      </c>
      <c r="L56" s="3">
        <f>SUM('TOTAL VOLUME'!L56*'FedEx Rates'!L56)</f>
        <v>0</v>
      </c>
      <c r="M56" s="3">
        <f>SUM('TOTAL VOLUME'!M56*'FedEx Rates'!M56)</f>
        <v>0</v>
      </c>
      <c r="N56" s="3">
        <f>SUM('TOTAL VOLUME'!N56*'FedEx Rates'!N56)</f>
        <v>0</v>
      </c>
      <c r="O56" s="3">
        <f>SUM('TOTAL VOLUME'!O56*'FedEx Rates'!O56)</f>
        <v>122.4</v>
      </c>
      <c r="P56" s="3">
        <f>SUM('TOTAL VOLUME'!P56*'FedEx Rates'!P56)</f>
        <v>130.80000000000001</v>
      </c>
      <c r="Q56" s="3">
        <f>SUM('TOTAL VOLUME'!Q56*'FedEx Rates'!Q56)</f>
        <v>32.730000000000004</v>
      </c>
      <c r="R56" s="3">
        <f>SUM('TOTAL VOLUME'!R56*'FedEx Rates'!R56)</f>
        <v>310.32</v>
      </c>
      <c r="S56" s="3">
        <f>SUM('TOTAL VOLUME'!S56*'FedEx Rates'!S56)</f>
        <v>205.92</v>
      </c>
      <c r="T56" s="3">
        <f>SUM('TOTAL VOLUME'!T56*'FedEx Rates'!T56)</f>
        <v>236.52</v>
      </c>
      <c r="U56" s="3">
        <f>SUM('TOTAL VOLUME'!U56*'FedEx Rates'!U56)</f>
        <v>95.04</v>
      </c>
      <c r="V56" s="3">
        <f>SUM('TOTAL VOLUME'!V56*'FedEx Rates'!V56)</f>
        <v>296.34000000000003</v>
      </c>
      <c r="W56" s="3">
        <f>SUM('TOTAL VOLUME'!W56*'FedEx Rates'!W56)</f>
        <v>234.94</v>
      </c>
      <c r="X56" s="3">
        <f>SUM('TOTAL VOLUME'!X56*'FedEx Rates'!X56)</f>
        <v>202.7</v>
      </c>
      <c r="Y56" s="3">
        <f>SUM('TOTAL VOLUME'!Y56*'FedEx Rates'!Y56)</f>
        <v>225.89999999999998</v>
      </c>
      <c r="Z56" s="3">
        <f>SUM('TOTAL VOLUME'!Z56*'FedEx Rates'!Z56)</f>
        <v>764.56000000000006</v>
      </c>
      <c r="AA56" s="3">
        <f>SUM('TOTAL VOLUME'!AA56*'FedEx Rates'!AA56)</f>
        <v>369.36</v>
      </c>
      <c r="AB56" s="3">
        <f>SUM('TOTAL VOLUME'!AB56*'FedEx Rates'!AB56)</f>
        <v>232.45000000000002</v>
      </c>
      <c r="AC56" s="3">
        <f>SUM('TOTAL VOLUME'!AC56*'FedEx Rates'!AC56)</f>
        <v>901.55000000000007</v>
      </c>
    </row>
    <row r="57" spans="1:29" x14ac:dyDescent="0.2">
      <c r="A57" s="2">
        <v>56</v>
      </c>
      <c r="B57" s="3">
        <f>SUM('TOTAL VOLUME'!B57*'FedEx Rates'!B57)</f>
        <v>18.77</v>
      </c>
      <c r="C57" s="3">
        <f>SUM('TOTAL VOLUME'!C57*'FedEx Rates'!C57)</f>
        <v>0</v>
      </c>
      <c r="D57" s="3">
        <f>SUM('TOTAL VOLUME'!D57*'FedEx Rates'!D57)</f>
        <v>0</v>
      </c>
      <c r="E57" s="3">
        <f>SUM('TOTAL VOLUME'!E57*'FedEx Rates'!E57)</f>
        <v>0</v>
      </c>
      <c r="F57" s="3">
        <f>SUM('TOTAL VOLUME'!F57*'FedEx Rates'!F57)</f>
        <v>0</v>
      </c>
      <c r="G57" s="3">
        <f>SUM('TOTAL VOLUME'!G57*'FedEx Rates'!G57)</f>
        <v>0</v>
      </c>
      <c r="H57" s="3">
        <f>SUM('TOTAL VOLUME'!H57*'FedEx Rates'!H57)</f>
        <v>141.9</v>
      </c>
      <c r="I57" s="3">
        <f>SUM('TOTAL VOLUME'!I57*'FedEx Rates'!I57)</f>
        <v>0</v>
      </c>
      <c r="J57" s="3">
        <f>SUM('TOTAL VOLUME'!J57*'FedEx Rates'!J57)</f>
        <v>0</v>
      </c>
      <c r="K57" s="3">
        <f>SUM('TOTAL VOLUME'!K57*'FedEx Rates'!K57)</f>
        <v>0</v>
      </c>
      <c r="L57" s="3">
        <f>SUM('TOTAL VOLUME'!L57*'FedEx Rates'!L57)</f>
        <v>0</v>
      </c>
      <c r="M57" s="3">
        <f>SUM('TOTAL VOLUME'!M57*'FedEx Rates'!M57)</f>
        <v>0</v>
      </c>
      <c r="N57" s="3">
        <f>SUM('TOTAL VOLUME'!N57*'FedEx Rates'!N57)</f>
        <v>0</v>
      </c>
      <c r="O57" s="3">
        <f>SUM('TOTAL VOLUME'!O57*'FedEx Rates'!O57)</f>
        <v>61.3</v>
      </c>
      <c r="P57" s="3">
        <f>SUM('TOTAL VOLUME'!P57*'FedEx Rates'!P57)</f>
        <v>43.650000000000006</v>
      </c>
      <c r="Q57" s="3">
        <f>SUM('TOTAL VOLUME'!Q57*'FedEx Rates'!Q57)</f>
        <v>32.730000000000004</v>
      </c>
      <c r="R57" s="3">
        <f>SUM('TOTAL VOLUME'!R57*'FedEx Rates'!R57)</f>
        <v>116.46</v>
      </c>
      <c r="S57" s="3">
        <f>SUM('TOTAL VOLUME'!S57*'FedEx Rates'!S57)</f>
        <v>221.76</v>
      </c>
      <c r="T57" s="3">
        <f>SUM('TOTAL VOLUME'!T57*'FedEx Rates'!T57)</f>
        <v>157.76</v>
      </c>
      <c r="U57" s="3">
        <f>SUM('TOTAL VOLUME'!U57*'FedEx Rates'!U57)</f>
        <v>309.01</v>
      </c>
      <c r="V57" s="3">
        <f>SUM('TOTAL VOLUME'!V57*'FedEx Rates'!V57)</f>
        <v>272.8</v>
      </c>
      <c r="W57" s="3">
        <f>SUM('TOTAL VOLUME'!W57*'FedEx Rates'!W57)</f>
        <v>222.3</v>
      </c>
      <c r="X57" s="3">
        <f>SUM('TOTAL VOLUME'!X57*'FedEx Rates'!X57)</f>
        <v>149.87</v>
      </c>
      <c r="Y57" s="3">
        <f>SUM('TOTAL VOLUME'!Y57*'FedEx Rates'!Y57)</f>
        <v>188.5</v>
      </c>
      <c r="Z57" s="3">
        <f>SUM('TOTAL VOLUME'!Z57*'FedEx Rates'!Z57)</f>
        <v>827</v>
      </c>
      <c r="AA57" s="3">
        <f>SUM('TOTAL VOLUME'!AA57*'FedEx Rates'!AA57)</f>
        <v>759.06000000000006</v>
      </c>
      <c r="AB57" s="3">
        <f>SUM('TOTAL VOLUME'!AB57*'FedEx Rates'!AB57)</f>
        <v>372.32</v>
      </c>
      <c r="AC57" s="3">
        <f>SUM('TOTAL VOLUME'!AC57*'FedEx Rates'!AC57)</f>
        <v>1044.78</v>
      </c>
    </row>
    <row r="58" spans="1:29" x14ac:dyDescent="0.2">
      <c r="A58" s="2">
        <v>57</v>
      </c>
      <c r="B58" s="3">
        <f>SUM('TOTAL VOLUME'!B58*'FedEx Rates'!B58)</f>
        <v>18.86</v>
      </c>
      <c r="C58" s="3">
        <f>SUM('TOTAL VOLUME'!C58*'FedEx Rates'!C58)</f>
        <v>0</v>
      </c>
      <c r="D58" s="3">
        <f>SUM('TOTAL VOLUME'!D58*'FedEx Rates'!D58)</f>
        <v>0</v>
      </c>
      <c r="E58" s="3">
        <f>SUM('TOTAL VOLUME'!E58*'FedEx Rates'!E58)</f>
        <v>0</v>
      </c>
      <c r="F58" s="3">
        <f>SUM('TOTAL VOLUME'!F58*'FedEx Rates'!F58)</f>
        <v>0</v>
      </c>
      <c r="G58" s="3">
        <f>SUM('TOTAL VOLUME'!G58*'FedEx Rates'!G58)</f>
        <v>70.95</v>
      </c>
      <c r="H58" s="3">
        <f>SUM('TOTAL VOLUME'!H58*'FedEx Rates'!H58)</f>
        <v>72.37</v>
      </c>
      <c r="I58" s="3">
        <f>SUM('TOTAL VOLUME'!I58*'FedEx Rates'!I58)</f>
        <v>0</v>
      </c>
      <c r="J58" s="3">
        <f>SUM('TOTAL VOLUME'!J58*'FedEx Rates'!J58)</f>
        <v>0</v>
      </c>
      <c r="K58" s="3">
        <f>SUM('TOTAL VOLUME'!K58*'FedEx Rates'!K58)</f>
        <v>0</v>
      </c>
      <c r="L58" s="3">
        <f>SUM('TOTAL VOLUME'!L58*'FedEx Rates'!L58)</f>
        <v>0</v>
      </c>
      <c r="M58" s="3">
        <f>SUM('TOTAL VOLUME'!M58*'FedEx Rates'!M58)</f>
        <v>0</v>
      </c>
      <c r="N58" s="3">
        <f>SUM('TOTAL VOLUME'!N58*'FedEx Rates'!N58)</f>
        <v>55.25</v>
      </c>
      <c r="O58" s="3">
        <f>SUM('TOTAL VOLUME'!O58*'FedEx Rates'!O58)</f>
        <v>0</v>
      </c>
      <c r="P58" s="3">
        <f>SUM('TOTAL VOLUME'!P58*'FedEx Rates'!P58)</f>
        <v>133.35000000000002</v>
      </c>
      <c r="Q58" s="3">
        <f>SUM('TOTAL VOLUME'!Q58*'FedEx Rates'!Q58)</f>
        <v>76.790000000000006</v>
      </c>
      <c r="R58" s="3">
        <f>SUM('TOTAL VOLUME'!R58*'FedEx Rates'!R58)</f>
        <v>90.58</v>
      </c>
      <c r="S58" s="3">
        <f>SUM('TOTAL VOLUME'!S58*'FedEx Rates'!S58)</f>
        <v>212.16</v>
      </c>
      <c r="T58" s="3">
        <f>SUM('TOTAL VOLUME'!T58*'FedEx Rates'!T58)</f>
        <v>374.67999999999995</v>
      </c>
      <c r="U58" s="3">
        <f>SUM('TOTAL VOLUME'!U58*'FedEx Rates'!U58)</f>
        <v>237.7</v>
      </c>
      <c r="V58" s="3">
        <f>SUM('TOTAL VOLUME'!V58*'FedEx Rates'!V58)</f>
        <v>413.25</v>
      </c>
      <c r="W58" s="3">
        <f>SUM('TOTAL VOLUME'!W58*'FedEx Rates'!W58)</f>
        <v>194.35</v>
      </c>
      <c r="X58" s="3">
        <f>SUM('TOTAL VOLUME'!X58*'FedEx Rates'!X58)</f>
        <v>86.48</v>
      </c>
      <c r="Y58" s="3">
        <f>SUM('TOTAL VOLUME'!Y58*'FedEx Rates'!Y58)</f>
        <v>226.62</v>
      </c>
      <c r="Z58" s="3">
        <f>SUM('TOTAL VOLUME'!Z58*'FedEx Rates'!Z58)</f>
        <v>373.05</v>
      </c>
      <c r="AA58" s="3">
        <f>SUM('TOTAL VOLUME'!AA58*'FedEx Rates'!AA58)</f>
        <v>465.96</v>
      </c>
      <c r="AB58" s="3">
        <f>SUM('TOTAL VOLUME'!AB58*'FedEx Rates'!AB58)</f>
        <v>466</v>
      </c>
      <c r="AC58" s="3">
        <f>SUM('TOTAL VOLUME'!AC58*'FedEx Rates'!AC58)</f>
        <v>760.48</v>
      </c>
    </row>
    <row r="59" spans="1:29" x14ac:dyDescent="0.2">
      <c r="A59" s="2">
        <v>58</v>
      </c>
      <c r="B59" s="3">
        <f>SUM('TOTAL VOLUME'!B59*'FedEx Rates'!B59)</f>
        <v>18.940000000000001</v>
      </c>
      <c r="C59" s="3">
        <f>SUM('TOTAL VOLUME'!C59*'FedEx Rates'!C59)</f>
        <v>0</v>
      </c>
      <c r="D59" s="3">
        <f>SUM('TOTAL VOLUME'!D59*'FedEx Rates'!D59)</f>
        <v>29.25</v>
      </c>
      <c r="E59" s="3">
        <f>SUM('TOTAL VOLUME'!E59*'FedEx Rates'!E59)</f>
        <v>0</v>
      </c>
      <c r="F59" s="3">
        <f>SUM('TOTAL VOLUME'!F59*'FedEx Rates'!F59)</f>
        <v>0</v>
      </c>
      <c r="G59" s="3">
        <f>SUM('TOTAL VOLUME'!G59*'FedEx Rates'!G59)</f>
        <v>0</v>
      </c>
      <c r="H59" s="3">
        <f>SUM('TOTAL VOLUME'!H59*'FedEx Rates'!H59)</f>
        <v>72.52</v>
      </c>
      <c r="I59" s="3">
        <f>SUM('TOTAL VOLUME'!I59*'FedEx Rates'!I59)</f>
        <v>0</v>
      </c>
      <c r="J59" s="3">
        <f>SUM('TOTAL VOLUME'!J59*'FedEx Rates'!J59)</f>
        <v>0</v>
      </c>
      <c r="K59" s="3">
        <f>SUM('TOTAL VOLUME'!K59*'FedEx Rates'!K59)</f>
        <v>0</v>
      </c>
      <c r="L59" s="3">
        <f>SUM('TOTAL VOLUME'!L59*'FedEx Rates'!L59)</f>
        <v>35.83</v>
      </c>
      <c r="M59" s="3">
        <f>SUM('TOTAL VOLUME'!M59*'FedEx Rates'!M59)</f>
        <v>0</v>
      </c>
      <c r="N59" s="3">
        <f>SUM('TOTAL VOLUME'!N59*'FedEx Rates'!N59)</f>
        <v>0</v>
      </c>
      <c r="O59" s="3">
        <f>SUM('TOTAL VOLUME'!O59*'FedEx Rates'!O59)</f>
        <v>127.08</v>
      </c>
      <c r="P59" s="3">
        <f>SUM('TOTAL VOLUME'!P59*'FedEx Rates'!P59)</f>
        <v>88.9</v>
      </c>
      <c r="Q59" s="3">
        <f>SUM('TOTAL VOLUME'!Q59*'FedEx Rates'!Q59)</f>
        <v>54.85</v>
      </c>
      <c r="R59" s="3">
        <f>SUM('TOTAL VOLUME'!R59*'FedEx Rates'!R59)</f>
        <v>207.04</v>
      </c>
      <c r="S59" s="3">
        <f>SUM('TOTAL VOLUME'!S59*'FedEx Rates'!S59)</f>
        <v>277.44</v>
      </c>
      <c r="T59" s="3">
        <f>SUM('TOTAL VOLUME'!T59*'FedEx Rates'!T59)</f>
        <v>157.84</v>
      </c>
      <c r="U59" s="3">
        <f>SUM('TOTAL VOLUME'!U59*'FedEx Rates'!U59)</f>
        <v>166.39</v>
      </c>
      <c r="V59" s="3">
        <f>SUM('TOTAL VOLUME'!V59*'FedEx Rates'!V59)</f>
        <v>305.69</v>
      </c>
      <c r="W59" s="3">
        <f>SUM('TOTAL VOLUME'!W59*'FedEx Rates'!W59)</f>
        <v>209.86</v>
      </c>
      <c r="X59" s="3">
        <f>SUM('TOTAL VOLUME'!X59*'FedEx Rates'!X59)</f>
        <v>21.71</v>
      </c>
      <c r="Y59" s="3">
        <f>SUM('TOTAL VOLUME'!Y59*'FedEx Rates'!Y59)</f>
        <v>378.1</v>
      </c>
      <c r="Z59" s="3">
        <f>SUM('TOTAL VOLUME'!Z59*'FedEx Rates'!Z59)</f>
        <v>249</v>
      </c>
      <c r="AA59" s="3">
        <f>SUM('TOTAL VOLUME'!AA59*'FedEx Rates'!AA59)</f>
        <v>302.60999999999996</v>
      </c>
      <c r="AB59" s="3">
        <f>SUM('TOTAL VOLUME'!AB59*'FedEx Rates'!AB59)</f>
        <v>93.44</v>
      </c>
      <c r="AC59" s="3">
        <f>SUM('TOTAL VOLUME'!AC59*'FedEx Rates'!AC59)</f>
        <v>857.87999999999988</v>
      </c>
    </row>
    <row r="60" spans="1:29" x14ac:dyDescent="0.2">
      <c r="A60" s="2">
        <v>59</v>
      </c>
      <c r="B60" s="3">
        <f>SUM('TOTAL VOLUME'!B60*'FedEx Rates'!B60)</f>
        <v>19.03</v>
      </c>
      <c r="C60" s="3">
        <f>SUM('TOTAL VOLUME'!C60*'FedEx Rates'!C60)</f>
        <v>0</v>
      </c>
      <c r="D60" s="3">
        <f>SUM('TOTAL VOLUME'!D60*'FedEx Rates'!D60)</f>
        <v>0</v>
      </c>
      <c r="E60" s="3">
        <f>SUM('TOTAL VOLUME'!E60*'FedEx Rates'!E60)</f>
        <v>0</v>
      </c>
      <c r="F60" s="3">
        <f>SUM('TOTAL VOLUME'!F60*'FedEx Rates'!F60)</f>
        <v>70.56</v>
      </c>
      <c r="G60" s="3">
        <f>SUM('TOTAL VOLUME'!G60*'FedEx Rates'!G60)</f>
        <v>0</v>
      </c>
      <c r="H60" s="3">
        <f>SUM('TOTAL VOLUME'!H60*'FedEx Rates'!H60)</f>
        <v>220.26</v>
      </c>
      <c r="I60" s="3">
        <f>SUM('TOTAL VOLUME'!I60*'FedEx Rates'!I60)</f>
        <v>0</v>
      </c>
      <c r="J60" s="3">
        <f>SUM('TOTAL VOLUME'!J60*'FedEx Rates'!J60)</f>
        <v>0</v>
      </c>
      <c r="K60" s="3">
        <f>SUM('TOTAL VOLUME'!K60*'FedEx Rates'!K60)</f>
        <v>0</v>
      </c>
      <c r="L60" s="3">
        <f>SUM('TOTAL VOLUME'!L60*'FedEx Rates'!L60)</f>
        <v>0</v>
      </c>
      <c r="M60" s="3">
        <f>SUM('TOTAL VOLUME'!M60*'FedEx Rates'!M60)</f>
        <v>0</v>
      </c>
      <c r="N60" s="3">
        <f>SUM('TOTAL VOLUME'!N60*'FedEx Rates'!N60)</f>
        <v>0</v>
      </c>
      <c r="O60" s="3">
        <f>SUM('TOTAL VOLUME'!O60*'FedEx Rates'!O60)</f>
        <v>129.41999999999999</v>
      </c>
      <c r="P60" s="3">
        <f>SUM('TOTAL VOLUME'!P60*'FedEx Rates'!P60)</f>
        <v>71.12</v>
      </c>
      <c r="Q60" s="3">
        <f>SUM('TOTAL VOLUME'!Q60*'FedEx Rates'!Q60)</f>
        <v>43.92</v>
      </c>
      <c r="R60" s="3">
        <f>SUM('TOTAL VOLUME'!R60*'FedEx Rates'!R60)</f>
        <v>104.32</v>
      </c>
      <c r="S60" s="3">
        <f>SUM('TOTAL VOLUME'!S60*'FedEx Rates'!S60)</f>
        <v>391.91999999999996</v>
      </c>
      <c r="T60" s="3">
        <f>SUM('TOTAL VOLUME'!T60*'FedEx Rates'!T60)</f>
        <v>258.18</v>
      </c>
      <c r="U60" s="3">
        <f>SUM('TOTAL VOLUME'!U60*'FedEx Rates'!U60)</f>
        <v>214.02</v>
      </c>
      <c r="V60" s="3">
        <f>SUM('TOTAL VOLUME'!V60*'FedEx Rates'!V60)</f>
        <v>480.42</v>
      </c>
      <c r="W60" s="3">
        <f>SUM('TOTAL VOLUME'!W60*'FedEx Rates'!W60)</f>
        <v>255.67999999999998</v>
      </c>
      <c r="X60" s="3">
        <f>SUM('TOTAL VOLUME'!X60*'FedEx Rates'!X60)</f>
        <v>108.80000000000001</v>
      </c>
      <c r="Y60" s="3">
        <f>SUM('TOTAL VOLUME'!Y60*'FedEx Rates'!Y60)</f>
        <v>38.71</v>
      </c>
      <c r="Z60" s="3">
        <f>SUM('TOTAL VOLUME'!Z60*'FedEx Rates'!Z60)</f>
        <v>547.55999999999995</v>
      </c>
      <c r="AA60" s="3">
        <f>SUM('TOTAL VOLUME'!AA60*'FedEx Rates'!AA60)</f>
        <v>303.24</v>
      </c>
      <c r="AB60" s="3">
        <f>SUM('TOTAL VOLUME'!AB60*'FedEx Rates'!AB60)</f>
        <v>374.8</v>
      </c>
      <c r="AC60" s="3">
        <f>SUM('TOTAL VOLUME'!AC60*'FedEx Rates'!AC60)</f>
        <v>602.16</v>
      </c>
    </row>
    <row r="61" spans="1:29" x14ac:dyDescent="0.2">
      <c r="A61" s="2">
        <v>60</v>
      </c>
      <c r="B61" s="3">
        <f>SUM('TOTAL VOLUME'!B61*'FedEx Rates'!B61)</f>
        <v>0</v>
      </c>
      <c r="C61" s="3">
        <f>SUM('TOTAL VOLUME'!C61*'FedEx Rates'!C61)</f>
        <v>0</v>
      </c>
      <c r="D61" s="3">
        <f>SUM('TOTAL VOLUME'!D61*'FedEx Rates'!D61)</f>
        <v>0</v>
      </c>
      <c r="E61" s="3">
        <f>SUM('TOTAL VOLUME'!E61*'FedEx Rates'!E61)</f>
        <v>0</v>
      </c>
      <c r="F61" s="3">
        <f>SUM('TOTAL VOLUME'!F61*'FedEx Rates'!F61)</f>
        <v>0</v>
      </c>
      <c r="G61" s="3">
        <f>SUM('TOTAL VOLUME'!G61*'FedEx Rates'!G61)</f>
        <v>73.569999999999993</v>
      </c>
      <c r="H61" s="3">
        <f>SUM('TOTAL VOLUME'!H61*'FedEx Rates'!H61)</f>
        <v>0</v>
      </c>
      <c r="I61" s="3">
        <f>SUM('TOTAL VOLUME'!I61*'FedEx Rates'!I61)</f>
        <v>0</v>
      </c>
      <c r="J61" s="3">
        <f>SUM('TOTAL VOLUME'!J61*'FedEx Rates'!J61)</f>
        <v>0</v>
      </c>
      <c r="K61" s="3">
        <f>SUM('TOTAL VOLUME'!K61*'FedEx Rates'!K61)</f>
        <v>0</v>
      </c>
      <c r="L61" s="3">
        <f>SUM('TOTAL VOLUME'!L61*'FedEx Rates'!L61)</f>
        <v>0</v>
      </c>
      <c r="M61" s="3">
        <f>SUM('TOTAL VOLUME'!M61*'FedEx Rates'!M61)</f>
        <v>49.74</v>
      </c>
      <c r="N61" s="3">
        <f>SUM('TOTAL VOLUME'!N61*'FedEx Rates'!N61)</f>
        <v>56.7</v>
      </c>
      <c r="O61" s="3">
        <f>SUM('TOTAL VOLUME'!O61*'FedEx Rates'!O61)</f>
        <v>0</v>
      </c>
      <c r="P61" s="3">
        <f>SUM('TOTAL VOLUME'!P61*'FedEx Rates'!P61)</f>
        <v>164.52</v>
      </c>
      <c r="Q61" s="3">
        <f>SUM('TOTAL VOLUME'!Q61*'FedEx Rates'!Q61)</f>
        <v>45.64</v>
      </c>
      <c r="R61" s="3">
        <f>SUM('TOTAL VOLUME'!R61*'FedEx Rates'!R61)</f>
        <v>106.08</v>
      </c>
      <c r="S61" s="3">
        <f>SUM('TOTAL VOLUME'!S61*'FedEx Rates'!S61)</f>
        <v>591.85</v>
      </c>
      <c r="T61" s="3">
        <f>SUM('TOTAL VOLUME'!T61*'FedEx Rates'!T61)</f>
        <v>323.68</v>
      </c>
      <c r="U61" s="3">
        <f>SUM('TOTAL VOLUME'!U61*'FedEx Rates'!U61)</f>
        <v>190.96</v>
      </c>
      <c r="V61" s="3">
        <f>SUM('TOTAL VOLUME'!V61*'FedEx Rates'!V61)</f>
        <v>568.6</v>
      </c>
      <c r="W61" s="3">
        <f>SUM('TOTAL VOLUME'!W61*'FedEx Rates'!W61)</f>
        <v>120.64</v>
      </c>
      <c r="X61" s="3">
        <f>SUM('TOTAL VOLUME'!X61*'FedEx Rates'!X61)</f>
        <v>43.6</v>
      </c>
      <c r="Y61" s="3">
        <f>SUM('TOTAL VOLUME'!Y61*'FedEx Rates'!Y61)</f>
        <v>155.19999999999999</v>
      </c>
      <c r="Z61" s="3">
        <f>SUM('TOTAL VOLUME'!Z61*'FedEx Rates'!Z61)</f>
        <v>843.6</v>
      </c>
      <c r="AA61" s="3">
        <f>SUM('TOTAL VOLUME'!AA61*'FedEx Rates'!AA61)</f>
        <v>217.04999999999998</v>
      </c>
      <c r="AB61" s="3">
        <f>SUM('TOTAL VOLUME'!AB61*'FedEx Rates'!AB61)</f>
        <v>296.70000000000005</v>
      </c>
      <c r="AC61" s="3">
        <f>SUM('TOTAL VOLUME'!AC61*'FedEx Rates'!AC61)</f>
        <v>554.83999999999992</v>
      </c>
    </row>
    <row r="62" spans="1:29" x14ac:dyDescent="0.2">
      <c r="A62" s="2">
        <v>61</v>
      </c>
      <c r="B62" s="3">
        <f>SUM('TOTAL VOLUME'!B62*'FedEx Rates'!B62)</f>
        <v>0</v>
      </c>
      <c r="C62" s="3">
        <f>SUM('TOTAL VOLUME'!C62*'FedEx Rates'!C62)</f>
        <v>0</v>
      </c>
      <c r="D62" s="3">
        <f>SUM('TOTAL VOLUME'!D62*'FedEx Rates'!D62)</f>
        <v>0</v>
      </c>
      <c r="E62" s="3">
        <f>SUM('TOTAL VOLUME'!E62*'FedEx Rates'!E62)</f>
        <v>0</v>
      </c>
      <c r="F62" s="3">
        <f>SUM('TOTAL VOLUME'!F62*'FedEx Rates'!F62)</f>
        <v>0</v>
      </c>
      <c r="G62" s="3">
        <f>SUM('TOTAL VOLUME'!G62*'FedEx Rates'!G62)</f>
        <v>0</v>
      </c>
      <c r="H62" s="3">
        <f>SUM('TOTAL VOLUME'!H62*'FedEx Rates'!H62)</f>
        <v>75.66</v>
      </c>
      <c r="I62" s="3">
        <f>SUM('TOTAL VOLUME'!I62*'FedEx Rates'!I62)</f>
        <v>0</v>
      </c>
      <c r="J62" s="3">
        <f>SUM('TOTAL VOLUME'!J62*'FedEx Rates'!J62)</f>
        <v>0</v>
      </c>
      <c r="K62" s="3">
        <f>SUM('TOTAL VOLUME'!K62*'FedEx Rates'!K62)</f>
        <v>0</v>
      </c>
      <c r="L62" s="3">
        <f>SUM('TOTAL VOLUME'!L62*'FedEx Rates'!L62)</f>
        <v>0</v>
      </c>
      <c r="M62" s="3">
        <f>SUM('TOTAL VOLUME'!M62*'FedEx Rates'!M62)</f>
        <v>0</v>
      </c>
      <c r="N62" s="3">
        <f>SUM('TOTAL VOLUME'!N62*'FedEx Rates'!N62)</f>
        <v>0</v>
      </c>
      <c r="O62" s="3">
        <f>SUM('TOTAL VOLUME'!O62*'FedEx Rates'!O62)</f>
        <v>66.94</v>
      </c>
      <c r="P62" s="3">
        <f>SUM('TOTAL VOLUME'!P62*'FedEx Rates'!P62)</f>
        <v>82.26</v>
      </c>
      <c r="Q62" s="3">
        <f>SUM('TOTAL VOLUME'!Q62*'FedEx Rates'!Q62)</f>
        <v>45.76</v>
      </c>
      <c r="R62" s="3">
        <f>SUM('TOTAL VOLUME'!R62*'FedEx Rates'!R62)</f>
        <v>53.56</v>
      </c>
      <c r="S62" s="3">
        <f>SUM('TOTAL VOLUME'!S62*'FedEx Rates'!S62)</f>
        <v>440.7</v>
      </c>
      <c r="T62" s="3">
        <f>SUM('TOTAL VOLUME'!T62*'FedEx Rates'!T62)</f>
        <v>323.68</v>
      </c>
      <c r="U62" s="3">
        <f>SUM('TOTAL VOLUME'!U62*'FedEx Rates'!U62)</f>
        <v>238.70000000000002</v>
      </c>
      <c r="V62" s="3">
        <f>SUM('TOTAL VOLUME'!V62*'FedEx Rates'!V62)</f>
        <v>398.02</v>
      </c>
      <c r="W62" s="3">
        <f>SUM('TOTAL VOLUME'!W62*'FedEx Rates'!W62)</f>
        <v>158.69999999999999</v>
      </c>
      <c r="X62" s="3">
        <f>SUM('TOTAL VOLUME'!X62*'FedEx Rates'!X62)</f>
        <v>67.710000000000008</v>
      </c>
      <c r="Y62" s="3">
        <f>SUM('TOTAL VOLUME'!Y62*'FedEx Rates'!Y62)</f>
        <v>201.85</v>
      </c>
      <c r="Z62" s="3">
        <f>SUM('TOTAL VOLUME'!Z62*'FedEx Rates'!Z62)</f>
        <v>564.19999999999993</v>
      </c>
      <c r="AA62" s="3">
        <f>SUM('TOTAL VOLUME'!AA62*'FedEx Rates'!AA62)</f>
        <v>180.64</v>
      </c>
      <c r="AB62" s="3">
        <f>SUM('TOTAL VOLUME'!AB62*'FedEx Rates'!AB62)</f>
        <v>663</v>
      </c>
      <c r="AC62" s="3">
        <f>SUM('TOTAL VOLUME'!AC62*'FedEx Rates'!AC62)</f>
        <v>572.22</v>
      </c>
    </row>
    <row r="63" spans="1:29" x14ac:dyDescent="0.2">
      <c r="A63" s="2">
        <v>62</v>
      </c>
      <c r="B63" s="3">
        <f>SUM('TOTAL VOLUME'!B63*'FedEx Rates'!B63)</f>
        <v>77.16</v>
      </c>
      <c r="C63" s="3">
        <f>SUM('TOTAL VOLUME'!C63*'FedEx Rates'!C63)</f>
        <v>0</v>
      </c>
      <c r="D63" s="3">
        <f>SUM('TOTAL VOLUME'!D63*'FedEx Rates'!D63)</f>
        <v>0</v>
      </c>
      <c r="E63" s="3">
        <f>SUM('TOTAL VOLUME'!E63*'FedEx Rates'!E63)</f>
        <v>0</v>
      </c>
      <c r="F63" s="3">
        <f>SUM('TOTAL VOLUME'!F63*'FedEx Rates'!F63)</f>
        <v>72.83</v>
      </c>
      <c r="G63" s="3">
        <f>SUM('TOTAL VOLUME'!G63*'FedEx Rates'!G63)</f>
        <v>0</v>
      </c>
      <c r="H63" s="3">
        <f>SUM('TOTAL VOLUME'!H63*'FedEx Rates'!H63)</f>
        <v>75.81</v>
      </c>
      <c r="I63" s="3">
        <f>SUM('TOTAL VOLUME'!I63*'FedEx Rates'!I63)</f>
        <v>0</v>
      </c>
      <c r="J63" s="3">
        <f>SUM('TOTAL VOLUME'!J63*'FedEx Rates'!J63)</f>
        <v>0</v>
      </c>
      <c r="K63" s="3">
        <f>SUM('TOTAL VOLUME'!K63*'FedEx Rates'!K63)</f>
        <v>0</v>
      </c>
      <c r="L63" s="3">
        <f>SUM('TOTAL VOLUME'!L63*'FedEx Rates'!L63)</f>
        <v>0</v>
      </c>
      <c r="M63" s="3">
        <f>SUM('TOTAL VOLUME'!M63*'FedEx Rates'!M63)</f>
        <v>0</v>
      </c>
      <c r="N63" s="3">
        <f>SUM('TOTAL VOLUME'!N63*'FedEx Rates'!N63)</f>
        <v>0</v>
      </c>
      <c r="O63" s="3">
        <f>SUM('TOTAL VOLUME'!O63*'FedEx Rates'!O63)</f>
        <v>0</v>
      </c>
      <c r="P63" s="3">
        <f>SUM('TOTAL VOLUME'!P63*'FedEx Rates'!P63)</f>
        <v>38.08</v>
      </c>
      <c r="Q63" s="3">
        <f>SUM('TOTAL VOLUME'!Q63*'FedEx Rates'!Q63)</f>
        <v>36.75</v>
      </c>
      <c r="R63" s="3">
        <f>SUM('TOTAL VOLUME'!R63*'FedEx Rates'!R63)</f>
        <v>81.66</v>
      </c>
      <c r="S63" s="3">
        <f>SUM('TOTAL VOLUME'!S63*'FedEx Rates'!S63)</f>
        <v>191.73</v>
      </c>
      <c r="T63" s="3">
        <f>SUM('TOTAL VOLUME'!T63*'FedEx Rates'!T63)</f>
        <v>452.1</v>
      </c>
      <c r="U63" s="3">
        <f>SUM('TOTAL VOLUME'!U63*'FedEx Rates'!U63)</f>
        <v>121.15</v>
      </c>
      <c r="V63" s="3">
        <f>SUM('TOTAL VOLUME'!V63*'FedEx Rates'!V63)</f>
        <v>345.36</v>
      </c>
      <c r="W63" s="3">
        <f>SUM('TOTAL VOLUME'!W63*'FedEx Rates'!W63)</f>
        <v>144.35999999999999</v>
      </c>
      <c r="X63" s="3">
        <f>SUM('TOTAL VOLUME'!X63*'FedEx Rates'!X63)</f>
        <v>46.52</v>
      </c>
      <c r="Y63" s="3">
        <f>SUM('TOTAL VOLUME'!Y63*'FedEx Rates'!Y63)</f>
        <v>0</v>
      </c>
      <c r="Z63" s="3">
        <f>SUM('TOTAL VOLUME'!Z63*'FedEx Rates'!Z63)</f>
        <v>131.82</v>
      </c>
      <c r="AA63" s="3">
        <f>SUM('TOTAL VOLUME'!AA63*'FedEx Rates'!AA63)</f>
        <v>136.02000000000001</v>
      </c>
      <c r="AB63" s="3">
        <f>SUM('TOTAL VOLUME'!AB63*'FedEx Rates'!AB63)</f>
        <v>155.19</v>
      </c>
      <c r="AC63" s="3">
        <f>SUM('TOTAL VOLUME'!AC63*'FedEx Rates'!AC63)</f>
        <v>372.89000000000004</v>
      </c>
    </row>
    <row r="64" spans="1:29" x14ac:dyDescent="0.2">
      <c r="A64" s="2">
        <v>63</v>
      </c>
      <c r="B64" s="3">
        <f>SUM('TOTAL VOLUME'!B64*'FedEx Rates'!B64)</f>
        <v>0</v>
      </c>
      <c r="C64" s="3">
        <f>SUM('TOTAL VOLUME'!C64*'FedEx Rates'!C64)</f>
        <v>0</v>
      </c>
      <c r="D64" s="3">
        <f>SUM('TOTAL VOLUME'!D64*'FedEx Rates'!D64)</f>
        <v>0</v>
      </c>
      <c r="E64" s="3">
        <f>SUM('TOTAL VOLUME'!E64*'FedEx Rates'!E64)</f>
        <v>0</v>
      </c>
      <c r="F64" s="3">
        <f>SUM('TOTAL VOLUME'!F64*'FedEx Rates'!F64)</f>
        <v>0</v>
      </c>
      <c r="G64" s="3">
        <f>SUM('TOTAL VOLUME'!G64*'FedEx Rates'!G64)</f>
        <v>0</v>
      </c>
      <c r="H64" s="3">
        <f>SUM('TOTAL VOLUME'!H64*'FedEx Rates'!H64)</f>
        <v>0</v>
      </c>
      <c r="I64" s="3">
        <f>SUM('TOTAL VOLUME'!I64*'FedEx Rates'!I64)</f>
        <v>0</v>
      </c>
      <c r="J64" s="3">
        <f>SUM('TOTAL VOLUME'!J64*'FedEx Rates'!J64)</f>
        <v>0</v>
      </c>
      <c r="K64" s="3">
        <f>SUM('TOTAL VOLUME'!K64*'FedEx Rates'!K64)</f>
        <v>0</v>
      </c>
      <c r="L64" s="3">
        <f>SUM('TOTAL VOLUME'!L64*'FedEx Rates'!L64)</f>
        <v>0</v>
      </c>
      <c r="M64" s="3">
        <f>SUM('TOTAL VOLUME'!M64*'FedEx Rates'!M64)</f>
        <v>53.98</v>
      </c>
      <c r="N64" s="3">
        <f>SUM('TOTAL VOLUME'!N64*'FedEx Rates'!N64)</f>
        <v>0</v>
      </c>
      <c r="O64" s="3">
        <f>SUM('TOTAL VOLUME'!O64*'FedEx Rates'!O64)</f>
        <v>0</v>
      </c>
      <c r="P64" s="3">
        <f>SUM('TOTAL VOLUME'!P64*'FedEx Rates'!P64)</f>
        <v>0</v>
      </c>
      <c r="Q64" s="3">
        <f>SUM('TOTAL VOLUME'!Q64*'FedEx Rates'!Q64)</f>
        <v>0</v>
      </c>
      <c r="R64" s="3">
        <f>SUM('TOTAL VOLUME'!R64*'FedEx Rates'!R64)</f>
        <v>0</v>
      </c>
      <c r="S64" s="3">
        <f>SUM('TOTAL VOLUME'!S64*'FedEx Rates'!S64)</f>
        <v>0</v>
      </c>
      <c r="T64" s="3">
        <f>SUM('TOTAL VOLUME'!T64*'FedEx Rates'!T64)</f>
        <v>0</v>
      </c>
      <c r="U64" s="3">
        <f>SUM('TOTAL VOLUME'!U64*'FedEx Rates'!U64)</f>
        <v>0</v>
      </c>
      <c r="V64" s="3">
        <f>SUM('TOTAL VOLUME'!V64*'FedEx Rates'!V64)</f>
        <v>0</v>
      </c>
      <c r="W64" s="3">
        <f>SUM('TOTAL VOLUME'!W64*'FedEx Rates'!W64)</f>
        <v>0</v>
      </c>
      <c r="X64" s="3">
        <f>SUM('TOTAL VOLUME'!X64*'FedEx Rates'!X64)</f>
        <v>0</v>
      </c>
      <c r="Y64" s="3">
        <f>SUM('TOTAL VOLUME'!Y64*'FedEx Rates'!Y64)</f>
        <v>0</v>
      </c>
      <c r="Z64" s="3">
        <f>SUM('TOTAL VOLUME'!Z64*'FedEx Rates'!Z64)</f>
        <v>0</v>
      </c>
      <c r="AA64" s="3">
        <f>SUM('TOTAL VOLUME'!AA64*'FedEx Rates'!AA64)</f>
        <v>0</v>
      </c>
      <c r="AB64" s="3">
        <f>SUM('TOTAL VOLUME'!AB64*'FedEx Rates'!AB64)</f>
        <v>0</v>
      </c>
      <c r="AC64" s="3">
        <f>SUM('TOTAL VOLUME'!AC64*'FedEx Rates'!AC64)</f>
        <v>0</v>
      </c>
    </row>
    <row r="65" spans="1:29" x14ac:dyDescent="0.2">
      <c r="A65" s="2">
        <v>64</v>
      </c>
      <c r="B65" s="3">
        <f>SUM('TOTAL VOLUME'!B65*'FedEx Rates'!B65)</f>
        <v>0</v>
      </c>
      <c r="C65" s="3">
        <f>SUM('TOTAL VOLUME'!C65*'FedEx Rates'!C65)</f>
        <v>0</v>
      </c>
      <c r="D65" s="3">
        <f>SUM('TOTAL VOLUME'!D65*'FedEx Rates'!D65)</f>
        <v>0</v>
      </c>
      <c r="E65" s="3">
        <f>SUM('TOTAL VOLUME'!E65*'FedEx Rates'!E65)</f>
        <v>0</v>
      </c>
      <c r="F65" s="3">
        <f>SUM('TOTAL VOLUME'!F65*'FedEx Rates'!F65)</f>
        <v>0</v>
      </c>
      <c r="G65" s="3">
        <f>SUM('TOTAL VOLUME'!G65*'FedEx Rates'!G65)</f>
        <v>0</v>
      </c>
      <c r="H65" s="3">
        <f>SUM('TOTAL VOLUME'!H65*'FedEx Rates'!H65)</f>
        <v>0</v>
      </c>
      <c r="I65" s="3">
        <f>SUM('TOTAL VOLUME'!I65*'FedEx Rates'!I65)</f>
        <v>19.46</v>
      </c>
      <c r="J65" s="3">
        <f>SUM('TOTAL VOLUME'!J65*'FedEx Rates'!J65)</f>
        <v>0</v>
      </c>
      <c r="K65" s="3">
        <f>SUM('TOTAL VOLUME'!K65*'FedEx Rates'!K65)</f>
        <v>0</v>
      </c>
      <c r="L65" s="3">
        <f>SUM('TOTAL VOLUME'!L65*'FedEx Rates'!L65)</f>
        <v>0</v>
      </c>
      <c r="M65" s="3">
        <f>SUM('TOTAL VOLUME'!M65*'FedEx Rates'!M65)</f>
        <v>0</v>
      </c>
      <c r="N65" s="3">
        <f>SUM('TOTAL VOLUME'!N65*'FedEx Rates'!N65)</f>
        <v>0</v>
      </c>
      <c r="O65" s="3">
        <f>SUM('TOTAL VOLUME'!O65*'FedEx Rates'!O65)</f>
        <v>0</v>
      </c>
      <c r="P65" s="3">
        <f>SUM('TOTAL VOLUME'!P65*'FedEx Rates'!P65)</f>
        <v>0</v>
      </c>
      <c r="Q65" s="3">
        <f>SUM('TOTAL VOLUME'!Q65*'FedEx Rates'!Q65)</f>
        <v>0</v>
      </c>
      <c r="R65" s="3">
        <f>SUM('TOTAL VOLUME'!R65*'FedEx Rates'!R65)</f>
        <v>0</v>
      </c>
      <c r="S65" s="3">
        <f>SUM('TOTAL VOLUME'!S65*'FedEx Rates'!S65)</f>
        <v>0</v>
      </c>
      <c r="T65" s="3">
        <f>SUM('TOTAL VOLUME'!T65*'FedEx Rates'!T65)</f>
        <v>0</v>
      </c>
      <c r="U65" s="3">
        <f>SUM('TOTAL VOLUME'!U65*'FedEx Rates'!U65)</f>
        <v>0</v>
      </c>
      <c r="V65" s="3">
        <f>SUM('TOTAL VOLUME'!V65*'FedEx Rates'!V65)</f>
        <v>0</v>
      </c>
      <c r="W65" s="3">
        <f>SUM('TOTAL VOLUME'!W65*'FedEx Rates'!W65)</f>
        <v>0</v>
      </c>
      <c r="X65" s="3">
        <f>SUM('TOTAL VOLUME'!X65*'FedEx Rates'!X65)</f>
        <v>0</v>
      </c>
      <c r="Y65" s="3">
        <f>SUM('TOTAL VOLUME'!Y65*'FedEx Rates'!Y65)</f>
        <v>0</v>
      </c>
      <c r="Z65" s="3">
        <f>SUM('TOTAL VOLUME'!Z65*'FedEx Rates'!Z65)</f>
        <v>0</v>
      </c>
      <c r="AA65" s="3">
        <f>SUM('TOTAL VOLUME'!AA65*'FedEx Rates'!AA65)</f>
        <v>0</v>
      </c>
      <c r="AB65" s="3">
        <f>SUM('TOTAL VOLUME'!AB65*'FedEx Rates'!AB65)</f>
        <v>0</v>
      </c>
      <c r="AC65" s="3">
        <f>SUM('TOTAL VOLUME'!AC65*'FedEx Rates'!AC65)</f>
        <v>0</v>
      </c>
    </row>
    <row r="66" spans="1:29" x14ac:dyDescent="0.2">
      <c r="A66" s="2">
        <v>65</v>
      </c>
      <c r="B66" s="3">
        <f>SUM('TOTAL VOLUME'!B66*'FedEx Rates'!B66)</f>
        <v>0</v>
      </c>
      <c r="C66" s="3">
        <f>SUM('TOTAL VOLUME'!C66*'FedEx Rates'!C66)</f>
        <v>0</v>
      </c>
      <c r="D66" s="3">
        <f>SUM('TOTAL VOLUME'!D66*'FedEx Rates'!D66)</f>
        <v>61.74</v>
      </c>
      <c r="E66" s="3">
        <f>SUM('TOTAL VOLUME'!E66*'FedEx Rates'!E66)</f>
        <v>45.63</v>
      </c>
      <c r="F66" s="3">
        <f>SUM('TOTAL VOLUME'!F66*'FedEx Rates'!F66)</f>
        <v>0</v>
      </c>
      <c r="G66" s="3">
        <f>SUM('TOTAL VOLUME'!G66*'FedEx Rates'!G66)</f>
        <v>77.319999999999993</v>
      </c>
      <c r="H66" s="3">
        <f>SUM('TOTAL VOLUME'!H66*'FedEx Rates'!H66)</f>
        <v>0</v>
      </c>
      <c r="I66" s="3">
        <f>SUM('TOTAL VOLUME'!I66*'FedEx Rates'!I66)</f>
        <v>0</v>
      </c>
      <c r="J66" s="3">
        <f>SUM('TOTAL VOLUME'!J66*'FedEx Rates'!J66)</f>
        <v>0</v>
      </c>
      <c r="K66" s="3">
        <f>SUM('TOTAL VOLUME'!K66*'FedEx Rates'!K66)</f>
        <v>0</v>
      </c>
      <c r="L66" s="3">
        <f>SUM('TOTAL VOLUME'!L66*'FedEx Rates'!L66)</f>
        <v>0</v>
      </c>
      <c r="M66" s="3">
        <f>SUM('TOTAL VOLUME'!M66*'FedEx Rates'!M66)</f>
        <v>0</v>
      </c>
      <c r="N66" s="3">
        <f>SUM('TOTAL VOLUME'!N66*'FedEx Rates'!N66)</f>
        <v>62.41</v>
      </c>
      <c r="O66" s="3">
        <f>SUM('TOTAL VOLUME'!O66*'FedEx Rates'!O66)</f>
        <v>0</v>
      </c>
      <c r="P66" s="3">
        <f>SUM('TOTAL VOLUME'!P66*'FedEx Rates'!P66)</f>
        <v>128.44</v>
      </c>
      <c r="Q66" s="3">
        <f>SUM('TOTAL VOLUME'!Q66*'FedEx Rates'!Q66)</f>
        <v>88.13</v>
      </c>
      <c r="R66" s="3">
        <f>SUM('TOTAL VOLUME'!R66*'FedEx Rates'!R66)</f>
        <v>111.68</v>
      </c>
      <c r="S66" s="3">
        <f>SUM('TOTAL VOLUME'!S66*'FedEx Rates'!S66)</f>
        <v>418.56000000000006</v>
      </c>
      <c r="T66" s="3">
        <f>SUM('TOTAL VOLUME'!T66*'FedEx Rates'!T66)</f>
        <v>378.36</v>
      </c>
      <c r="U66" s="3">
        <f>SUM('TOTAL VOLUME'!U66*'FedEx Rates'!U66)</f>
        <v>147</v>
      </c>
      <c r="V66" s="3">
        <f>SUM('TOTAL VOLUME'!V66*'FedEx Rates'!V66)</f>
        <v>583.6</v>
      </c>
      <c r="W66" s="3">
        <f>SUM('TOTAL VOLUME'!W66*'FedEx Rates'!W66)</f>
        <v>67.92</v>
      </c>
      <c r="X66" s="3">
        <f>SUM('TOTAL VOLUME'!X66*'FedEx Rates'!X66)</f>
        <v>0</v>
      </c>
      <c r="Y66" s="3">
        <f>SUM('TOTAL VOLUME'!Y66*'FedEx Rates'!Y66)</f>
        <v>125.22</v>
      </c>
      <c r="Z66" s="3">
        <f>SUM('TOTAL VOLUME'!Z66*'FedEx Rates'!Z66)</f>
        <v>274.38</v>
      </c>
      <c r="AA66" s="3">
        <f>SUM('TOTAL VOLUME'!AA66*'FedEx Rates'!AA66)</f>
        <v>472.70000000000005</v>
      </c>
      <c r="AB66" s="3">
        <f>SUM('TOTAL VOLUME'!AB66*'FedEx Rates'!AB66)</f>
        <v>0</v>
      </c>
      <c r="AC66" s="3">
        <f>SUM('TOTAL VOLUME'!AC66*'FedEx Rates'!AC66)</f>
        <v>448.96</v>
      </c>
    </row>
    <row r="67" spans="1:29" x14ac:dyDescent="0.2">
      <c r="A67" s="2">
        <v>66</v>
      </c>
      <c r="B67" s="3">
        <f>SUM('TOTAL VOLUME'!B67*'FedEx Rates'!B67)</f>
        <v>0</v>
      </c>
      <c r="C67" s="3">
        <f>SUM('TOTAL VOLUME'!C67*'FedEx Rates'!C67)</f>
        <v>0</v>
      </c>
      <c r="D67" s="3">
        <f>SUM('TOTAL VOLUME'!D67*'FedEx Rates'!D67)</f>
        <v>0</v>
      </c>
      <c r="E67" s="3">
        <f>SUM('TOTAL VOLUME'!E67*'FedEx Rates'!E67)</f>
        <v>0</v>
      </c>
      <c r="F67" s="3">
        <f>SUM('TOTAL VOLUME'!F67*'FedEx Rates'!F67)</f>
        <v>0</v>
      </c>
      <c r="G67" s="3">
        <f>SUM('TOTAL VOLUME'!G67*'FedEx Rates'!G67)</f>
        <v>0</v>
      </c>
      <c r="H67" s="3">
        <f>SUM('TOTAL VOLUME'!H67*'FedEx Rates'!H67)</f>
        <v>158</v>
      </c>
      <c r="I67" s="3">
        <f>SUM('TOTAL VOLUME'!I67*'FedEx Rates'!I67)</f>
        <v>0</v>
      </c>
      <c r="J67" s="3">
        <f>SUM('TOTAL VOLUME'!J67*'FedEx Rates'!J67)</f>
        <v>0</v>
      </c>
      <c r="K67" s="3">
        <f>SUM('TOTAL VOLUME'!K67*'FedEx Rates'!K67)</f>
        <v>0</v>
      </c>
      <c r="L67" s="3">
        <f>SUM('TOTAL VOLUME'!L67*'FedEx Rates'!L67)</f>
        <v>39.76</v>
      </c>
      <c r="M67" s="3">
        <f>SUM('TOTAL VOLUME'!M67*'FedEx Rates'!M67)</f>
        <v>0</v>
      </c>
      <c r="N67" s="3">
        <f>SUM('TOTAL VOLUME'!N67*'FedEx Rates'!N67)</f>
        <v>0</v>
      </c>
      <c r="O67" s="3">
        <f>SUM('TOTAL VOLUME'!O67*'FedEx Rates'!O67)</f>
        <v>0</v>
      </c>
      <c r="P67" s="3">
        <f>SUM('TOTAL VOLUME'!P67*'FedEx Rates'!P67)</f>
        <v>39.72</v>
      </c>
      <c r="Q67" s="3">
        <f>SUM('TOTAL VOLUME'!Q67*'FedEx Rates'!Q67)</f>
        <v>25.42</v>
      </c>
      <c r="R67" s="3">
        <f>SUM('TOTAL VOLUME'!R67*'FedEx Rates'!R67)</f>
        <v>111.76</v>
      </c>
      <c r="S67" s="3">
        <f>SUM('TOTAL VOLUME'!S67*'FedEx Rates'!S67)</f>
        <v>69.760000000000005</v>
      </c>
      <c r="T67" s="3">
        <f>SUM('TOTAL VOLUME'!T67*'FedEx Rates'!T67)</f>
        <v>231.33</v>
      </c>
      <c r="U67" s="3">
        <f>SUM('TOTAL VOLUME'!U67*'FedEx Rates'!U67)</f>
        <v>171.99</v>
      </c>
      <c r="V67" s="3">
        <f>SUM('TOTAL VOLUME'!V67*'FedEx Rates'!V67)</f>
        <v>439.5</v>
      </c>
      <c r="W67" s="3">
        <f>SUM('TOTAL VOLUME'!W67*'FedEx Rates'!W67)</f>
        <v>102.12</v>
      </c>
      <c r="X67" s="3">
        <f>SUM('TOTAL VOLUME'!X67*'FedEx Rates'!X67)</f>
        <v>72.929999999999993</v>
      </c>
      <c r="Y67" s="3">
        <f>SUM('TOTAL VOLUME'!Y67*'FedEx Rates'!Y67)</f>
        <v>86.96</v>
      </c>
      <c r="Z67" s="3">
        <f>SUM('TOTAL VOLUME'!Z67*'FedEx Rates'!Z67)</f>
        <v>188.6</v>
      </c>
      <c r="AA67" s="3">
        <f>SUM('TOTAL VOLUME'!AA67*'FedEx Rates'!AA67)</f>
        <v>194.84</v>
      </c>
      <c r="AB67" s="3">
        <f>SUM('TOTAL VOLUME'!AB67*'FedEx Rates'!AB67)</f>
        <v>108.66</v>
      </c>
      <c r="AC67" s="3">
        <f>SUM('TOTAL VOLUME'!AC67*'FedEx Rates'!AC67)</f>
        <v>281.14999999999998</v>
      </c>
    </row>
    <row r="68" spans="1:29" x14ac:dyDescent="0.2">
      <c r="A68" s="2">
        <v>67</v>
      </c>
      <c r="B68" s="3">
        <f>SUM('TOTAL VOLUME'!B68*'FedEx Rates'!B68)</f>
        <v>0</v>
      </c>
      <c r="C68" s="3">
        <f>SUM('TOTAL VOLUME'!C68*'FedEx Rates'!C68)</f>
        <v>0</v>
      </c>
      <c r="D68" s="3">
        <f>SUM('TOTAL VOLUME'!D68*'FedEx Rates'!D68)</f>
        <v>0</v>
      </c>
      <c r="E68" s="3">
        <f>SUM('TOTAL VOLUME'!E68*'FedEx Rates'!E68)</f>
        <v>0</v>
      </c>
      <c r="F68" s="3">
        <f>SUM('TOTAL VOLUME'!F68*'FedEx Rates'!F68)</f>
        <v>0</v>
      </c>
      <c r="G68" s="3">
        <f>SUM('TOTAL VOLUME'!G68*'FedEx Rates'!G68)</f>
        <v>155.08000000000001</v>
      </c>
      <c r="H68" s="3">
        <f>SUM('TOTAL VOLUME'!H68*'FedEx Rates'!H68)</f>
        <v>0</v>
      </c>
      <c r="I68" s="3">
        <f>SUM('TOTAL VOLUME'!I68*'FedEx Rates'!I68)</f>
        <v>0</v>
      </c>
      <c r="J68" s="3">
        <f>SUM('TOTAL VOLUME'!J68*'FedEx Rates'!J68)</f>
        <v>0</v>
      </c>
      <c r="K68" s="3">
        <f>SUM('TOTAL VOLUME'!K68*'FedEx Rates'!K68)</f>
        <v>0</v>
      </c>
      <c r="L68" s="3">
        <f>SUM('TOTAL VOLUME'!L68*'FedEx Rates'!L68)</f>
        <v>0</v>
      </c>
      <c r="M68" s="3">
        <f>SUM('TOTAL VOLUME'!M68*'FedEx Rates'!M68)</f>
        <v>0</v>
      </c>
      <c r="N68" s="3">
        <f>SUM('TOTAL VOLUME'!N68*'FedEx Rates'!N68)</f>
        <v>0</v>
      </c>
      <c r="O68" s="3">
        <f>SUM('TOTAL VOLUME'!O68*'FedEx Rates'!O68)</f>
        <v>0</v>
      </c>
      <c r="P68" s="3">
        <f>SUM('TOTAL VOLUME'!P68*'FedEx Rates'!P68)</f>
        <v>19.88</v>
      </c>
      <c r="Q68" s="3">
        <f>SUM('TOTAL VOLUME'!Q68*'FedEx Rates'!Q68)</f>
        <v>50.88</v>
      </c>
      <c r="R68" s="3">
        <f>SUM('TOTAL VOLUME'!R68*'FedEx Rates'!R68)</f>
        <v>69.850000000000009</v>
      </c>
      <c r="S68" s="3">
        <f>SUM('TOTAL VOLUME'!S68*'FedEx Rates'!S68)</f>
        <v>157.32</v>
      </c>
      <c r="T68" s="3">
        <f>SUM('TOTAL VOLUME'!T68*'FedEx Rates'!T68)</f>
        <v>275.47000000000003</v>
      </c>
      <c r="U68" s="3">
        <f>SUM('TOTAL VOLUME'!U68*'FedEx Rates'!U68)</f>
        <v>123.45</v>
      </c>
      <c r="V68" s="3">
        <f>SUM('TOTAL VOLUME'!V68*'FedEx Rates'!V68)</f>
        <v>354.96</v>
      </c>
      <c r="W68" s="3">
        <f>SUM('TOTAL VOLUME'!W68*'FedEx Rates'!W68)</f>
        <v>85.9</v>
      </c>
      <c r="X68" s="3">
        <f>SUM('TOTAL VOLUME'!X68*'FedEx Rates'!X68)</f>
        <v>0</v>
      </c>
      <c r="Y68" s="3">
        <f>SUM('TOTAL VOLUME'!Y68*'FedEx Rates'!Y68)</f>
        <v>130.94999999999999</v>
      </c>
      <c r="Z68" s="3">
        <f>SUM('TOTAL VOLUME'!Z68*'FedEx Rates'!Z68)</f>
        <v>283.79999999999995</v>
      </c>
      <c r="AA68" s="3">
        <f>SUM('TOTAL VOLUME'!AA68*'FedEx Rates'!AA68)</f>
        <v>293.15999999999997</v>
      </c>
      <c r="AB68" s="3">
        <f>SUM('TOTAL VOLUME'!AB68*'FedEx Rates'!AB68)</f>
        <v>0</v>
      </c>
      <c r="AC68" s="3">
        <f>SUM('TOTAL VOLUME'!AC68*'FedEx Rates'!AC68)</f>
        <v>450.24</v>
      </c>
    </row>
    <row r="69" spans="1:29" x14ac:dyDescent="0.2">
      <c r="A69" s="2">
        <v>68</v>
      </c>
      <c r="B69" s="3">
        <f>SUM('TOTAL VOLUME'!B69*'FedEx Rates'!B69)</f>
        <v>0</v>
      </c>
      <c r="C69" s="3">
        <f>SUM('TOTAL VOLUME'!C69*'FedEx Rates'!C69)</f>
        <v>0</v>
      </c>
      <c r="D69" s="3">
        <f>SUM('TOTAL VOLUME'!D69*'FedEx Rates'!D69)</f>
        <v>32.17</v>
      </c>
      <c r="E69" s="3">
        <f>SUM('TOTAL VOLUME'!E69*'FedEx Rates'!E69)</f>
        <v>0</v>
      </c>
      <c r="F69" s="3">
        <f>SUM('TOTAL VOLUME'!F69*'FedEx Rates'!F69)</f>
        <v>76.099999999999994</v>
      </c>
      <c r="G69" s="3">
        <f>SUM('TOTAL VOLUME'!G69*'FedEx Rates'!G69)</f>
        <v>0</v>
      </c>
      <c r="H69" s="3">
        <f>SUM('TOTAL VOLUME'!H69*'FedEx Rates'!H69)</f>
        <v>0</v>
      </c>
      <c r="I69" s="3">
        <f>SUM('TOTAL VOLUME'!I69*'FedEx Rates'!I69)</f>
        <v>0</v>
      </c>
      <c r="J69" s="3">
        <f>SUM('TOTAL VOLUME'!J69*'FedEx Rates'!J69)</f>
        <v>0</v>
      </c>
      <c r="K69" s="3">
        <f>SUM('TOTAL VOLUME'!K69*'FedEx Rates'!K69)</f>
        <v>0</v>
      </c>
      <c r="L69" s="3">
        <f>SUM('TOTAL VOLUME'!L69*'FedEx Rates'!L69)</f>
        <v>0</v>
      </c>
      <c r="M69" s="3">
        <f>SUM('TOTAL VOLUME'!M69*'FedEx Rates'!M69)</f>
        <v>0</v>
      </c>
      <c r="N69" s="3">
        <f>SUM('TOTAL VOLUME'!N69*'FedEx Rates'!N69)</f>
        <v>0</v>
      </c>
      <c r="O69" s="3">
        <f>SUM('TOTAL VOLUME'!O69*'FedEx Rates'!O69)</f>
        <v>0</v>
      </c>
      <c r="P69" s="3">
        <f>SUM('TOTAL VOLUME'!P69*'FedEx Rates'!P69)</f>
        <v>30.150000000000002</v>
      </c>
      <c r="Q69" s="3">
        <f>SUM('TOTAL VOLUME'!Q69*'FedEx Rates'!Q69)</f>
        <v>12.95</v>
      </c>
      <c r="R69" s="3">
        <f>SUM('TOTAL VOLUME'!R69*'FedEx Rates'!R69)</f>
        <v>29.64</v>
      </c>
      <c r="S69" s="3">
        <f>SUM('TOTAL VOLUME'!S69*'FedEx Rates'!S69)</f>
        <v>321.83999999999997</v>
      </c>
      <c r="T69" s="3">
        <f>SUM('TOTAL VOLUME'!T69*'FedEx Rates'!T69)</f>
        <v>107.55000000000001</v>
      </c>
      <c r="U69" s="3">
        <f>SUM('TOTAL VOLUME'!U69*'FedEx Rates'!U69)</f>
        <v>25.06</v>
      </c>
      <c r="V69" s="3">
        <f>SUM('TOTAL VOLUME'!V69*'FedEx Rates'!V69)</f>
        <v>384.53999999999996</v>
      </c>
      <c r="W69" s="3">
        <f>SUM('TOTAL VOLUME'!W69*'FedEx Rates'!W69)</f>
        <v>35.159999999999997</v>
      </c>
      <c r="X69" s="3">
        <f>SUM('TOTAL VOLUME'!X69*'FedEx Rates'!X69)</f>
        <v>0</v>
      </c>
      <c r="Y69" s="3">
        <f>SUM('TOTAL VOLUME'!Y69*'FedEx Rates'!Y69)</f>
        <v>87.38</v>
      </c>
      <c r="Z69" s="3">
        <f>SUM('TOTAL VOLUME'!Z69*'FedEx Rates'!Z69)</f>
        <v>383.12</v>
      </c>
      <c r="AA69" s="3">
        <f>SUM('TOTAL VOLUME'!AA69*'FedEx Rates'!AA69)</f>
        <v>244.5</v>
      </c>
      <c r="AB69" s="3">
        <f>SUM('TOTAL VOLUME'!AB69*'FedEx Rates'!AB69)</f>
        <v>108.8</v>
      </c>
      <c r="AC69" s="3">
        <f>SUM('TOTAL VOLUME'!AC69*'FedEx Rates'!AC69)</f>
        <v>509.40000000000003</v>
      </c>
    </row>
    <row r="70" spans="1:29" x14ac:dyDescent="0.2">
      <c r="A70" s="2">
        <v>69</v>
      </c>
      <c r="B70" s="3">
        <f>SUM('TOTAL VOLUME'!B70*'FedEx Rates'!B70)</f>
        <v>0</v>
      </c>
      <c r="C70" s="3">
        <f>SUM('TOTAL VOLUME'!C70*'FedEx Rates'!C70)</f>
        <v>0</v>
      </c>
      <c r="D70" s="3">
        <f>SUM('TOTAL VOLUME'!D70*'FedEx Rates'!D70)</f>
        <v>0</v>
      </c>
      <c r="E70" s="3">
        <f>SUM('TOTAL VOLUME'!E70*'FedEx Rates'!E70)</f>
        <v>0</v>
      </c>
      <c r="F70" s="3">
        <f>SUM('TOTAL VOLUME'!F70*'FedEx Rates'!F70)</f>
        <v>76.349999999999994</v>
      </c>
      <c r="G70" s="3">
        <f>SUM('TOTAL VOLUME'!G70*'FedEx Rates'!G70)</f>
        <v>0</v>
      </c>
      <c r="H70" s="3">
        <f>SUM('TOTAL VOLUME'!H70*'FedEx Rates'!H70)</f>
        <v>79.44</v>
      </c>
      <c r="I70" s="3">
        <f>SUM('TOTAL VOLUME'!I70*'FedEx Rates'!I70)</f>
        <v>0</v>
      </c>
      <c r="J70" s="3">
        <f>SUM('TOTAL VOLUME'!J70*'FedEx Rates'!J70)</f>
        <v>0</v>
      </c>
      <c r="K70" s="3">
        <f>SUM('TOTAL VOLUME'!K70*'FedEx Rates'!K70)</f>
        <v>0</v>
      </c>
      <c r="L70" s="3">
        <f>SUM('TOTAL VOLUME'!L70*'FedEx Rates'!L70)</f>
        <v>0</v>
      </c>
      <c r="M70" s="3">
        <f>SUM('TOTAL VOLUME'!M70*'FedEx Rates'!M70)</f>
        <v>0</v>
      </c>
      <c r="N70" s="3">
        <f>SUM('TOTAL VOLUME'!N70*'FedEx Rates'!N70)</f>
        <v>0</v>
      </c>
      <c r="O70" s="3">
        <f>SUM('TOTAL VOLUME'!O70*'FedEx Rates'!O70)</f>
        <v>76.97</v>
      </c>
      <c r="P70" s="3">
        <f>SUM('TOTAL VOLUME'!P70*'FedEx Rates'!P70)</f>
        <v>10.26</v>
      </c>
      <c r="Q70" s="3">
        <f>SUM('TOTAL VOLUME'!Q70*'FedEx Rates'!Q70)</f>
        <v>13.08</v>
      </c>
      <c r="R70" s="3">
        <f>SUM('TOTAL VOLUME'!R70*'FedEx Rates'!R70)</f>
        <v>29.92</v>
      </c>
      <c r="S70" s="3">
        <f>SUM('TOTAL VOLUME'!S70*'FedEx Rates'!S70)</f>
        <v>288</v>
      </c>
      <c r="T70" s="3">
        <f>SUM('TOTAL VOLUME'!T70*'FedEx Rates'!T70)</f>
        <v>259.44</v>
      </c>
      <c r="U70" s="3">
        <f>SUM('TOTAL VOLUME'!U70*'FedEx Rates'!U70)</f>
        <v>125.35</v>
      </c>
      <c r="V70" s="3">
        <f>SUM('TOTAL VOLUME'!V70*'FedEx Rates'!V70)</f>
        <v>416.35999999999996</v>
      </c>
      <c r="W70" s="3">
        <f>SUM('TOTAL VOLUME'!W70*'FedEx Rates'!W70)</f>
        <v>88.100000000000009</v>
      </c>
      <c r="X70" s="3">
        <f>SUM('TOTAL VOLUME'!X70*'FedEx Rates'!X70)</f>
        <v>25.82</v>
      </c>
      <c r="Y70" s="3">
        <f>SUM('TOTAL VOLUME'!Y70*'FedEx Rates'!Y70)</f>
        <v>43.74</v>
      </c>
      <c r="Z70" s="3">
        <f>SUM('TOTAL VOLUME'!Z70*'FedEx Rates'!Z70)</f>
        <v>528.22</v>
      </c>
      <c r="AA70" s="3">
        <f>SUM('TOTAL VOLUME'!AA70*'FedEx Rates'!AA70)</f>
        <v>342.85999999999996</v>
      </c>
      <c r="AB70" s="3">
        <f>SUM('TOTAL VOLUME'!AB70*'FedEx Rates'!AB70)</f>
        <v>0</v>
      </c>
      <c r="AC70" s="3">
        <f>SUM('TOTAL VOLUME'!AC70*'FedEx Rates'!AC70)</f>
        <v>230.72</v>
      </c>
    </row>
    <row r="71" spans="1:29" x14ac:dyDescent="0.2">
      <c r="A71" s="2">
        <v>70</v>
      </c>
      <c r="B71" s="3">
        <f>SUM('TOTAL VOLUME'!B71*'FedEx Rates'!B71)</f>
        <v>0</v>
      </c>
      <c r="C71" s="3">
        <f>SUM('TOTAL VOLUME'!C71*'FedEx Rates'!C71)</f>
        <v>0</v>
      </c>
      <c r="D71" s="3">
        <f>SUM('TOTAL VOLUME'!D71*'FedEx Rates'!D71)</f>
        <v>33.380000000000003</v>
      </c>
      <c r="E71" s="3">
        <f>SUM('TOTAL VOLUME'!E71*'FedEx Rates'!E71)</f>
        <v>0</v>
      </c>
      <c r="F71" s="3">
        <f>SUM('TOTAL VOLUME'!F71*'FedEx Rates'!F71)</f>
        <v>0</v>
      </c>
      <c r="G71" s="3">
        <f>SUM('TOTAL VOLUME'!G71*'FedEx Rates'!G71)</f>
        <v>0</v>
      </c>
      <c r="H71" s="3">
        <f>SUM('TOTAL VOLUME'!H71*'FedEx Rates'!H71)</f>
        <v>0</v>
      </c>
      <c r="I71" s="3">
        <f>SUM('TOTAL VOLUME'!I71*'FedEx Rates'!I71)</f>
        <v>0</v>
      </c>
      <c r="J71" s="3">
        <f>SUM('TOTAL VOLUME'!J71*'FedEx Rates'!J71)</f>
        <v>0</v>
      </c>
      <c r="K71" s="3">
        <f>SUM('TOTAL VOLUME'!K71*'FedEx Rates'!K71)</f>
        <v>0</v>
      </c>
      <c r="L71" s="3">
        <f>SUM('TOTAL VOLUME'!L71*'FedEx Rates'!L71)</f>
        <v>0</v>
      </c>
      <c r="M71" s="3">
        <f>SUM('TOTAL VOLUME'!M71*'FedEx Rates'!M71)</f>
        <v>0</v>
      </c>
      <c r="N71" s="3">
        <f>SUM('TOTAL VOLUME'!N71*'FedEx Rates'!N71)</f>
        <v>66.3</v>
      </c>
      <c r="O71" s="3">
        <f>SUM('TOTAL VOLUME'!O71*'FedEx Rates'!O71)</f>
        <v>77.069999999999993</v>
      </c>
      <c r="P71" s="3">
        <f>SUM('TOTAL VOLUME'!P71*'FedEx Rates'!P71)</f>
        <v>92.7</v>
      </c>
      <c r="Q71" s="3">
        <f>SUM('TOTAL VOLUME'!Q71*'FedEx Rates'!Q71)</f>
        <v>39.78</v>
      </c>
      <c r="R71" s="3">
        <f>SUM('TOTAL VOLUME'!R71*'FedEx Rates'!R71)</f>
        <v>91.74</v>
      </c>
      <c r="S71" s="3">
        <f>SUM('TOTAL VOLUME'!S71*'FedEx Rates'!S71)</f>
        <v>226.44</v>
      </c>
      <c r="T71" s="3">
        <f>SUM('TOTAL VOLUME'!T71*'FedEx Rates'!T71)</f>
        <v>242.55</v>
      </c>
      <c r="U71" s="3">
        <f>SUM('TOTAL VOLUME'!U71*'FedEx Rates'!U71)</f>
        <v>25.07</v>
      </c>
      <c r="V71" s="3">
        <f>SUM('TOTAL VOLUME'!V71*'FedEx Rates'!V71)</f>
        <v>269.90999999999997</v>
      </c>
      <c r="W71" s="3">
        <f>SUM('TOTAL VOLUME'!W71*'FedEx Rates'!W71)</f>
        <v>88.3</v>
      </c>
      <c r="X71" s="3">
        <f>SUM('TOTAL VOLUME'!X71*'FedEx Rates'!X71)</f>
        <v>103.44</v>
      </c>
      <c r="Y71" s="3">
        <f>SUM('TOTAL VOLUME'!Y71*'FedEx Rates'!Y71)</f>
        <v>43.77</v>
      </c>
      <c r="Z71" s="3">
        <f>SUM('TOTAL VOLUME'!Z71*'FedEx Rates'!Z71)</f>
        <v>240.3</v>
      </c>
      <c r="AA71" s="3">
        <f>SUM('TOTAL VOLUME'!AA71*'FedEx Rates'!AA71)</f>
        <v>98.06</v>
      </c>
      <c r="AB71" s="3">
        <f>SUM('TOTAL VOLUME'!AB71*'FedEx Rates'!AB71)</f>
        <v>272.8</v>
      </c>
      <c r="AC71" s="3">
        <f>SUM('TOTAL VOLUME'!AC71*'FedEx Rates'!AC71)</f>
        <v>346.74</v>
      </c>
    </row>
    <row r="72" spans="1:29" x14ac:dyDescent="0.2">
      <c r="A72" s="2">
        <v>71</v>
      </c>
      <c r="B72" s="3">
        <f>SUM('TOTAL VOLUME'!B72*'FedEx Rates'!B72)</f>
        <v>0</v>
      </c>
      <c r="C72" s="3">
        <f>SUM('TOTAL VOLUME'!C72*'FedEx Rates'!C72)</f>
        <v>28.77</v>
      </c>
      <c r="D72" s="3">
        <f>SUM('TOTAL VOLUME'!D72*'FedEx Rates'!D72)</f>
        <v>0</v>
      </c>
      <c r="E72" s="3">
        <f>SUM('TOTAL VOLUME'!E72*'FedEx Rates'!E72)</f>
        <v>50.45</v>
      </c>
      <c r="F72" s="3">
        <f>SUM('TOTAL VOLUME'!F72*'FedEx Rates'!F72)</f>
        <v>0</v>
      </c>
      <c r="G72" s="3">
        <f>SUM('TOTAL VOLUME'!G72*'FedEx Rates'!G72)</f>
        <v>0</v>
      </c>
      <c r="H72" s="3">
        <f>SUM('TOTAL VOLUME'!H72*'FedEx Rates'!H72)</f>
        <v>0</v>
      </c>
      <c r="I72" s="3">
        <f>SUM('TOTAL VOLUME'!I72*'FedEx Rates'!I72)</f>
        <v>0</v>
      </c>
      <c r="J72" s="3">
        <f>SUM('TOTAL VOLUME'!J72*'FedEx Rates'!J72)</f>
        <v>0</v>
      </c>
      <c r="K72" s="3">
        <f>SUM('TOTAL VOLUME'!K72*'FedEx Rates'!K72)</f>
        <v>0</v>
      </c>
      <c r="L72" s="3">
        <f>SUM('TOTAL VOLUME'!L72*'FedEx Rates'!L72)</f>
        <v>0</v>
      </c>
      <c r="M72" s="3">
        <f>SUM('TOTAL VOLUME'!M72*'FedEx Rates'!M72)</f>
        <v>0</v>
      </c>
      <c r="N72" s="3">
        <f>SUM('TOTAL VOLUME'!N72*'FedEx Rates'!N72)</f>
        <v>0</v>
      </c>
      <c r="O72" s="3">
        <f>SUM('TOTAL VOLUME'!O72*'FedEx Rates'!O72)</f>
        <v>79.069999999999993</v>
      </c>
      <c r="P72" s="3">
        <f>SUM('TOTAL VOLUME'!P72*'FedEx Rates'!P72)</f>
        <v>51.550000000000004</v>
      </c>
      <c r="Q72" s="3">
        <f>SUM('TOTAL VOLUME'!Q72*'FedEx Rates'!Q72)</f>
        <v>26.52</v>
      </c>
      <c r="R72" s="3">
        <f>SUM('TOTAL VOLUME'!R72*'FedEx Rates'!R72)</f>
        <v>46.56</v>
      </c>
      <c r="S72" s="3">
        <f>SUM('TOTAL VOLUME'!S72*'FedEx Rates'!S72)</f>
        <v>132.09</v>
      </c>
      <c r="T72" s="3">
        <f>SUM('TOTAL VOLUME'!T72*'FedEx Rates'!T72)</f>
        <v>266.39999999999998</v>
      </c>
      <c r="U72" s="3">
        <f>SUM('TOTAL VOLUME'!U72*'FedEx Rates'!U72)</f>
        <v>101.92</v>
      </c>
      <c r="V72" s="3">
        <f>SUM('TOTAL VOLUME'!V72*'FedEx Rates'!V72)</f>
        <v>330</v>
      </c>
      <c r="W72" s="3">
        <f>SUM('TOTAL VOLUME'!W72*'FedEx Rates'!W72)</f>
        <v>90.850000000000009</v>
      </c>
      <c r="X72" s="3">
        <f>SUM('TOTAL VOLUME'!X72*'FedEx Rates'!X72)</f>
        <v>103.64</v>
      </c>
      <c r="Y72" s="3">
        <f>SUM('TOTAL VOLUME'!Y72*'FedEx Rates'!Y72)</f>
        <v>175.68</v>
      </c>
      <c r="Z72" s="3">
        <f>SUM('TOTAL VOLUME'!Z72*'FedEx Rates'!Z72)</f>
        <v>288.89999999999998</v>
      </c>
      <c r="AA72" s="3">
        <f>SUM('TOTAL VOLUME'!AA72*'FedEx Rates'!AA72)</f>
        <v>49.11</v>
      </c>
      <c r="AB72" s="3">
        <f>SUM('TOTAL VOLUME'!AB72*'FedEx Rates'!AB72)</f>
        <v>0</v>
      </c>
      <c r="AC72" s="3">
        <f>SUM('TOTAL VOLUME'!AC72*'FedEx Rates'!AC72)</f>
        <v>232</v>
      </c>
    </row>
    <row r="73" spans="1:29" x14ac:dyDescent="0.2">
      <c r="A73" s="2">
        <v>72</v>
      </c>
      <c r="B73" s="3">
        <f>SUM('TOTAL VOLUME'!B73*'FedEx Rates'!B73)</f>
        <v>0</v>
      </c>
      <c r="C73" s="3">
        <f>SUM('TOTAL VOLUME'!C73*'FedEx Rates'!C73)</f>
        <v>0</v>
      </c>
      <c r="D73" s="3">
        <f>SUM('TOTAL VOLUME'!D73*'FedEx Rates'!D73)</f>
        <v>0</v>
      </c>
      <c r="E73" s="3">
        <f>SUM('TOTAL VOLUME'!E73*'FedEx Rates'!E73)</f>
        <v>0</v>
      </c>
      <c r="F73" s="3">
        <f>SUM('TOTAL VOLUME'!F73*'FedEx Rates'!F73)</f>
        <v>0</v>
      </c>
      <c r="G73" s="3">
        <f>SUM('TOTAL VOLUME'!G73*'FedEx Rates'!G73)</f>
        <v>0</v>
      </c>
      <c r="H73" s="3">
        <f>SUM('TOTAL VOLUME'!H73*'FedEx Rates'!H73)</f>
        <v>0</v>
      </c>
      <c r="I73" s="3">
        <f>SUM('TOTAL VOLUME'!I73*'FedEx Rates'!I73)</f>
        <v>0</v>
      </c>
      <c r="J73" s="3">
        <f>SUM('TOTAL VOLUME'!J73*'FedEx Rates'!J73)</f>
        <v>0</v>
      </c>
      <c r="K73" s="3">
        <f>SUM('TOTAL VOLUME'!K73*'FedEx Rates'!K73)</f>
        <v>0</v>
      </c>
      <c r="L73" s="3">
        <f>SUM('TOTAL VOLUME'!L73*'FedEx Rates'!L73)</f>
        <v>0</v>
      </c>
      <c r="M73" s="3">
        <f>SUM('TOTAL VOLUME'!M73*'FedEx Rates'!M73)</f>
        <v>0</v>
      </c>
      <c r="N73" s="3">
        <f>SUM('TOTAL VOLUME'!N73*'FedEx Rates'!N73)</f>
        <v>0</v>
      </c>
      <c r="O73" s="3">
        <f>SUM('TOTAL VOLUME'!O73*'FedEx Rates'!O73)</f>
        <v>0</v>
      </c>
      <c r="P73" s="3">
        <f>SUM('TOTAL VOLUME'!P73*'FedEx Rates'!P73)</f>
        <v>0</v>
      </c>
      <c r="Q73" s="3">
        <f>SUM('TOTAL VOLUME'!Q73*'FedEx Rates'!Q73)</f>
        <v>0</v>
      </c>
      <c r="R73" s="3">
        <f>SUM('TOTAL VOLUME'!R73*'FedEx Rates'!R73)</f>
        <v>0</v>
      </c>
      <c r="S73" s="3">
        <f>SUM('TOTAL VOLUME'!S73*'FedEx Rates'!S73)</f>
        <v>0</v>
      </c>
      <c r="T73" s="3">
        <f>SUM('TOTAL VOLUME'!T73*'FedEx Rates'!T73)</f>
        <v>0</v>
      </c>
      <c r="U73" s="3">
        <f>SUM('TOTAL VOLUME'!U73*'FedEx Rates'!U73)</f>
        <v>0</v>
      </c>
      <c r="V73" s="3">
        <f>SUM('TOTAL VOLUME'!V73*'FedEx Rates'!V73)</f>
        <v>0</v>
      </c>
      <c r="W73" s="3">
        <f>SUM('TOTAL VOLUME'!W73*'FedEx Rates'!W73)</f>
        <v>0</v>
      </c>
      <c r="X73" s="3">
        <f>SUM('TOTAL VOLUME'!X73*'FedEx Rates'!X73)</f>
        <v>0</v>
      </c>
      <c r="Y73" s="3">
        <f>SUM('TOTAL VOLUME'!Y73*'FedEx Rates'!Y73)</f>
        <v>0</v>
      </c>
      <c r="Z73" s="3">
        <f>SUM('TOTAL VOLUME'!Z73*'FedEx Rates'!Z73)</f>
        <v>0</v>
      </c>
      <c r="AA73" s="3">
        <f>SUM('TOTAL VOLUME'!AA73*'FedEx Rates'!AA73)</f>
        <v>0</v>
      </c>
      <c r="AB73" s="3">
        <f>SUM('TOTAL VOLUME'!AB73*'FedEx Rates'!AB73)</f>
        <v>0</v>
      </c>
      <c r="AC73" s="3">
        <f>SUM('TOTAL VOLUME'!AC73*'FedEx Rates'!AC73)</f>
        <v>0</v>
      </c>
    </row>
    <row r="74" spans="1:29" x14ac:dyDescent="0.2">
      <c r="A74" s="2">
        <v>73</v>
      </c>
      <c r="B74" s="3">
        <f>SUM('TOTAL VOLUME'!B74*'FedEx Rates'!B74)</f>
        <v>0</v>
      </c>
      <c r="C74" s="3">
        <f>SUM('TOTAL VOLUME'!C74*'FedEx Rates'!C74)</f>
        <v>0</v>
      </c>
      <c r="D74" s="3">
        <f>SUM('TOTAL VOLUME'!D74*'FedEx Rates'!D74)</f>
        <v>0</v>
      </c>
      <c r="E74" s="3">
        <f>SUM('TOTAL VOLUME'!E74*'FedEx Rates'!E74)</f>
        <v>51.36</v>
      </c>
      <c r="F74" s="3">
        <f>SUM('TOTAL VOLUME'!F74*'FedEx Rates'!F74)</f>
        <v>0</v>
      </c>
      <c r="G74" s="3">
        <f>SUM('TOTAL VOLUME'!G74*'FedEx Rates'!G74)</f>
        <v>0</v>
      </c>
      <c r="H74" s="3">
        <f>SUM('TOTAL VOLUME'!H74*'FedEx Rates'!H74)</f>
        <v>0</v>
      </c>
      <c r="I74" s="3">
        <f>SUM('TOTAL VOLUME'!I74*'FedEx Rates'!I74)</f>
        <v>0</v>
      </c>
      <c r="J74" s="3">
        <f>SUM('TOTAL VOLUME'!J74*'FedEx Rates'!J74)</f>
        <v>0</v>
      </c>
      <c r="K74" s="3">
        <f>SUM('TOTAL VOLUME'!K74*'FedEx Rates'!K74)</f>
        <v>0</v>
      </c>
      <c r="L74" s="3">
        <f>SUM('TOTAL VOLUME'!L74*'FedEx Rates'!L74)</f>
        <v>0</v>
      </c>
      <c r="M74" s="3">
        <f>SUM('TOTAL VOLUME'!M74*'FedEx Rates'!M74)</f>
        <v>0</v>
      </c>
      <c r="N74" s="3">
        <f>SUM('TOTAL VOLUME'!N74*'FedEx Rates'!N74)</f>
        <v>0</v>
      </c>
      <c r="O74" s="3">
        <f>SUM('TOTAL VOLUME'!O74*'FedEx Rates'!O74)</f>
        <v>0</v>
      </c>
      <c r="P74" s="3">
        <f>SUM('TOTAL VOLUME'!P74*'FedEx Rates'!P74)</f>
        <v>85.36</v>
      </c>
      <c r="Q74" s="3">
        <f>SUM('TOTAL VOLUME'!Q74*'FedEx Rates'!Q74)</f>
        <v>13.39</v>
      </c>
      <c r="R74" s="3">
        <f>SUM('TOTAL VOLUME'!R74*'FedEx Rates'!R74)</f>
        <v>126.8</v>
      </c>
      <c r="S74" s="3">
        <f>SUM('TOTAL VOLUME'!S74*'FedEx Rates'!S74)</f>
        <v>210.76</v>
      </c>
      <c r="T74" s="3">
        <f>SUM('TOTAL VOLUME'!T74*'FedEx Rates'!T74)</f>
        <v>319.33999999999997</v>
      </c>
      <c r="U74" s="3">
        <f>SUM('TOTAL VOLUME'!U74*'FedEx Rates'!U74)</f>
        <v>212.88</v>
      </c>
      <c r="V74" s="3">
        <f>SUM('TOTAL VOLUME'!V74*'FedEx Rates'!V74)</f>
        <v>270.45</v>
      </c>
      <c r="W74" s="3">
        <f>SUM('TOTAL VOLUME'!W74*'FedEx Rates'!W74)</f>
        <v>91.649999999999991</v>
      </c>
      <c r="X74" s="3">
        <f>SUM('TOTAL VOLUME'!X74*'FedEx Rates'!X74)</f>
        <v>27.22</v>
      </c>
      <c r="Y74" s="3">
        <f>SUM('TOTAL VOLUME'!Y74*'FedEx Rates'!Y74)</f>
        <v>235.15</v>
      </c>
      <c r="Z74" s="3">
        <f>SUM('TOTAL VOLUME'!Z74*'FedEx Rates'!Z74)</f>
        <v>199.68</v>
      </c>
      <c r="AA74" s="3">
        <f>SUM('TOTAL VOLUME'!AA74*'FedEx Rates'!AA74)</f>
        <v>50.92</v>
      </c>
      <c r="AB74" s="3">
        <f>SUM('TOTAL VOLUME'!AB74*'FedEx Rates'!AB74)</f>
        <v>0</v>
      </c>
      <c r="AC74" s="3">
        <f>SUM('TOTAL VOLUME'!AC74*'FedEx Rates'!AC74)</f>
        <v>438.2</v>
      </c>
    </row>
    <row r="75" spans="1:29" x14ac:dyDescent="0.2">
      <c r="A75" s="2">
        <v>74</v>
      </c>
      <c r="B75" s="3">
        <f>SUM('TOTAL VOLUME'!B75*'FedEx Rates'!B75)</f>
        <v>0</v>
      </c>
      <c r="C75" s="3">
        <f>SUM('TOTAL VOLUME'!C75*'FedEx Rates'!C75)</f>
        <v>0</v>
      </c>
      <c r="D75" s="3">
        <f>SUM('TOTAL VOLUME'!D75*'FedEx Rates'!D75)</f>
        <v>0</v>
      </c>
      <c r="E75" s="3">
        <f>SUM('TOTAL VOLUME'!E75*'FedEx Rates'!E75)</f>
        <v>51.45</v>
      </c>
      <c r="F75" s="3">
        <f>SUM('TOTAL VOLUME'!F75*'FedEx Rates'!F75)</f>
        <v>82.4</v>
      </c>
      <c r="G75" s="3">
        <f>SUM('TOTAL VOLUME'!G75*'FedEx Rates'!G75)</f>
        <v>0</v>
      </c>
      <c r="H75" s="3">
        <f>SUM('TOTAL VOLUME'!H75*'FedEx Rates'!H75)</f>
        <v>0</v>
      </c>
      <c r="I75" s="3">
        <f>SUM('TOTAL VOLUME'!I75*'FedEx Rates'!I75)</f>
        <v>0</v>
      </c>
      <c r="J75" s="3">
        <f>SUM('TOTAL VOLUME'!J75*'FedEx Rates'!J75)</f>
        <v>0</v>
      </c>
      <c r="K75" s="3">
        <f>SUM('TOTAL VOLUME'!K75*'FedEx Rates'!K75)</f>
        <v>0</v>
      </c>
      <c r="L75" s="3">
        <f>SUM('TOTAL VOLUME'!L75*'FedEx Rates'!L75)</f>
        <v>0</v>
      </c>
      <c r="M75" s="3">
        <f>SUM('TOTAL VOLUME'!M75*'FedEx Rates'!M75)</f>
        <v>0</v>
      </c>
      <c r="N75" s="3">
        <f>SUM('TOTAL VOLUME'!N75*'FedEx Rates'!N75)</f>
        <v>0</v>
      </c>
      <c r="O75" s="3">
        <f>SUM('TOTAL VOLUME'!O75*'FedEx Rates'!O75)</f>
        <v>0</v>
      </c>
      <c r="P75" s="3">
        <f>SUM('TOTAL VOLUME'!P75*'FedEx Rates'!P75)</f>
        <v>98.640000000000015</v>
      </c>
      <c r="Q75" s="3">
        <f>SUM('TOTAL VOLUME'!Q75*'FedEx Rates'!Q75)</f>
        <v>40.200000000000003</v>
      </c>
      <c r="R75" s="3">
        <f>SUM('TOTAL VOLUME'!R75*'FedEx Rates'!R75)</f>
        <v>79.3</v>
      </c>
      <c r="S75" s="3">
        <f>SUM('TOTAL VOLUME'!S75*'FedEx Rates'!S75)</f>
        <v>383.2</v>
      </c>
      <c r="T75" s="3">
        <f>SUM('TOTAL VOLUME'!T75*'FedEx Rates'!T75)</f>
        <v>416.88</v>
      </c>
      <c r="U75" s="3">
        <f>SUM('TOTAL VOLUME'!U75*'FedEx Rates'!U75)</f>
        <v>133.05000000000001</v>
      </c>
      <c r="V75" s="3">
        <f>SUM('TOTAL VOLUME'!V75*'FedEx Rates'!V75)</f>
        <v>420.84</v>
      </c>
      <c r="W75" s="3">
        <f>SUM('TOTAL VOLUME'!W75*'FedEx Rates'!W75)</f>
        <v>110.16</v>
      </c>
      <c r="X75" s="3">
        <f>SUM('TOTAL VOLUME'!X75*'FedEx Rates'!X75)</f>
        <v>0</v>
      </c>
      <c r="Y75" s="3">
        <f>SUM('TOTAL VOLUME'!Y75*'FedEx Rates'!Y75)</f>
        <v>282.42</v>
      </c>
      <c r="Z75" s="3">
        <f>SUM('TOTAL VOLUME'!Z75*'FedEx Rates'!Z75)</f>
        <v>349.78999999999996</v>
      </c>
      <c r="AA75" s="3">
        <f>SUM('TOTAL VOLUME'!AA75*'FedEx Rates'!AA75)</f>
        <v>101.94</v>
      </c>
      <c r="AB75" s="3">
        <f>SUM('TOTAL VOLUME'!AB75*'FedEx Rates'!AB75)</f>
        <v>178.85999999999999</v>
      </c>
      <c r="AC75" s="3">
        <f>SUM('TOTAL VOLUME'!AC75*'FedEx Rates'!AC75)</f>
        <v>939.6</v>
      </c>
    </row>
    <row r="76" spans="1:29" x14ac:dyDescent="0.2">
      <c r="A76" s="2">
        <v>75</v>
      </c>
      <c r="B76" s="3">
        <f>SUM('TOTAL VOLUME'!B76*'FedEx Rates'!B76)</f>
        <v>23.59</v>
      </c>
      <c r="C76" s="3">
        <f>SUM('TOTAL VOLUME'!C76*'FedEx Rates'!C76)</f>
        <v>0</v>
      </c>
      <c r="D76" s="3">
        <f>SUM('TOTAL VOLUME'!D76*'FedEx Rates'!D76)</f>
        <v>0</v>
      </c>
      <c r="E76" s="3">
        <f>SUM('TOTAL VOLUME'!E76*'FedEx Rates'!E76)</f>
        <v>52.49</v>
      </c>
      <c r="F76" s="3">
        <f>SUM('TOTAL VOLUME'!F76*'FedEx Rates'!F76)</f>
        <v>0</v>
      </c>
      <c r="G76" s="3">
        <f>SUM('TOTAL VOLUME'!G76*'FedEx Rates'!G76)</f>
        <v>0</v>
      </c>
      <c r="H76" s="3">
        <f>SUM('TOTAL VOLUME'!H76*'FedEx Rates'!H76)</f>
        <v>176.2</v>
      </c>
      <c r="I76" s="3">
        <f>SUM('TOTAL VOLUME'!I76*'FedEx Rates'!I76)</f>
        <v>21.29</v>
      </c>
      <c r="J76" s="3">
        <f>SUM('TOTAL VOLUME'!J76*'FedEx Rates'!J76)</f>
        <v>0</v>
      </c>
      <c r="K76" s="3">
        <f>SUM('TOTAL VOLUME'!K76*'FedEx Rates'!K76)</f>
        <v>0</v>
      </c>
      <c r="L76" s="3">
        <f>SUM('TOTAL VOLUME'!L76*'FedEx Rates'!L76)</f>
        <v>0</v>
      </c>
      <c r="M76" s="3">
        <f>SUM('TOTAL VOLUME'!M76*'FedEx Rates'!M76)</f>
        <v>0</v>
      </c>
      <c r="N76" s="3">
        <f>SUM('TOTAL VOLUME'!N76*'FedEx Rates'!N76)</f>
        <v>0</v>
      </c>
      <c r="O76" s="3">
        <f>SUM('TOTAL VOLUME'!O76*'FedEx Rates'!O76)</f>
        <v>79.66</v>
      </c>
      <c r="P76" s="3">
        <f>SUM('TOTAL VOLUME'!P76*'FedEx Rates'!P76)</f>
        <v>170.39999999999998</v>
      </c>
      <c r="Q76" s="3">
        <f>SUM('TOTAL VOLUME'!Q76*'FedEx Rates'!Q76)</f>
        <v>53.6</v>
      </c>
      <c r="R76" s="3">
        <f>SUM('TOTAL VOLUME'!R76*'FedEx Rates'!R76)</f>
        <v>111.02</v>
      </c>
      <c r="S76" s="3">
        <f>SUM('TOTAL VOLUME'!S76*'FedEx Rates'!S76)</f>
        <v>173.79</v>
      </c>
      <c r="T76" s="3">
        <f>SUM('TOTAL VOLUME'!T76*'FedEx Rates'!T76)</f>
        <v>995.88</v>
      </c>
      <c r="U76" s="3">
        <f>SUM('TOTAL VOLUME'!U76*'FedEx Rates'!U76)</f>
        <v>698.88</v>
      </c>
      <c r="V76" s="3">
        <f>SUM('TOTAL VOLUME'!V76*'FedEx Rates'!V76)</f>
        <v>601.19999999999993</v>
      </c>
      <c r="W76" s="3">
        <f>SUM('TOTAL VOLUME'!W76*'FedEx Rates'!W76)</f>
        <v>147.68</v>
      </c>
      <c r="X76" s="3">
        <f>SUM('TOTAL VOLUME'!X76*'FedEx Rates'!X76)</f>
        <v>0</v>
      </c>
      <c r="Y76" s="3">
        <f>SUM('TOTAL VOLUME'!Y76*'FedEx Rates'!Y76)</f>
        <v>47.15</v>
      </c>
      <c r="Z76" s="3">
        <f>SUM('TOTAL VOLUME'!Z76*'FedEx Rates'!Z76)</f>
        <v>300.29999999999995</v>
      </c>
      <c r="AA76" s="3">
        <f>SUM('TOTAL VOLUME'!AA76*'FedEx Rates'!AA76)</f>
        <v>765.6</v>
      </c>
      <c r="AB76" s="3">
        <f>SUM('TOTAL VOLUME'!AB76*'FedEx Rates'!AB76)</f>
        <v>298.55</v>
      </c>
      <c r="AC76" s="3">
        <f>SUM('TOTAL VOLUME'!AC76*'FedEx Rates'!AC76)</f>
        <v>689.92</v>
      </c>
    </row>
    <row r="77" spans="1:29" x14ac:dyDescent="0.2">
      <c r="A77" s="2">
        <v>76</v>
      </c>
      <c r="B77" s="3">
        <f>SUM('TOTAL VOLUME'!B77*'FedEx Rates'!B77)</f>
        <v>0</v>
      </c>
      <c r="C77" s="3">
        <f>SUM('TOTAL VOLUME'!C77*'FedEx Rates'!C77)</f>
        <v>0</v>
      </c>
      <c r="D77" s="3">
        <f>SUM('TOTAL VOLUME'!D77*'FedEx Rates'!D77)</f>
        <v>0</v>
      </c>
      <c r="E77" s="3">
        <f>SUM('TOTAL VOLUME'!E77*'FedEx Rates'!E77)</f>
        <v>0</v>
      </c>
      <c r="F77" s="3">
        <f>SUM('TOTAL VOLUME'!F77*'FedEx Rates'!F77)</f>
        <v>0</v>
      </c>
      <c r="G77" s="3">
        <f>SUM('TOTAL VOLUME'!G77*'FedEx Rates'!G77)</f>
        <v>0</v>
      </c>
      <c r="H77" s="3">
        <f>SUM('TOTAL VOLUME'!H77*'FedEx Rates'!H77)</f>
        <v>89.48</v>
      </c>
      <c r="I77" s="3">
        <f>SUM('TOTAL VOLUME'!I77*'FedEx Rates'!I77)</f>
        <v>0</v>
      </c>
      <c r="J77" s="3">
        <f>SUM('TOTAL VOLUME'!J77*'FedEx Rates'!J77)</f>
        <v>0</v>
      </c>
      <c r="K77" s="3">
        <f>SUM('TOTAL VOLUME'!K77*'FedEx Rates'!K77)</f>
        <v>0</v>
      </c>
      <c r="L77" s="3">
        <f>SUM('TOTAL VOLUME'!L77*'FedEx Rates'!L77)</f>
        <v>44.2</v>
      </c>
      <c r="M77" s="3">
        <f>SUM('TOTAL VOLUME'!M77*'FedEx Rates'!M77)</f>
        <v>0</v>
      </c>
      <c r="N77" s="3">
        <f>SUM('TOTAL VOLUME'!N77*'FedEx Rates'!N77)</f>
        <v>0</v>
      </c>
      <c r="O77" s="3">
        <f>SUM('TOTAL VOLUME'!O77*'FedEx Rates'!O77)</f>
        <v>0</v>
      </c>
      <c r="P77" s="3">
        <f>SUM('TOTAL VOLUME'!P77*'FedEx Rates'!P77)</f>
        <v>122.4</v>
      </c>
      <c r="Q77" s="3">
        <f>SUM('TOTAL VOLUME'!Q77*'FedEx Rates'!Q77)</f>
        <v>56.6</v>
      </c>
      <c r="R77" s="3">
        <f>SUM('TOTAL VOLUME'!R77*'FedEx Rates'!R77)</f>
        <v>63.84</v>
      </c>
      <c r="S77" s="3">
        <f>SUM('TOTAL VOLUME'!S77*'FedEx Rates'!S77)</f>
        <v>137.26999999999998</v>
      </c>
      <c r="T77" s="3">
        <f>SUM('TOTAL VOLUME'!T77*'FedEx Rates'!T77)</f>
        <v>402.39000000000004</v>
      </c>
      <c r="U77" s="3">
        <f>SUM('TOTAL VOLUME'!U77*'FedEx Rates'!U77)</f>
        <v>191.24</v>
      </c>
      <c r="V77" s="3">
        <f>SUM('TOTAL VOLUME'!V77*'FedEx Rates'!V77)</f>
        <v>606.79999999999995</v>
      </c>
      <c r="W77" s="3">
        <f>SUM('TOTAL VOLUME'!W77*'FedEx Rates'!W77)</f>
        <v>38.799999999999997</v>
      </c>
      <c r="X77" s="3">
        <f>SUM('TOTAL VOLUME'!X77*'FedEx Rates'!X77)</f>
        <v>28.13</v>
      </c>
      <c r="Y77" s="3">
        <f>SUM('TOTAL VOLUME'!Y77*'FedEx Rates'!Y77)</f>
        <v>237</v>
      </c>
      <c r="Z77" s="3">
        <f>SUM('TOTAL VOLUME'!Z77*'FedEx Rates'!Z77)</f>
        <v>201.88</v>
      </c>
      <c r="AA77" s="3">
        <f>SUM('TOTAL VOLUME'!AA77*'FedEx Rates'!AA77)</f>
        <v>0</v>
      </c>
      <c r="AB77" s="3">
        <f>SUM('TOTAL VOLUME'!AB77*'FedEx Rates'!AB77)</f>
        <v>122.56</v>
      </c>
      <c r="AC77" s="3">
        <f>SUM('TOTAL VOLUME'!AC77*'FedEx Rates'!AC77)</f>
        <v>753.59999999999991</v>
      </c>
    </row>
    <row r="78" spans="1:29" x14ac:dyDescent="0.2">
      <c r="A78" s="2">
        <v>77</v>
      </c>
      <c r="B78" s="3">
        <f>SUM('TOTAL VOLUME'!B78*'FedEx Rates'!B78)</f>
        <v>0</v>
      </c>
      <c r="C78" s="3">
        <f>SUM('TOTAL VOLUME'!C78*'FedEx Rates'!C78)</f>
        <v>0</v>
      </c>
      <c r="D78" s="3">
        <f>SUM('TOTAL VOLUME'!D78*'FedEx Rates'!D78)</f>
        <v>0</v>
      </c>
      <c r="E78" s="3">
        <f>SUM('TOTAL VOLUME'!E78*'FedEx Rates'!E78)</f>
        <v>0</v>
      </c>
      <c r="F78" s="3">
        <f>SUM('TOTAL VOLUME'!F78*'FedEx Rates'!F78)</f>
        <v>0</v>
      </c>
      <c r="G78" s="3">
        <f>SUM('TOTAL VOLUME'!G78*'FedEx Rates'!G78)</f>
        <v>0</v>
      </c>
      <c r="H78" s="3">
        <f>SUM('TOTAL VOLUME'!H78*'FedEx Rates'!H78)</f>
        <v>0</v>
      </c>
      <c r="I78" s="3">
        <f>SUM('TOTAL VOLUME'!I78*'FedEx Rates'!I78)</f>
        <v>0</v>
      </c>
      <c r="J78" s="3">
        <f>SUM('TOTAL VOLUME'!J78*'FedEx Rates'!J78)</f>
        <v>0</v>
      </c>
      <c r="K78" s="3">
        <f>SUM('TOTAL VOLUME'!K78*'FedEx Rates'!K78)</f>
        <v>0</v>
      </c>
      <c r="L78" s="3">
        <f>SUM('TOTAL VOLUME'!L78*'FedEx Rates'!L78)</f>
        <v>0</v>
      </c>
      <c r="M78" s="3">
        <f>SUM('TOTAL VOLUME'!M78*'FedEx Rates'!M78)</f>
        <v>0</v>
      </c>
      <c r="N78" s="3">
        <f>SUM('TOTAL VOLUME'!N78*'FedEx Rates'!N78)</f>
        <v>0</v>
      </c>
      <c r="O78" s="3">
        <f>SUM('TOTAL VOLUME'!O78*'FedEx Rates'!O78)</f>
        <v>0</v>
      </c>
      <c r="P78" s="3">
        <f>SUM('TOTAL VOLUME'!P78*'FedEx Rates'!P78)</f>
        <v>0</v>
      </c>
      <c r="Q78" s="3">
        <f>SUM('TOTAL VOLUME'!Q78*'FedEx Rates'!Q78)</f>
        <v>0</v>
      </c>
      <c r="R78" s="3">
        <f>SUM('TOTAL VOLUME'!R78*'FedEx Rates'!R78)</f>
        <v>0</v>
      </c>
      <c r="S78" s="3">
        <f>SUM('TOTAL VOLUME'!S78*'FedEx Rates'!S78)</f>
        <v>0</v>
      </c>
      <c r="T78" s="3">
        <f>SUM('TOTAL VOLUME'!T78*'FedEx Rates'!T78)</f>
        <v>0</v>
      </c>
      <c r="U78" s="3">
        <f>SUM('TOTAL VOLUME'!U78*'FedEx Rates'!U78)</f>
        <v>0</v>
      </c>
      <c r="V78" s="3">
        <f>SUM('TOTAL VOLUME'!V78*'FedEx Rates'!V78)</f>
        <v>0</v>
      </c>
      <c r="W78" s="3">
        <f>SUM('TOTAL VOLUME'!W78*'FedEx Rates'!W78)</f>
        <v>0</v>
      </c>
      <c r="X78" s="3">
        <f>SUM('TOTAL VOLUME'!X78*'FedEx Rates'!X78)</f>
        <v>0</v>
      </c>
      <c r="Y78" s="3">
        <f>SUM('TOTAL VOLUME'!Y78*'FedEx Rates'!Y78)</f>
        <v>0</v>
      </c>
      <c r="Z78" s="3">
        <f>SUM('TOTAL VOLUME'!Z78*'FedEx Rates'!Z78)</f>
        <v>0</v>
      </c>
      <c r="AA78" s="3">
        <f>SUM('TOTAL VOLUME'!AA78*'FedEx Rates'!AA78)</f>
        <v>0</v>
      </c>
      <c r="AB78" s="3">
        <f>SUM('TOTAL VOLUME'!AB78*'FedEx Rates'!AB78)</f>
        <v>0</v>
      </c>
      <c r="AC78" s="3">
        <f>SUM('TOTAL VOLUME'!AC78*'FedEx Rates'!AC78)</f>
        <v>0</v>
      </c>
    </row>
    <row r="79" spans="1:29" x14ac:dyDescent="0.2">
      <c r="A79" s="2">
        <v>78</v>
      </c>
      <c r="B79" s="3">
        <f>SUM('TOTAL VOLUME'!B79*'FedEx Rates'!B79)</f>
        <v>0</v>
      </c>
      <c r="C79" s="3">
        <f>SUM('TOTAL VOLUME'!C79*'FedEx Rates'!C79)</f>
        <v>0</v>
      </c>
      <c r="D79" s="3">
        <f>SUM('TOTAL VOLUME'!D79*'FedEx Rates'!D79)</f>
        <v>0</v>
      </c>
      <c r="E79" s="3">
        <f>SUM('TOTAL VOLUME'!E79*'FedEx Rates'!E79)</f>
        <v>0</v>
      </c>
      <c r="F79" s="3">
        <f>SUM('TOTAL VOLUME'!F79*'FedEx Rates'!F79)</f>
        <v>0</v>
      </c>
      <c r="G79" s="3">
        <f>SUM('TOTAL VOLUME'!G79*'FedEx Rates'!G79)</f>
        <v>0</v>
      </c>
      <c r="H79" s="3">
        <f>SUM('TOTAL VOLUME'!H79*'FedEx Rates'!H79)</f>
        <v>197.6</v>
      </c>
      <c r="I79" s="3">
        <f>SUM('TOTAL VOLUME'!I79*'FedEx Rates'!I79)</f>
        <v>0</v>
      </c>
      <c r="J79" s="3">
        <f>SUM('TOTAL VOLUME'!J79*'FedEx Rates'!J79)</f>
        <v>0</v>
      </c>
      <c r="K79" s="3">
        <f>SUM('TOTAL VOLUME'!K79*'FedEx Rates'!K79)</f>
        <v>0</v>
      </c>
      <c r="L79" s="3">
        <f>SUM('TOTAL VOLUME'!L79*'FedEx Rates'!L79)</f>
        <v>0</v>
      </c>
      <c r="M79" s="3">
        <f>SUM('TOTAL VOLUME'!M79*'FedEx Rates'!M79)</f>
        <v>0</v>
      </c>
      <c r="N79" s="3">
        <f>SUM('TOTAL VOLUME'!N79*'FedEx Rates'!N79)</f>
        <v>0</v>
      </c>
      <c r="O79" s="3">
        <f>SUM('TOTAL VOLUME'!O79*'FedEx Rates'!O79)</f>
        <v>0</v>
      </c>
      <c r="P79" s="3">
        <f>SUM('TOTAL VOLUME'!P79*'FedEx Rates'!P79)</f>
        <v>50.92</v>
      </c>
      <c r="Q79" s="3">
        <f>SUM('TOTAL VOLUME'!Q79*'FedEx Rates'!Q79)</f>
        <v>29.8</v>
      </c>
      <c r="R79" s="3">
        <f>SUM('TOTAL VOLUME'!R79*'FedEx Rates'!R79)</f>
        <v>83.100000000000009</v>
      </c>
      <c r="S79" s="3">
        <f>SUM('TOTAL VOLUME'!S79*'FedEx Rates'!S79)</f>
        <v>179.19</v>
      </c>
      <c r="T79" s="3">
        <f>SUM('TOTAL VOLUME'!T79*'FedEx Rates'!T79)</f>
        <v>119.80000000000001</v>
      </c>
      <c r="U79" s="3">
        <f>SUM('TOTAL VOLUME'!U79*'FedEx Rates'!U79)</f>
        <v>56.62</v>
      </c>
      <c r="V79" s="3">
        <f>SUM('TOTAL VOLUME'!V79*'FedEx Rates'!V79)</f>
        <v>333.85</v>
      </c>
      <c r="W79" s="3">
        <f>SUM('TOTAL VOLUME'!W79*'FedEx Rates'!W79)</f>
        <v>97.95</v>
      </c>
      <c r="X79" s="3">
        <f>SUM('TOTAL VOLUME'!X79*'FedEx Rates'!X79)</f>
        <v>0</v>
      </c>
      <c r="Y79" s="3">
        <f>SUM('TOTAL VOLUME'!Y79*'FedEx Rates'!Y79)</f>
        <v>49.35</v>
      </c>
      <c r="Z79" s="3">
        <f>SUM('TOTAL VOLUME'!Z79*'FedEx Rates'!Z79)</f>
        <v>266.55</v>
      </c>
      <c r="AA79" s="3">
        <f>SUM('TOTAL VOLUME'!AA79*'FedEx Rates'!AA79)</f>
        <v>164.88</v>
      </c>
      <c r="AB79" s="3">
        <f>SUM('TOTAL VOLUME'!AB79*'FedEx Rates'!AB79)</f>
        <v>0</v>
      </c>
      <c r="AC79" s="3">
        <f>SUM('TOTAL VOLUME'!AC79*'FedEx Rates'!AC79)</f>
        <v>377.76</v>
      </c>
    </row>
    <row r="80" spans="1:29" x14ac:dyDescent="0.2">
      <c r="A80" s="2">
        <v>79</v>
      </c>
      <c r="B80" s="3">
        <f>SUM('TOTAL VOLUME'!B80*'FedEx Rates'!B80)</f>
        <v>0</v>
      </c>
      <c r="C80" s="3">
        <f>SUM('TOTAL VOLUME'!C80*'FedEx Rates'!C80)</f>
        <v>0</v>
      </c>
      <c r="D80" s="3">
        <f>SUM('TOTAL VOLUME'!D80*'FedEx Rates'!D80)</f>
        <v>0</v>
      </c>
      <c r="E80" s="3">
        <f>SUM('TOTAL VOLUME'!E80*'FedEx Rates'!E80)</f>
        <v>0</v>
      </c>
      <c r="F80" s="3">
        <f>SUM('TOTAL VOLUME'!F80*'FedEx Rates'!F80)</f>
        <v>89.38</v>
      </c>
      <c r="G80" s="3">
        <f>SUM('TOTAL VOLUME'!G80*'FedEx Rates'!G80)</f>
        <v>0</v>
      </c>
      <c r="H80" s="3">
        <f>SUM('TOTAL VOLUME'!H80*'FedEx Rates'!H80)</f>
        <v>99.46</v>
      </c>
      <c r="I80" s="3">
        <f>SUM('TOTAL VOLUME'!I80*'FedEx Rates'!I80)</f>
        <v>0</v>
      </c>
      <c r="J80" s="3">
        <f>SUM('TOTAL VOLUME'!J80*'FedEx Rates'!J80)</f>
        <v>0</v>
      </c>
      <c r="K80" s="3">
        <f>SUM('TOTAL VOLUME'!K80*'FedEx Rates'!K80)</f>
        <v>0</v>
      </c>
      <c r="L80" s="3">
        <f>SUM('TOTAL VOLUME'!L80*'FedEx Rates'!L80)</f>
        <v>0</v>
      </c>
      <c r="M80" s="3">
        <f>SUM('TOTAL VOLUME'!M80*'FedEx Rates'!M80)</f>
        <v>0</v>
      </c>
      <c r="N80" s="3">
        <f>SUM('TOTAL VOLUME'!N80*'FedEx Rates'!N80)</f>
        <v>0</v>
      </c>
      <c r="O80" s="3">
        <f>SUM('TOTAL VOLUME'!O80*'FedEx Rates'!O80)</f>
        <v>0</v>
      </c>
      <c r="P80" s="3">
        <f>SUM('TOTAL VOLUME'!P80*'FedEx Rates'!P80)</f>
        <v>66.5</v>
      </c>
      <c r="Q80" s="3">
        <f>SUM('TOTAL VOLUME'!Q80*'FedEx Rates'!Q80)</f>
        <v>0</v>
      </c>
      <c r="R80" s="3">
        <f>SUM('TOTAL VOLUME'!R80*'FedEx Rates'!R80)</f>
        <v>102.18</v>
      </c>
      <c r="S80" s="3">
        <f>SUM('TOTAL VOLUME'!S80*'FedEx Rates'!S80)</f>
        <v>161.76</v>
      </c>
      <c r="T80" s="3">
        <f>SUM('TOTAL VOLUME'!T80*'FedEx Rates'!T80)</f>
        <v>317.98</v>
      </c>
      <c r="U80" s="3">
        <f>SUM('TOTAL VOLUME'!U80*'FedEx Rates'!U80)</f>
        <v>115</v>
      </c>
      <c r="V80" s="3">
        <f>SUM('TOTAL VOLUME'!V80*'FedEx Rates'!V80)</f>
        <v>400.92</v>
      </c>
      <c r="W80" s="3">
        <f>SUM('TOTAL VOLUME'!W80*'FedEx Rates'!W80)</f>
        <v>177.03000000000003</v>
      </c>
      <c r="X80" s="3">
        <f>SUM('TOTAL VOLUME'!X80*'FedEx Rates'!X80)</f>
        <v>29.25</v>
      </c>
      <c r="Y80" s="3">
        <f>SUM('TOTAL VOLUME'!Y80*'FedEx Rates'!Y80)</f>
        <v>99.06</v>
      </c>
      <c r="Z80" s="3">
        <f>SUM('TOTAL VOLUME'!Z80*'FedEx Rates'!Z80)</f>
        <v>0</v>
      </c>
      <c r="AA80" s="3">
        <f>SUM('TOTAL VOLUME'!AA80*'FedEx Rates'!AA80)</f>
        <v>334.68</v>
      </c>
      <c r="AB80" s="3">
        <f>SUM('TOTAL VOLUME'!AB80*'FedEx Rates'!AB80)</f>
        <v>187.71</v>
      </c>
      <c r="AC80" s="3">
        <f>SUM('TOTAL VOLUME'!AC80*'FedEx Rates'!AC80)</f>
        <v>829.79</v>
      </c>
    </row>
    <row r="81" spans="1:29" x14ac:dyDescent="0.2">
      <c r="A81" s="2">
        <v>80</v>
      </c>
      <c r="B81" s="3">
        <f>SUM('TOTAL VOLUME'!B81*'FedEx Rates'!B81)</f>
        <v>0</v>
      </c>
      <c r="C81" s="3">
        <f>SUM('TOTAL VOLUME'!C81*'FedEx Rates'!C81)</f>
        <v>0</v>
      </c>
      <c r="D81" s="3">
        <f>SUM('TOTAL VOLUME'!D81*'FedEx Rates'!D81)</f>
        <v>35.909999999999997</v>
      </c>
      <c r="E81" s="3">
        <f>SUM('TOTAL VOLUME'!E81*'FedEx Rates'!E81)</f>
        <v>0</v>
      </c>
      <c r="F81" s="3">
        <f>SUM('TOTAL VOLUME'!F81*'FedEx Rates'!F81)</f>
        <v>94.24</v>
      </c>
      <c r="G81" s="3">
        <f>SUM('TOTAL VOLUME'!G81*'FedEx Rates'!G81)</f>
        <v>0</v>
      </c>
      <c r="H81" s="3">
        <f>SUM('TOTAL VOLUME'!H81*'FedEx Rates'!H81)</f>
        <v>0</v>
      </c>
      <c r="I81" s="3">
        <f>SUM('TOTAL VOLUME'!I81*'FedEx Rates'!I81)</f>
        <v>0</v>
      </c>
      <c r="J81" s="3">
        <f>SUM('TOTAL VOLUME'!J81*'FedEx Rates'!J81)</f>
        <v>0</v>
      </c>
      <c r="K81" s="3">
        <f>SUM('TOTAL VOLUME'!K81*'FedEx Rates'!K81)</f>
        <v>0</v>
      </c>
      <c r="L81" s="3">
        <f>SUM('TOTAL VOLUME'!L81*'FedEx Rates'!L81)</f>
        <v>0</v>
      </c>
      <c r="M81" s="3">
        <f>SUM('TOTAL VOLUME'!M81*'FedEx Rates'!M81)</f>
        <v>0</v>
      </c>
      <c r="N81" s="3">
        <f>SUM('TOTAL VOLUME'!N81*'FedEx Rates'!N81)</f>
        <v>0</v>
      </c>
      <c r="O81" s="3">
        <f>SUM('TOTAL VOLUME'!O81*'FedEx Rates'!O81)</f>
        <v>85.73</v>
      </c>
      <c r="P81" s="3">
        <f>SUM('TOTAL VOLUME'!P81*'FedEx Rates'!P81)</f>
        <v>546.79999999999995</v>
      </c>
      <c r="Q81" s="3">
        <f>SUM('TOTAL VOLUME'!Q81*'FedEx Rates'!Q81)</f>
        <v>94.86</v>
      </c>
      <c r="R81" s="3">
        <f>SUM('TOTAL VOLUME'!R81*'FedEx Rates'!R81)</f>
        <v>85.55</v>
      </c>
      <c r="S81" s="3">
        <f>SUM('TOTAL VOLUME'!S81*'FedEx Rates'!S81)</f>
        <v>186.29999999999998</v>
      </c>
      <c r="T81" s="3">
        <f>SUM('TOTAL VOLUME'!T81*'FedEx Rates'!T81)</f>
        <v>447.66</v>
      </c>
      <c r="U81" s="3">
        <f>SUM('TOTAL VOLUME'!U81*'FedEx Rates'!U81)</f>
        <v>174.84</v>
      </c>
      <c r="V81" s="3">
        <f>SUM('TOTAL VOLUME'!V81*'FedEx Rates'!V81)</f>
        <v>621.59999999999991</v>
      </c>
      <c r="W81" s="3">
        <f>SUM('TOTAL VOLUME'!W81*'FedEx Rates'!W81)</f>
        <v>0</v>
      </c>
      <c r="X81" s="3">
        <f>SUM('TOTAL VOLUME'!X81*'FedEx Rates'!X81)</f>
        <v>0</v>
      </c>
      <c r="Y81" s="3">
        <f>SUM('TOTAL VOLUME'!Y81*'FedEx Rates'!Y81)</f>
        <v>0</v>
      </c>
      <c r="Z81" s="3">
        <f>SUM('TOTAL VOLUME'!Z81*'FedEx Rates'!Z81)</f>
        <v>54.27</v>
      </c>
      <c r="AA81" s="3">
        <f>SUM('TOTAL VOLUME'!AA81*'FedEx Rates'!AA81)</f>
        <v>55.94</v>
      </c>
      <c r="AB81" s="3">
        <f>SUM('TOTAL VOLUME'!AB81*'FedEx Rates'!AB81)</f>
        <v>0</v>
      </c>
      <c r="AC81" s="3">
        <f>SUM('TOTAL VOLUME'!AC81*'FedEx Rates'!AC81)</f>
        <v>128.18</v>
      </c>
    </row>
    <row r="82" spans="1:29" x14ac:dyDescent="0.2">
      <c r="A82" s="2">
        <v>81</v>
      </c>
      <c r="B82" s="3">
        <f>SUM('TOTAL VOLUME'!B82*'FedEx Rates'!B82)</f>
        <v>25.6</v>
      </c>
      <c r="C82" s="3">
        <f>SUM('TOTAL VOLUME'!C82*'FedEx Rates'!C82)</f>
        <v>0</v>
      </c>
      <c r="D82" s="3">
        <f>SUM('TOTAL VOLUME'!D82*'FedEx Rates'!D82)</f>
        <v>0</v>
      </c>
      <c r="E82" s="3">
        <f>SUM('TOTAL VOLUME'!E82*'FedEx Rates'!E82)</f>
        <v>112.42</v>
      </c>
      <c r="F82" s="3">
        <f>SUM('TOTAL VOLUME'!F82*'FedEx Rates'!F82)</f>
        <v>0</v>
      </c>
      <c r="G82" s="3">
        <f>SUM('TOTAL VOLUME'!G82*'FedEx Rates'!G82)</f>
        <v>0</v>
      </c>
      <c r="H82" s="3">
        <f>SUM('TOTAL VOLUME'!H82*'FedEx Rates'!H82)</f>
        <v>0</v>
      </c>
      <c r="I82" s="3">
        <f>SUM('TOTAL VOLUME'!I82*'FedEx Rates'!I82)</f>
        <v>0</v>
      </c>
      <c r="J82" s="3">
        <f>SUM('TOTAL VOLUME'!J82*'FedEx Rates'!J82)</f>
        <v>0</v>
      </c>
      <c r="K82" s="3">
        <f>SUM('TOTAL VOLUME'!K82*'FedEx Rates'!K82)</f>
        <v>0</v>
      </c>
      <c r="L82" s="3">
        <f>SUM('TOTAL VOLUME'!L82*'FedEx Rates'!L82)</f>
        <v>0</v>
      </c>
      <c r="M82" s="3">
        <f>SUM('TOTAL VOLUME'!M82*'FedEx Rates'!M82)</f>
        <v>0</v>
      </c>
      <c r="N82" s="3">
        <f>SUM('TOTAL VOLUME'!N82*'FedEx Rates'!N82)</f>
        <v>0</v>
      </c>
      <c r="O82" s="3">
        <f>SUM('TOTAL VOLUME'!O82*'FedEx Rates'!O82)</f>
        <v>0</v>
      </c>
      <c r="P82" s="3">
        <f>SUM('TOTAL VOLUME'!P82*'FedEx Rates'!P82)</f>
        <v>70</v>
      </c>
      <c r="Q82" s="3">
        <f>SUM('TOTAL VOLUME'!Q82*'FedEx Rates'!Q82)</f>
        <v>31.88</v>
      </c>
      <c r="R82" s="3">
        <f>SUM('TOTAL VOLUME'!R82*'FedEx Rates'!R82)</f>
        <v>87.6</v>
      </c>
      <c r="S82" s="3">
        <f>SUM('TOTAL VOLUME'!S82*'FedEx Rates'!S82)</f>
        <v>125.03999999999999</v>
      </c>
      <c r="T82" s="3">
        <f>SUM('TOTAL VOLUME'!T82*'FedEx Rates'!T82)</f>
        <v>629.75</v>
      </c>
      <c r="U82" s="3">
        <f>SUM('TOTAL VOLUME'!U82*'FedEx Rates'!U82)</f>
        <v>58.64</v>
      </c>
      <c r="V82" s="3">
        <f>SUM('TOTAL VOLUME'!V82*'FedEx Rates'!V82)</f>
        <v>311.90000000000003</v>
      </c>
      <c r="W82" s="3">
        <f>SUM('TOTAL VOLUME'!W82*'FedEx Rates'!W82)</f>
        <v>20.440000000000001</v>
      </c>
      <c r="X82" s="3">
        <f>SUM('TOTAL VOLUME'!X82*'FedEx Rates'!X82)</f>
        <v>58.84</v>
      </c>
      <c r="Y82" s="3">
        <f>SUM('TOTAL VOLUME'!Y82*'FedEx Rates'!Y82)</f>
        <v>0</v>
      </c>
      <c r="Z82" s="3">
        <f>SUM('TOTAL VOLUME'!Z82*'FedEx Rates'!Z82)</f>
        <v>0</v>
      </c>
      <c r="AA82" s="3">
        <f>SUM('TOTAL VOLUME'!AA82*'FedEx Rates'!AA82)</f>
        <v>353.4</v>
      </c>
      <c r="AB82" s="3">
        <f>SUM('TOTAL VOLUME'!AB82*'FedEx Rates'!AB82)</f>
        <v>64.41</v>
      </c>
      <c r="AC82" s="3">
        <f>SUM('TOTAL VOLUME'!AC82*'FedEx Rates'!AC82)</f>
        <v>131.4</v>
      </c>
    </row>
    <row r="83" spans="1:29" x14ac:dyDescent="0.2">
      <c r="A83" s="2">
        <v>82</v>
      </c>
      <c r="B83" s="3">
        <f>SUM('TOTAL VOLUME'!B83*'FedEx Rates'!B83)</f>
        <v>0</v>
      </c>
      <c r="C83" s="3">
        <f>SUM('TOTAL VOLUME'!C83*'FedEx Rates'!C83)</f>
        <v>0</v>
      </c>
      <c r="D83" s="3">
        <f>SUM('TOTAL VOLUME'!D83*'FedEx Rates'!D83)</f>
        <v>0</v>
      </c>
      <c r="E83" s="3">
        <f>SUM('TOTAL VOLUME'!E83*'FedEx Rates'!E83)</f>
        <v>56.39</v>
      </c>
      <c r="F83" s="3">
        <f>SUM('TOTAL VOLUME'!F83*'FedEx Rates'!F83)</f>
        <v>0</v>
      </c>
      <c r="G83" s="3">
        <f>SUM('TOTAL VOLUME'!G83*'FedEx Rates'!G83)</f>
        <v>0</v>
      </c>
      <c r="H83" s="3">
        <f>SUM('TOTAL VOLUME'!H83*'FedEx Rates'!H83)</f>
        <v>0</v>
      </c>
      <c r="I83" s="3">
        <f>SUM('TOTAL VOLUME'!I83*'FedEx Rates'!I83)</f>
        <v>0</v>
      </c>
      <c r="J83" s="3">
        <f>SUM('TOTAL VOLUME'!J83*'FedEx Rates'!J83)</f>
        <v>0</v>
      </c>
      <c r="K83" s="3">
        <f>SUM('TOTAL VOLUME'!K83*'FedEx Rates'!K83)</f>
        <v>0</v>
      </c>
      <c r="L83" s="3">
        <f>SUM('TOTAL VOLUME'!L83*'FedEx Rates'!L83)</f>
        <v>0</v>
      </c>
      <c r="M83" s="3">
        <f>SUM('TOTAL VOLUME'!M83*'FedEx Rates'!M83)</f>
        <v>0</v>
      </c>
      <c r="N83" s="3">
        <f>SUM('TOTAL VOLUME'!N83*'FedEx Rates'!N83)</f>
        <v>0</v>
      </c>
      <c r="O83" s="3">
        <f>SUM('TOTAL VOLUME'!O83*'FedEx Rates'!O83)</f>
        <v>0</v>
      </c>
      <c r="P83" s="3">
        <f>SUM('TOTAL VOLUME'!P83*'FedEx Rates'!P83)</f>
        <v>86.699999999999989</v>
      </c>
      <c r="Q83" s="3">
        <f>SUM('TOTAL VOLUME'!Q83*'FedEx Rates'!Q83)</f>
        <v>0</v>
      </c>
      <c r="R83" s="3">
        <f>SUM('TOTAL VOLUME'!R83*'FedEx Rates'!R83)</f>
        <v>54.96</v>
      </c>
      <c r="S83" s="3">
        <f>SUM('TOTAL VOLUME'!S83*'FedEx Rates'!S83)</f>
        <v>42.74</v>
      </c>
      <c r="T83" s="3">
        <f>SUM('TOTAL VOLUME'!T83*'FedEx Rates'!T83)</f>
        <v>126.25</v>
      </c>
      <c r="U83" s="3">
        <f>SUM('TOTAL VOLUME'!U83*'FedEx Rates'!U83)</f>
        <v>30.08</v>
      </c>
      <c r="V83" s="3">
        <f>SUM('TOTAL VOLUME'!V83*'FedEx Rates'!V83)</f>
        <v>249.52</v>
      </c>
      <c r="W83" s="3">
        <f>SUM('TOTAL VOLUME'!W83*'FedEx Rates'!W83)</f>
        <v>0</v>
      </c>
      <c r="X83" s="3">
        <f>SUM('TOTAL VOLUME'!X83*'FedEx Rates'!X83)</f>
        <v>0</v>
      </c>
      <c r="Y83" s="3">
        <f>SUM('TOTAL VOLUME'!Y83*'FedEx Rates'!Y83)</f>
        <v>0</v>
      </c>
      <c r="Z83" s="3">
        <f>SUM('TOTAL VOLUME'!Z83*'FedEx Rates'!Z83)</f>
        <v>0</v>
      </c>
      <c r="AA83" s="3">
        <f>SUM('TOTAL VOLUME'!AA83*'FedEx Rates'!AA83)</f>
        <v>0</v>
      </c>
      <c r="AB83" s="3">
        <f>SUM('TOTAL VOLUME'!AB83*'FedEx Rates'!AB83)</f>
        <v>0</v>
      </c>
      <c r="AC83" s="3">
        <f>SUM('TOTAL VOLUME'!AC83*'FedEx Rates'!AC83)</f>
        <v>65.86</v>
      </c>
    </row>
    <row r="84" spans="1:29" x14ac:dyDescent="0.2">
      <c r="A84" s="2">
        <v>83</v>
      </c>
      <c r="B84" s="3">
        <f>SUM('TOTAL VOLUME'!B84*'FedEx Rates'!B84)</f>
        <v>0</v>
      </c>
      <c r="C84" s="3">
        <f>SUM('TOTAL VOLUME'!C84*'FedEx Rates'!C84)</f>
        <v>0</v>
      </c>
      <c r="D84" s="3">
        <f>SUM('TOTAL VOLUME'!D84*'FedEx Rates'!D84)</f>
        <v>0</v>
      </c>
      <c r="E84" s="3">
        <f>SUM('TOTAL VOLUME'!E84*'FedEx Rates'!E84)</f>
        <v>0</v>
      </c>
      <c r="F84" s="3">
        <f>SUM('TOTAL VOLUME'!F84*'FedEx Rates'!F84)</f>
        <v>96.4</v>
      </c>
      <c r="G84" s="3">
        <f>SUM('TOTAL VOLUME'!G84*'FedEx Rates'!G84)</f>
        <v>0</v>
      </c>
      <c r="H84" s="3">
        <f>SUM('TOTAL VOLUME'!H84*'FedEx Rates'!H84)</f>
        <v>100.66</v>
      </c>
      <c r="I84" s="3">
        <f>SUM('TOTAL VOLUME'!I84*'FedEx Rates'!I84)</f>
        <v>0</v>
      </c>
      <c r="J84" s="3">
        <f>SUM('TOTAL VOLUME'!J84*'FedEx Rates'!J84)</f>
        <v>0</v>
      </c>
      <c r="K84" s="3">
        <f>SUM('TOTAL VOLUME'!K84*'FedEx Rates'!K84)</f>
        <v>0</v>
      </c>
      <c r="L84" s="3">
        <f>SUM('TOTAL VOLUME'!L84*'FedEx Rates'!L84)</f>
        <v>0</v>
      </c>
      <c r="M84" s="3">
        <f>SUM('TOTAL VOLUME'!M84*'FedEx Rates'!M84)</f>
        <v>0</v>
      </c>
      <c r="N84" s="3">
        <f>SUM('TOTAL VOLUME'!N84*'FedEx Rates'!N84)</f>
        <v>0</v>
      </c>
      <c r="O84" s="3">
        <f>SUM('TOTAL VOLUME'!O84*'FedEx Rates'!O84)</f>
        <v>0</v>
      </c>
      <c r="P84" s="3">
        <f>SUM('TOTAL VOLUME'!P84*'FedEx Rates'!P84)</f>
        <v>86.76</v>
      </c>
      <c r="Q84" s="3">
        <f>SUM('TOTAL VOLUME'!Q84*'FedEx Rates'!Q84)</f>
        <v>48.989999999999995</v>
      </c>
      <c r="R84" s="3">
        <f>SUM('TOTAL VOLUME'!R84*'FedEx Rates'!R84)</f>
        <v>91.6</v>
      </c>
      <c r="S84" s="3">
        <f>SUM('TOTAL VOLUME'!S84*'FedEx Rates'!S84)</f>
        <v>149.66</v>
      </c>
      <c r="T84" s="3">
        <f>SUM('TOTAL VOLUME'!T84*'FedEx Rates'!T84)</f>
        <v>126.64999999999999</v>
      </c>
      <c r="U84" s="3">
        <f>SUM('TOTAL VOLUME'!U84*'FedEx Rates'!U84)</f>
        <v>0</v>
      </c>
      <c r="V84" s="3">
        <f>SUM('TOTAL VOLUME'!V84*'FedEx Rates'!V84)</f>
        <v>343.09000000000003</v>
      </c>
      <c r="W84" s="3">
        <f>SUM('TOTAL VOLUME'!W84*'FedEx Rates'!W84)</f>
        <v>0</v>
      </c>
      <c r="X84" s="3">
        <f>SUM('TOTAL VOLUME'!X84*'FedEx Rates'!X84)</f>
        <v>0</v>
      </c>
      <c r="Y84" s="3">
        <f>SUM('TOTAL VOLUME'!Y84*'FedEx Rates'!Y84)</f>
        <v>0</v>
      </c>
      <c r="Z84" s="3">
        <f>SUM('TOTAL VOLUME'!Z84*'FedEx Rates'!Z84)</f>
        <v>58.02</v>
      </c>
      <c r="AA84" s="3">
        <f>SUM('TOTAL VOLUME'!AA84*'FedEx Rates'!AA84)</f>
        <v>59.28</v>
      </c>
      <c r="AB84" s="3">
        <f>SUM('TOTAL VOLUME'!AB84*'FedEx Rates'!AB84)</f>
        <v>129.32</v>
      </c>
      <c r="AC84" s="3">
        <f>SUM('TOTAL VOLUME'!AC84*'FedEx Rates'!AC84)</f>
        <v>197.85000000000002</v>
      </c>
    </row>
    <row r="85" spans="1:29" x14ac:dyDescent="0.2">
      <c r="A85" s="2">
        <v>84</v>
      </c>
      <c r="B85" s="3">
        <f>SUM('TOTAL VOLUME'!B85*'FedEx Rates'!B85)</f>
        <v>26.36</v>
      </c>
      <c r="C85" s="3">
        <f>SUM('TOTAL VOLUME'!C85*'FedEx Rates'!C85)</f>
        <v>0</v>
      </c>
      <c r="D85" s="3">
        <f>SUM('TOTAL VOLUME'!D85*'FedEx Rates'!D85)</f>
        <v>0</v>
      </c>
      <c r="E85" s="3">
        <f>SUM('TOTAL VOLUME'!E85*'FedEx Rates'!E85)</f>
        <v>0</v>
      </c>
      <c r="F85" s="3">
        <f>SUM('TOTAL VOLUME'!F85*'FedEx Rates'!F85)</f>
        <v>0</v>
      </c>
      <c r="G85" s="3">
        <f>SUM('TOTAL VOLUME'!G85*'FedEx Rates'!G85)</f>
        <v>0</v>
      </c>
      <c r="H85" s="3">
        <f>SUM('TOTAL VOLUME'!H85*'FedEx Rates'!H85)</f>
        <v>102.37</v>
      </c>
      <c r="I85" s="3">
        <f>SUM('TOTAL VOLUME'!I85*'FedEx Rates'!I85)</f>
        <v>0</v>
      </c>
      <c r="J85" s="3">
        <f>SUM('TOTAL VOLUME'!J85*'FedEx Rates'!J85)</f>
        <v>0</v>
      </c>
      <c r="K85" s="3">
        <f>SUM('TOTAL VOLUME'!K85*'FedEx Rates'!K85)</f>
        <v>0</v>
      </c>
      <c r="L85" s="3">
        <f>SUM('TOTAL VOLUME'!L85*'FedEx Rates'!L85)</f>
        <v>0</v>
      </c>
      <c r="M85" s="3">
        <f>SUM('TOTAL VOLUME'!M85*'FedEx Rates'!M85)</f>
        <v>0</v>
      </c>
      <c r="N85" s="3">
        <f>SUM('TOTAL VOLUME'!N85*'FedEx Rates'!N85)</f>
        <v>0</v>
      </c>
      <c r="O85" s="3">
        <f>SUM('TOTAL VOLUME'!O85*'FedEx Rates'!O85)</f>
        <v>88.78</v>
      </c>
      <c r="P85" s="3">
        <f>SUM('TOTAL VOLUME'!P85*'FedEx Rates'!P85)</f>
        <v>75.149999999999991</v>
      </c>
      <c r="Q85" s="3">
        <f>SUM('TOTAL VOLUME'!Q85*'FedEx Rates'!Q85)</f>
        <v>16.98</v>
      </c>
      <c r="R85" s="3">
        <f>SUM('TOTAL VOLUME'!R85*'FedEx Rates'!R85)</f>
        <v>37.700000000000003</v>
      </c>
      <c r="S85" s="3">
        <f>SUM('TOTAL VOLUME'!S85*'FedEx Rates'!S85)</f>
        <v>43.16</v>
      </c>
      <c r="T85" s="3">
        <f>SUM('TOTAL VOLUME'!T85*'FedEx Rates'!T85)</f>
        <v>51.9</v>
      </c>
      <c r="U85" s="3">
        <f>SUM('TOTAL VOLUME'!U85*'FedEx Rates'!U85)</f>
        <v>60.88</v>
      </c>
      <c r="V85" s="3">
        <f>SUM('TOTAL VOLUME'!V85*'FedEx Rates'!V85)</f>
        <v>157.15</v>
      </c>
      <c r="W85" s="3">
        <f>SUM('TOTAL VOLUME'!W85*'FedEx Rates'!W85)</f>
        <v>0</v>
      </c>
      <c r="X85" s="3">
        <f>SUM('TOTAL VOLUME'!X85*'FedEx Rates'!X85)</f>
        <v>29.67</v>
      </c>
      <c r="Y85" s="3">
        <f>SUM('TOTAL VOLUME'!Y85*'FedEx Rates'!Y85)</f>
        <v>0</v>
      </c>
      <c r="Z85" s="3">
        <f>SUM('TOTAL VOLUME'!Z85*'FedEx Rates'!Z85)</f>
        <v>0</v>
      </c>
      <c r="AA85" s="3">
        <f>SUM('TOTAL VOLUME'!AA85*'FedEx Rates'!AA85)</f>
        <v>0</v>
      </c>
      <c r="AB85" s="3">
        <f>SUM('TOTAL VOLUME'!AB85*'FedEx Rates'!AB85)</f>
        <v>0</v>
      </c>
      <c r="AC85" s="3">
        <f>SUM('TOTAL VOLUME'!AC85*'FedEx Rates'!AC85)</f>
        <v>269.2</v>
      </c>
    </row>
    <row r="86" spans="1:29" x14ac:dyDescent="0.2">
      <c r="A86" s="2">
        <v>85</v>
      </c>
      <c r="B86" s="3">
        <f>SUM('TOTAL VOLUME'!B86*'FedEx Rates'!B86)</f>
        <v>0</v>
      </c>
      <c r="C86" s="3">
        <f>SUM('TOTAL VOLUME'!C86*'FedEx Rates'!C86)</f>
        <v>0</v>
      </c>
      <c r="D86" s="3">
        <f>SUM('TOTAL VOLUME'!D86*'FedEx Rates'!D86)</f>
        <v>0</v>
      </c>
      <c r="E86" s="3">
        <f>SUM('TOTAL VOLUME'!E86*'FedEx Rates'!E86)</f>
        <v>59.07</v>
      </c>
      <c r="F86" s="3">
        <f>SUM('TOTAL VOLUME'!F86*'FedEx Rates'!F86)</f>
        <v>0</v>
      </c>
      <c r="G86" s="3">
        <f>SUM('TOTAL VOLUME'!G86*'FedEx Rates'!G86)</f>
        <v>0</v>
      </c>
      <c r="H86" s="3">
        <f>SUM('TOTAL VOLUME'!H86*'FedEx Rates'!H86)</f>
        <v>0</v>
      </c>
      <c r="I86" s="3">
        <f>SUM('TOTAL VOLUME'!I86*'FedEx Rates'!I86)</f>
        <v>0</v>
      </c>
      <c r="J86" s="3">
        <f>SUM('TOTAL VOLUME'!J86*'FedEx Rates'!J86)</f>
        <v>0</v>
      </c>
      <c r="K86" s="3">
        <f>SUM('TOTAL VOLUME'!K86*'FedEx Rates'!K86)</f>
        <v>0</v>
      </c>
      <c r="L86" s="3">
        <f>SUM('TOTAL VOLUME'!L86*'FedEx Rates'!L86)</f>
        <v>0</v>
      </c>
      <c r="M86" s="3">
        <f>SUM('TOTAL VOLUME'!M86*'FedEx Rates'!M86)</f>
        <v>0</v>
      </c>
      <c r="N86" s="3">
        <f>SUM('TOTAL VOLUME'!N86*'FedEx Rates'!N86)</f>
        <v>0</v>
      </c>
      <c r="O86" s="3">
        <f>SUM('TOTAL VOLUME'!O86*'FedEx Rates'!O86)</f>
        <v>0</v>
      </c>
      <c r="P86" s="3">
        <f>SUM('TOTAL VOLUME'!P86*'FedEx Rates'!P86)</f>
        <v>138.96</v>
      </c>
      <c r="Q86" s="3">
        <f>SUM('TOTAL VOLUME'!Q86*'FedEx Rates'!Q86)</f>
        <v>16.98</v>
      </c>
      <c r="R86" s="3">
        <f>SUM('TOTAL VOLUME'!R86*'FedEx Rates'!R86)</f>
        <v>0</v>
      </c>
      <c r="S86" s="3">
        <f>SUM('TOTAL VOLUME'!S86*'FedEx Rates'!S86)</f>
        <v>43.86</v>
      </c>
      <c r="T86" s="3">
        <f>SUM('TOTAL VOLUME'!T86*'FedEx Rates'!T86)</f>
        <v>130.55000000000001</v>
      </c>
      <c r="U86" s="3">
        <f>SUM('TOTAL VOLUME'!U86*'FedEx Rates'!U86)</f>
        <v>30.77</v>
      </c>
      <c r="V86" s="3">
        <f>SUM('TOTAL VOLUME'!V86*'FedEx Rates'!V86)</f>
        <v>158.85</v>
      </c>
      <c r="W86" s="3">
        <f>SUM('TOTAL VOLUME'!W86*'FedEx Rates'!W86)</f>
        <v>20.78</v>
      </c>
      <c r="X86" s="3">
        <f>SUM('TOTAL VOLUME'!X86*'FedEx Rates'!X86)</f>
        <v>0</v>
      </c>
      <c r="Y86" s="3">
        <f>SUM('TOTAL VOLUME'!Y86*'FedEx Rates'!Y86)</f>
        <v>0</v>
      </c>
      <c r="Z86" s="3">
        <f>SUM('TOTAL VOLUME'!Z86*'FedEx Rates'!Z86)</f>
        <v>0</v>
      </c>
      <c r="AA86" s="3">
        <f>SUM('TOTAL VOLUME'!AA86*'FedEx Rates'!AA86)</f>
        <v>0</v>
      </c>
      <c r="AB86" s="3">
        <f>SUM('TOTAL VOLUME'!AB86*'FedEx Rates'!AB86)</f>
        <v>0</v>
      </c>
      <c r="AC86" s="3">
        <f>SUM('TOTAL VOLUME'!AC86*'FedEx Rates'!AC86)</f>
        <v>0</v>
      </c>
    </row>
    <row r="87" spans="1:29" x14ac:dyDescent="0.2">
      <c r="A87" s="2">
        <v>86</v>
      </c>
      <c r="B87" s="3">
        <f>SUM('TOTAL VOLUME'!B87*'FedEx Rates'!B87)</f>
        <v>0</v>
      </c>
      <c r="C87" s="3">
        <f>SUM('TOTAL VOLUME'!C87*'FedEx Rates'!C87)</f>
        <v>0</v>
      </c>
      <c r="D87" s="3">
        <f>SUM('TOTAL VOLUME'!D87*'FedEx Rates'!D87)</f>
        <v>0</v>
      </c>
      <c r="E87" s="3">
        <f>SUM('TOTAL VOLUME'!E87*'FedEx Rates'!E87)</f>
        <v>0</v>
      </c>
      <c r="F87" s="3">
        <f>SUM('TOTAL VOLUME'!F87*'FedEx Rates'!F87)</f>
        <v>0</v>
      </c>
      <c r="G87" s="3">
        <f>SUM('TOTAL VOLUME'!G87*'FedEx Rates'!G87)</f>
        <v>0</v>
      </c>
      <c r="H87" s="3">
        <f>SUM('TOTAL VOLUME'!H87*'FedEx Rates'!H87)</f>
        <v>0</v>
      </c>
      <c r="I87" s="3">
        <f>SUM('TOTAL VOLUME'!I87*'FedEx Rates'!I87)</f>
        <v>0</v>
      </c>
      <c r="J87" s="3">
        <f>SUM('TOTAL VOLUME'!J87*'FedEx Rates'!J87)</f>
        <v>0</v>
      </c>
      <c r="K87" s="3">
        <f>SUM('TOTAL VOLUME'!K87*'FedEx Rates'!K87)</f>
        <v>0</v>
      </c>
      <c r="L87" s="3">
        <f>SUM('TOTAL VOLUME'!L87*'FedEx Rates'!L87)</f>
        <v>0</v>
      </c>
      <c r="M87" s="3">
        <f>SUM('TOTAL VOLUME'!M87*'FedEx Rates'!M87)</f>
        <v>0</v>
      </c>
      <c r="N87" s="3">
        <f>SUM('TOTAL VOLUME'!N87*'FedEx Rates'!N87)</f>
        <v>0</v>
      </c>
      <c r="O87" s="3">
        <f>SUM('TOTAL VOLUME'!O87*'FedEx Rates'!O87)</f>
        <v>0</v>
      </c>
      <c r="P87" s="3">
        <f>SUM('TOTAL VOLUME'!P87*'FedEx Rates'!P87)</f>
        <v>0</v>
      </c>
      <c r="Q87" s="3">
        <f>SUM('TOTAL VOLUME'!Q87*'FedEx Rates'!Q87)</f>
        <v>0</v>
      </c>
      <c r="R87" s="3">
        <f>SUM('TOTAL VOLUME'!R87*'FedEx Rates'!R87)</f>
        <v>0</v>
      </c>
      <c r="S87" s="3">
        <f>SUM('TOTAL VOLUME'!S87*'FedEx Rates'!S87)</f>
        <v>0</v>
      </c>
      <c r="T87" s="3">
        <f>SUM('TOTAL VOLUME'!T87*'FedEx Rates'!T87)</f>
        <v>0</v>
      </c>
      <c r="U87" s="3">
        <f>SUM('TOTAL VOLUME'!U87*'FedEx Rates'!U87)</f>
        <v>0</v>
      </c>
      <c r="V87" s="3">
        <f>SUM('TOTAL VOLUME'!V87*'FedEx Rates'!V87)</f>
        <v>0</v>
      </c>
      <c r="W87" s="3">
        <f>SUM('TOTAL VOLUME'!W87*'FedEx Rates'!W87)</f>
        <v>0</v>
      </c>
      <c r="X87" s="3">
        <f>SUM('TOTAL VOLUME'!X87*'FedEx Rates'!X87)</f>
        <v>0</v>
      </c>
      <c r="Y87" s="3">
        <f>SUM('TOTAL VOLUME'!Y87*'FedEx Rates'!Y87)</f>
        <v>0</v>
      </c>
      <c r="Z87" s="3">
        <f>SUM('TOTAL VOLUME'!Z87*'FedEx Rates'!Z87)</f>
        <v>0</v>
      </c>
      <c r="AA87" s="3">
        <f>SUM('TOTAL VOLUME'!AA87*'FedEx Rates'!AA87)</f>
        <v>0</v>
      </c>
      <c r="AB87" s="3">
        <f>SUM('TOTAL VOLUME'!AB87*'FedEx Rates'!AB87)</f>
        <v>0</v>
      </c>
      <c r="AC87" s="3">
        <f>SUM('TOTAL VOLUME'!AC87*'FedEx Rates'!AC87)</f>
        <v>0</v>
      </c>
    </row>
    <row r="88" spans="1:29" x14ac:dyDescent="0.2">
      <c r="A88" s="2">
        <v>87</v>
      </c>
      <c r="B88" s="3">
        <f>SUM('TOTAL VOLUME'!B88*'FedEx Rates'!B88)</f>
        <v>0</v>
      </c>
      <c r="C88" s="3">
        <f>SUM('TOTAL VOLUME'!C88*'FedEx Rates'!C88)</f>
        <v>0</v>
      </c>
      <c r="D88" s="3">
        <f>SUM('TOTAL VOLUME'!D88*'FedEx Rates'!D88)</f>
        <v>0</v>
      </c>
      <c r="E88" s="3">
        <f>SUM('TOTAL VOLUME'!E88*'FedEx Rates'!E88)</f>
        <v>0</v>
      </c>
      <c r="F88" s="3">
        <f>SUM('TOTAL VOLUME'!F88*'FedEx Rates'!F88)</f>
        <v>0</v>
      </c>
      <c r="G88" s="3">
        <f>SUM('TOTAL VOLUME'!G88*'FedEx Rates'!G88)</f>
        <v>0</v>
      </c>
      <c r="H88" s="3">
        <f>SUM('TOTAL VOLUME'!H88*'FedEx Rates'!H88)</f>
        <v>0</v>
      </c>
      <c r="I88" s="3">
        <f>SUM('TOTAL VOLUME'!I88*'FedEx Rates'!I88)</f>
        <v>0</v>
      </c>
      <c r="J88" s="3">
        <f>SUM('TOTAL VOLUME'!J88*'FedEx Rates'!J88)</f>
        <v>0</v>
      </c>
      <c r="K88" s="3">
        <f>SUM('TOTAL VOLUME'!K88*'FedEx Rates'!K88)</f>
        <v>0</v>
      </c>
      <c r="L88" s="3">
        <f>SUM('TOTAL VOLUME'!L88*'FedEx Rates'!L88)</f>
        <v>0</v>
      </c>
      <c r="M88" s="3">
        <f>SUM('TOTAL VOLUME'!M88*'FedEx Rates'!M88)</f>
        <v>0</v>
      </c>
      <c r="N88" s="3">
        <f>SUM('TOTAL VOLUME'!N88*'FedEx Rates'!N88)</f>
        <v>0</v>
      </c>
      <c r="O88" s="3">
        <f>SUM('TOTAL VOLUME'!O88*'FedEx Rates'!O88)</f>
        <v>0</v>
      </c>
      <c r="P88" s="3">
        <f>SUM('TOTAL VOLUME'!P88*'FedEx Rates'!P88)</f>
        <v>0</v>
      </c>
      <c r="Q88" s="3">
        <f>SUM('TOTAL VOLUME'!Q88*'FedEx Rates'!Q88)</f>
        <v>0</v>
      </c>
      <c r="R88" s="3">
        <f>SUM('TOTAL VOLUME'!R88*'FedEx Rates'!R88)</f>
        <v>0</v>
      </c>
      <c r="S88" s="3">
        <f>SUM('TOTAL VOLUME'!S88*'FedEx Rates'!S88)</f>
        <v>0</v>
      </c>
      <c r="T88" s="3">
        <f>SUM('TOTAL VOLUME'!T88*'FedEx Rates'!T88)</f>
        <v>0</v>
      </c>
      <c r="U88" s="3">
        <f>SUM('TOTAL VOLUME'!U88*'FedEx Rates'!U88)</f>
        <v>0</v>
      </c>
      <c r="V88" s="3">
        <f>SUM('TOTAL VOLUME'!V88*'FedEx Rates'!V88)</f>
        <v>0</v>
      </c>
      <c r="W88" s="3">
        <f>SUM('TOTAL VOLUME'!W88*'FedEx Rates'!W88)</f>
        <v>0</v>
      </c>
      <c r="X88" s="3">
        <f>SUM('TOTAL VOLUME'!X88*'FedEx Rates'!X88)</f>
        <v>0</v>
      </c>
      <c r="Y88" s="3">
        <f>SUM('TOTAL VOLUME'!Y88*'FedEx Rates'!Y88)</f>
        <v>0</v>
      </c>
      <c r="Z88" s="3">
        <f>SUM('TOTAL VOLUME'!Z88*'FedEx Rates'!Z88)</f>
        <v>0</v>
      </c>
      <c r="AA88" s="3">
        <f>SUM('TOTAL VOLUME'!AA88*'FedEx Rates'!AA88)</f>
        <v>0</v>
      </c>
      <c r="AB88" s="3">
        <f>SUM('TOTAL VOLUME'!AB88*'FedEx Rates'!AB88)</f>
        <v>0</v>
      </c>
      <c r="AC88" s="3">
        <f>SUM('TOTAL VOLUME'!AC88*'FedEx Rates'!AC88)</f>
        <v>0</v>
      </c>
    </row>
    <row r="89" spans="1:29" x14ac:dyDescent="0.2">
      <c r="A89" s="2">
        <v>88</v>
      </c>
      <c r="B89" s="3">
        <f>SUM('TOTAL VOLUME'!B89*'FedEx Rates'!B89)</f>
        <v>0</v>
      </c>
      <c r="C89" s="3">
        <f>SUM('TOTAL VOLUME'!C89*'FedEx Rates'!C89)</f>
        <v>0</v>
      </c>
      <c r="D89" s="3">
        <f>SUM('TOTAL VOLUME'!D89*'FedEx Rates'!D89)</f>
        <v>0</v>
      </c>
      <c r="E89" s="3">
        <f>SUM('TOTAL VOLUME'!E89*'FedEx Rates'!E89)</f>
        <v>0</v>
      </c>
      <c r="F89" s="3">
        <f>SUM('TOTAL VOLUME'!F89*'FedEx Rates'!F89)</f>
        <v>98.15</v>
      </c>
      <c r="G89" s="3">
        <f>SUM('TOTAL VOLUME'!G89*'FedEx Rates'!G89)</f>
        <v>102.15</v>
      </c>
      <c r="H89" s="3">
        <f>SUM('TOTAL VOLUME'!H89*'FedEx Rates'!H89)</f>
        <v>0</v>
      </c>
      <c r="I89" s="3">
        <f>SUM('TOTAL VOLUME'!I89*'FedEx Rates'!I89)</f>
        <v>0</v>
      </c>
      <c r="J89" s="3">
        <f>SUM('TOTAL VOLUME'!J89*'FedEx Rates'!J89)</f>
        <v>0</v>
      </c>
      <c r="K89" s="3">
        <f>SUM('TOTAL VOLUME'!K89*'FedEx Rates'!K89)</f>
        <v>0</v>
      </c>
      <c r="L89" s="3">
        <f>SUM('TOTAL VOLUME'!L89*'FedEx Rates'!L89)</f>
        <v>0</v>
      </c>
      <c r="M89" s="3">
        <f>SUM('TOTAL VOLUME'!M89*'FedEx Rates'!M89)</f>
        <v>0</v>
      </c>
      <c r="N89" s="3">
        <f>SUM('TOTAL VOLUME'!N89*'FedEx Rates'!N89)</f>
        <v>0</v>
      </c>
      <c r="O89" s="3">
        <f>SUM('TOTAL VOLUME'!O89*'FedEx Rates'!O89)</f>
        <v>0</v>
      </c>
      <c r="P89" s="3">
        <f>SUM('TOTAL VOLUME'!P89*'FedEx Rates'!P89)</f>
        <v>136.08000000000001</v>
      </c>
      <c r="Q89" s="3">
        <f>SUM('TOTAL VOLUME'!Q89*'FedEx Rates'!Q89)</f>
        <v>54.989999999999995</v>
      </c>
      <c r="R89" s="3">
        <f>SUM('TOTAL VOLUME'!R89*'FedEx Rates'!R89)</f>
        <v>60.66</v>
      </c>
      <c r="S89" s="3">
        <f>SUM('TOTAL VOLUME'!S89*'FedEx Rates'!S89)</f>
        <v>46.14</v>
      </c>
      <c r="T89" s="3">
        <f>SUM('TOTAL VOLUME'!T89*'FedEx Rates'!T89)</f>
        <v>54.24</v>
      </c>
      <c r="U89" s="3">
        <f>SUM('TOTAL VOLUME'!U89*'FedEx Rates'!U89)</f>
        <v>95.070000000000007</v>
      </c>
      <c r="V89" s="3">
        <f>SUM('TOTAL VOLUME'!V89*'FedEx Rates'!V89)</f>
        <v>364.76</v>
      </c>
      <c r="W89" s="3">
        <f>SUM('TOTAL VOLUME'!W89*'FedEx Rates'!W89)</f>
        <v>66.39</v>
      </c>
      <c r="X89" s="3">
        <f>SUM('TOTAL VOLUME'!X89*'FedEx Rates'!X89)</f>
        <v>0</v>
      </c>
      <c r="Y89" s="3">
        <f>SUM('TOTAL VOLUME'!Y89*'FedEx Rates'!Y89)</f>
        <v>0</v>
      </c>
      <c r="Z89" s="3">
        <f>SUM('TOTAL VOLUME'!Z89*'FedEx Rates'!Z89)</f>
        <v>0</v>
      </c>
      <c r="AA89" s="3">
        <f>SUM('TOTAL VOLUME'!AA89*'FedEx Rates'!AA89)</f>
        <v>0</v>
      </c>
      <c r="AB89" s="3">
        <f>SUM('TOTAL VOLUME'!AB89*'FedEx Rates'!AB89)</f>
        <v>0</v>
      </c>
      <c r="AC89" s="3">
        <f>SUM('TOTAL VOLUME'!AC89*'FedEx Rates'!AC89)</f>
        <v>135.9</v>
      </c>
    </row>
    <row r="90" spans="1:29" x14ac:dyDescent="0.2">
      <c r="A90" s="2">
        <v>89</v>
      </c>
      <c r="B90" s="3">
        <f>SUM('TOTAL VOLUME'!B90*'FedEx Rates'!B90)</f>
        <v>0</v>
      </c>
      <c r="C90" s="3">
        <f>SUM('TOTAL VOLUME'!C90*'FedEx Rates'!C90)</f>
        <v>33.270000000000003</v>
      </c>
      <c r="D90" s="3">
        <f>SUM('TOTAL VOLUME'!D90*'FedEx Rates'!D90)</f>
        <v>0</v>
      </c>
      <c r="E90" s="3">
        <f>SUM('TOTAL VOLUME'!E90*'FedEx Rates'!E90)</f>
        <v>0</v>
      </c>
      <c r="F90" s="3">
        <f>SUM('TOTAL VOLUME'!F90*'FedEx Rates'!F90)</f>
        <v>0</v>
      </c>
      <c r="G90" s="3">
        <f>SUM('TOTAL VOLUME'!G90*'FedEx Rates'!G90)</f>
        <v>102.31</v>
      </c>
      <c r="H90" s="3">
        <f>SUM('TOTAL VOLUME'!H90*'FedEx Rates'!H90)</f>
        <v>104.37</v>
      </c>
      <c r="I90" s="3">
        <f>SUM('TOTAL VOLUME'!I90*'FedEx Rates'!I90)</f>
        <v>0</v>
      </c>
      <c r="J90" s="3">
        <f>SUM('TOTAL VOLUME'!J90*'FedEx Rates'!J90)</f>
        <v>0</v>
      </c>
      <c r="K90" s="3">
        <f>SUM('TOTAL VOLUME'!K90*'FedEx Rates'!K90)</f>
        <v>0</v>
      </c>
      <c r="L90" s="3">
        <f>SUM('TOTAL VOLUME'!L90*'FedEx Rates'!L90)</f>
        <v>0</v>
      </c>
      <c r="M90" s="3">
        <f>SUM('TOTAL VOLUME'!M90*'FedEx Rates'!M90)</f>
        <v>0</v>
      </c>
      <c r="N90" s="3">
        <f>SUM('TOTAL VOLUME'!N90*'FedEx Rates'!N90)</f>
        <v>0</v>
      </c>
      <c r="O90" s="3">
        <f>SUM('TOTAL VOLUME'!O90*'FedEx Rates'!O90)</f>
        <v>0</v>
      </c>
      <c r="P90" s="3">
        <f>SUM('TOTAL VOLUME'!P90*'FedEx Rates'!P90)</f>
        <v>17.77</v>
      </c>
      <c r="Q90" s="3">
        <f>SUM('TOTAL VOLUME'!Q90*'FedEx Rates'!Q90)</f>
        <v>18.850000000000001</v>
      </c>
      <c r="R90" s="3">
        <f>SUM('TOTAL VOLUME'!R90*'FedEx Rates'!R90)</f>
        <v>82.48</v>
      </c>
      <c r="S90" s="3">
        <f>SUM('TOTAL VOLUME'!S90*'FedEx Rates'!S90)</f>
        <v>23.14</v>
      </c>
      <c r="T90" s="3">
        <f>SUM('TOTAL VOLUME'!T90*'FedEx Rates'!T90)</f>
        <v>83.13</v>
      </c>
      <c r="U90" s="3">
        <f>SUM('TOTAL VOLUME'!U90*'FedEx Rates'!U90)</f>
        <v>96.06</v>
      </c>
      <c r="V90" s="3">
        <f>SUM('TOTAL VOLUME'!V90*'FedEx Rates'!V90)</f>
        <v>169.25</v>
      </c>
      <c r="W90" s="3">
        <f>SUM('TOTAL VOLUME'!W90*'FedEx Rates'!W90)</f>
        <v>0</v>
      </c>
      <c r="X90" s="3">
        <f>SUM('TOTAL VOLUME'!X90*'FedEx Rates'!X90)</f>
        <v>62.9</v>
      </c>
      <c r="Y90" s="3">
        <f>SUM('TOTAL VOLUME'!Y90*'FedEx Rates'!Y90)</f>
        <v>111.98</v>
      </c>
      <c r="Z90" s="3">
        <f>SUM('TOTAL VOLUME'!Z90*'FedEx Rates'!Z90)</f>
        <v>0</v>
      </c>
      <c r="AA90" s="3">
        <f>SUM('TOTAL VOLUME'!AA90*'FedEx Rates'!AA90)</f>
        <v>63.02</v>
      </c>
      <c r="AB90" s="3">
        <f>SUM('TOTAL VOLUME'!AB90*'FedEx Rates'!AB90)</f>
        <v>0</v>
      </c>
      <c r="AC90" s="3">
        <f>SUM('TOTAL VOLUME'!AC90*'FedEx Rates'!AC90)</f>
        <v>74.59</v>
      </c>
    </row>
    <row r="91" spans="1:29" x14ac:dyDescent="0.2">
      <c r="A91" s="2">
        <v>90</v>
      </c>
      <c r="B91" s="3">
        <f>SUM('TOTAL VOLUME'!B91*'FedEx Rates'!B91)</f>
        <v>0</v>
      </c>
      <c r="C91" s="3">
        <f>SUM('TOTAL VOLUME'!C91*'FedEx Rates'!C91)</f>
        <v>33.43</v>
      </c>
      <c r="D91" s="3">
        <f>SUM('TOTAL VOLUME'!D91*'FedEx Rates'!D91)</f>
        <v>0</v>
      </c>
      <c r="E91" s="3">
        <f>SUM('TOTAL VOLUME'!E91*'FedEx Rates'!E91)</f>
        <v>0</v>
      </c>
      <c r="F91" s="3">
        <f>SUM('TOTAL VOLUME'!F91*'FedEx Rates'!F91)</f>
        <v>0</v>
      </c>
      <c r="G91" s="3">
        <f>SUM('TOTAL VOLUME'!G91*'FedEx Rates'!G91)</f>
        <v>0</v>
      </c>
      <c r="H91" s="3">
        <f>SUM('TOTAL VOLUME'!H91*'FedEx Rates'!H91)</f>
        <v>0</v>
      </c>
      <c r="I91" s="3">
        <f>SUM('TOTAL VOLUME'!I91*'FedEx Rates'!I91)</f>
        <v>0</v>
      </c>
      <c r="J91" s="3">
        <f>SUM('TOTAL VOLUME'!J91*'FedEx Rates'!J91)</f>
        <v>0</v>
      </c>
      <c r="K91" s="3">
        <f>SUM('TOTAL VOLUME'!K91*'FedEx Rates'!K91)</f>
        <v>0</v>
      </c>
      <c r="L91" s="3">
        <f>SUM('TOTAL VOLUME'!L91*'FedEx Rates'!L91)</f>
        <v>0</v>
      </c>
      <c r="M91" s="3">
        <f>SUM('TOTAL VOLUME'!M91*'FedEx Rates'!M91)</f>
        <v>0</v>
      </c>
      <c r="N91" s="3">
        <f>SUM('TOTAL VOLUME'!N91*'FedEx Rates'!N91)</f>
        <v>0</v>
      </c>
      <c r="O91" s="3">
        <f>SUM('TOTAL VOLUME'!O91*'FedEx Rates'!O91)</f>
        <v>0</v>
      </c>
      <c r="P91" s="3">
        <f>SUM('TOTAL VOLUME'!P91*'FedEx Rates'!P91)</f>
        <v>56.550000000000004</v>
      </c>
      <c r="Q91" s="3">
        <f>SUM('TOTAL VOLUME'!Q91*'FedEx Rates'!Q91)</f>
        <v>0</v>
      </c>
      <c r="R91" s="3">
        <f>SUM('TOTAL VOLUME'!R91*'FedEx Rates'!R91)</f>
        <v>0</v>
      </c>
      <c r="S91" s="3">
        <f>SUM('TOTAL VOLUME'!S91*'FedEx Rates'!S91)</f>
        <v>95.28</v>
      </c>
      <c r="T91" s="3">
        <f>SUM('TOTAL VOLUME'!T91*'FedEx Rates'!T91)</f>
        <v>28.1</v>
      </c>
      <c r="U91" s="3">
        <f>SUM('TOTAL VOLUME'!U91*'FedEx Rates'!U91)</f>
        <v>0</v>
      </c>
      <c r="V91" s="3">
        <f>SUM('TOTAL VOLUME'!V91*'FedEx Rates'!V91)</f>
        <v>241.64000000000001</v>
      </c>
      <c r="W91" s="3">
        <f>SUM('TOTAL VOLUME'!W91*'FedEx Rates'!W91)</f>
        <v>44.6</v>
      </c>
      <c r="X91" s="3">
        <f>SUM('TOTAL VOLUME'!X91*'FedEx Rates'!X91)</f>
        <v>0</v>
      </c>
      <c r="Y91" s="3">
        <f>SUM('TOTAL VOLUME'!Y91*'FedEx Rates'!Y91)</f>
        <v>57.59</v>
      </c>
      <c r="Z91" s="3">
        <f>SUM('TOTAL VOLUME'!Z91*'FedEx Rates'!Z91)</f>
        <v>0</v>
      </c>
      <c r="AA91" s="3">
        <f>SUM('TOTAL VOLUME'!AA91*'FedEx Rates'!AA91)</f>
        <v>127.62</v>
      </c>
      <c r="AB91" s="3">
        <f>SUM('TOTAL VOLUME'!AB91*'FedEx Rates'!AB91)</f>
        <v>74.349999999999994</v>
      </c>
      <c r="AC91" s="3">
        <f>SUM('TOTAL VOLUME'!AC91*'FedEx Rates'!AC91)</f>
        <v>151.96</v>
      </c>
    </row>
    <row r="92" spans="1:29" x14ac:dyDescent="0.2">
      <c r="A92" s="2">
        <v>91</v>
      </c>
      <c r="B92" s="3">
        <f>SUM('TOTAL VOLUME'!B92*'FedEx Rates'!B92)</f>
        <v>0</v>
      </c>
      <c r="C92" s="3">
        <f>SUM('TOTAL VOLUME'!C92*'FedEx Rates'!C92)</f>
        <v>0</v>
      </c>
      <c r="D92" s="3">
        <f>SUM('TOTAL VOLUME'!D92*'FedEx Rates'!D92)</f>
        <v>0</v>
      </c>
      <c r="E92" s="3">
        <f>SUM('TOTAL VOLUME'!E92*'FedEx Rates'!E92)</f>
        <v>0</v>
      </c>
      <c r="F92" s="3">
        <f>SUM('TOTAL VOLUME'!F92*'FedEx Rates'!F92)</f>
        <v>0</v>
      </c>
      <c r="G92" s="3">
        <f>SUM('TOTAL VOLUME'!G92*'FedEx Rates'!G92)</f>
        <v>0</v>
      </c>
      <c r="H92" s="3">
        <f>SUM('TOTAL VOLUME'!H92*'FedEx Rates'!H92)</f>
        <v>0</v>
      </c>
      <c r="I92" s="3">
        <f>SUM('TOTAL VOLUME'!I92*'FedEx Rates'!I92)</f>
        <v>0</v>
      </c>
      <c r="J92" s="3">
        <f>SUM('TOTAL VOLUME'!J92*'FedEx Rates'!J92)</f>
        <v>0</v>
      </c>
      <c r="K92" s="3">
        <f>SUM('TOTAL VOLUME'!K92*'FedEx Rates'!K92)</f>
        <v>0</v>
      </c>
      <c r="L92" s="3">
        <f>SUM('TOTAL VOLUME'!L92*'FedEx Rates'!L92)</f>
        <v>52.2</v>
      </c>
      <c r="M92" s="3">
        <f>SUM('TOTAL VOLUME'!M92*'FedEx Rates'!M92)</f>
        <v>0</v>
      </c>
      <c r="N92" s="3">
        <f>SUM('TOTAL VOLUME'!N92*'FedEx Rates'!N92)</f>
        <v>80.62</v>
      </c>
      <c r="O92" s="3">
        <f>SUM('TOTAL VOLUME'!O92*'FedEx Rates'!O92)</f>
        <v>0</v>
      </c>
      <c r="P92" s="3">
        <f>SUM('TOTAL VOLUME'!P92*'FedEx Rates'!P92)</f>
        <v>0</v>
      </c>
      <c r="Q92" s="3">
        <f>SUM('TOTAL VOLUME'!Q92*'FedEx Rates'!Q92)</f>
        <v>0</v>
      </c>
      <c r="R92" s="3">
        <f>SUM('TOTAL VOLUME'!R92*'FedEx Rates'!R92)</f>
        <v>0</v>
      </c>
      <c r="S92" s="3">
        <f>SUM('TOTAL VOLUME'!S92*'FedEx Rates'!S92)</f>
        <v>0</v>
      </c>
      <c r="T92" s="3">
        <f>SUM('TOTAL VOLUME'!T92*'FedEx Rates'!T92)</f>
        <v>0</v>
      </c>
      <c r="U92" s="3">
        <f>SUM('TOTAL VOLUME'!U92*'FedEx Rates'!U92)</f>
        <v>0</v>
      </c>
      <c r="V92" s="3">
        <f>SUM('TOTAL VOLUME'!V92*'FedEx Rates'!V92)</f>
        <v>0</v>
      </c>
      <c r="W92" s="3">
        <f>SUM('TOTAL VOLUME'!W92*'FedEx Rates'!W92)</f>
        <v>0</v>
      </c>
      <c r="X92" s="3">
        <f>SUM('TOTAL VOLUME'!X92*'FedEx Rates'!X92)</f>
        <v>0</v>
      </c>
      <c r="Y92" s="3">
        <f>SUM('TOTAL VOLUME'!Y92*'FedEx Rates'!Y92)</f>
        <v>0</v>
      </c>
      <c r="Z92" s="3">
        <f>SUM('TOTAL VOLUME'!Z92*'FedEx Rates'!Z92)</f>
        <v>0</v>
      </c>
      <c r="AA92" s="3">
        <f>SUM('TOTAL VOLUME'!AA92*'FedEx Rates'!AA92)</f>
        <v>0</v>
      </c>
      <c r="AB92" s="3">
        <f>SUM('TOTAL VOLUME'!AB92*'FedEx Rates'!AB92)</f>
        <v>0</v>
      </c>
      <c r="AC92" s="3">
        <f>SUM('TOTAL VOLUME'!AC92*'FedEx Rates'!AC92)</f>
        <v>0</v>
      </c>
    </row>
    <row r="93" spans="1:29" x14ac:dyDescent="0.2">
      <c r="A93" s="2">
        <v>92</v>
      </c>
      <c r="B93" s="3">
        <f>SUM('TOTAL VOLUME'!B93*'FedEx Rates'!B93)</f>
        <v>0</v>
      </c>
      <c r="C93" s="3">
        <f>SUM('TOTAL VOLUME'!C93*'FedEx Rates'!C93)</f>
        <v>0</v>
      </c>
      <c r="D93" s="3">
        <f>SUM('TOTAL VOLUME'!D93*'FedEx Rates'!D93)</f>
        <v>0</v>
      </c>
      <c r="E93" s="3">
        <f>SUM('TOTAL VOLUME'!E93*'FedEx Rates'!E93)</f>
        <v>0</v>
      </c>
      <c r="F93" s="3">
        <f>SUM('TOTAL VOLUME'!F93*'FedEx Rates'!F93)</f>
        <v>0</v>
      </c>
      <c r="G93" s="3">
        <f>SUM('TOTAL VOLUME'!G93*'FedEx Rates'!G93)</f>
        <v>0</v>
      </c>
      <c r="H93" s="3">
        <f>SUM('TOTAL VOLUME'!H93*'FedEx Rates'!H93)</f>
        <v>0</v>
      </c>
      <c r="I93" s="3">
        <f>SUM('TOTAL VOLUME'!I93*'FedEx Rates'!I93)</f>
        <v>0</v>
      </c>
      <c r="J93" s="3">
        <f>SUM('TOTAL VOLUME'!J93*'FedEx Rates'!J93)</f>
        <v>0</v>
      </c>
      <c r="K93" s="3">
        <f>SUM('TOTAL VOLUME'!K93*'FedEx Rates'!K93)</f>
        <v>0</v>
      </c>
      <c r="L93" s="3">
        <f>SUM('TOTAL VOLUME'!L93*'FedEx Rates'!L93)</f>
        <v>0</v>
      </c>
      <c r="M93" s="3">
        <f>SUM('TOTAL VOLUME'!M93*'FedEx Rates'!M93)</f>
        <v>0</v>
      </c>
      <c r="N93" s="3">
        <f>SUM('TOTAL VOLUME'!N93*'FedEx Rates'!N93)</f>
        <v>0</v>
      </c>
      <c r="O93" s="3">
        <f>SUM('TOTAL VOLUME'!O93*'FedEx Rates'!O93)</f>
        <v>93.59</v>
      </c>
      <c r="P93" s="3">
        <f>SUM('TOTAL VOLUME'!P93*'FedEx Rates'!P93)</f>
        <v>57.84</v>
      </c>
      <c r="Q93" s="3">
        <f>SUM('TOTAL VOLUME'!Q93*'FedEx Rates'!Q93)</f>
        <v>19.850000000000001</v>
      </c>
      <c r="R93" s="3">
        <f>SUM('TOTAL VOLUME'!R93*'FedEx Rates'!R93)</f>
        <v>0</v>
      </c>
      <c r="S93" s="3">
        <f>SUM('TOTAL VOLUME'!S93*'FedEx Rates'!S93)</f>
        <v>24.05</v>
      </c>
      <c r="T93" s="3">
        <f>SUM('TOTAL VOLUME'!T93*'FedEx Rates'!T93)</f>
        <v>56.9</v>
      </c>
      <c r="U93" s="3">
        <f>SUM('TOTAL VOLUME'!U93*'FedEx Rates'!U93)</f>
        <v>0</v>
      </c>
      <c r="V93" s="3">
        <f>SUM('TOTAL VOLUME'!V93*'FedEx Rates'!V93)</f>
        <v>138.52000000000001</v>
      </c>
      <c r="W93" s="3">
        <f>SUM('TOTAL VOLUME'!W93*'FedEx Rates'!W93)</f>
        <v>0</v>
      </c>
      <c r="X93" s="3">
        <f>SUM('TOTAL VOLUME'!X93*'FedEx Rates'!X93)</f>
        <v>0</v>
      </c>
      <c r="Y93" s="3">
        <f>SUM('TOTAL VOLUME'!Y93*'FedEx Rates'!Y93)</f>
        <v>0</v>
      </c>
      <c r="Z93" s="3">
        <f>SUM('TOTAL VOLUME'!Z93*'FedEx Rates'!Z93)</f>
        <v>0</v>
      </c>
      <c r="AA93" s="3">
        <f>SUM('TOTAL VOLUME'!AA93*'FedEx Rates'!AA93)</f>
        <v>0</v>
      </c>
      <c r="AB93" s="3">
        <f>SUM('TOTAL VOLUME'!AB93*'FedEx Rates'!AB93)</f>
        <v>0</v>
      </c>
      <c r="AC93" s="3">
        <f>SUM('TOTAL VOLUME'!AC93*'FedEx Rates'!AC93)</f>
        <v>0</v>
      </c>
    </row>
    <row r="94" spans="1:29" x14ac:dyDescent="0.2">
      <c r="A94" s="2">
        <v>93</v>
      </c>
      <c r="B94" s="3">
        <f>SUM('TOTAL VOLUME'!B94*'FedEx Rates'!B94)</f>
        <v>0</v>
      </c>
      <c r="C94" s="3">
        <f>SUM('TOTAL VOLUME'!C94*'FedEx Rates'!C94)</f>
        <v>0</v>
      </c>
      <c r="D94" s="3">
        <f>SUM('TOTAL VOLUME'!D94*'FedEx Rates'!D94)</f>
        <v>0</v>
      </c>
      <c r="E94" s="3">
        <f>SUM('TOTAL VOLUME'!E94*'FedEx Rates'!E94)</f>
        <v>0</v>
      </c>
      <c r="F94" s="3">
        <f>SUM('TOTAL VOLUME'!F94*'FedEx Rates'!F94)</f>
        <v>0</v>
      </c>
      <c r="G94" s="3">
        <f>SUM('TOTAL VOLUME'!G94*'FedEx Rates'!G94)</f>
        <v>0</v>
      </c>
      <c r="H94" s="3">
        <f>SUM('TOTAL VOLUME'!H94*'FedEx Rates'!H94)</f>
        <v>105.06</v>
      </c>
      <c r="I94" s="3">
        <f>SUM('TOTAL VOLUME'!I94*'FedEx Rates'!I94)</f>
        <v>0</v>
      </c>
      <c r="J94" s="3">
        <f>SUM('TOTAL VOLUME'!J94*'FedEx Rates'!J94)</f>
        <v>0</v>
      </c>
      <c r="K94" s="3">
        <f>SUM('TOTAL VOLUME'!K94*'FedEx Rates'!K94)</f>
        <v>0</v>
      </c>
      <c r="L94" s="3">
        <f>SUM('TOTAL VOLUME'!L94*'FedEx Rates'!L94)</f>
        <v>0</v>
      </c>
      <c r="M94" s="3">
        <f>SUM('TOTAL VOLUME'!M94*'FedEx Rates'!M94)</f>
        <v>0</v>
      </c>
      <c r="N94" s="3">
        <f>SUM('TOTAL VOLUME'!N94*'FedEx Rates'!N94)</f>
        <v>0</v>
      </c>
      <c r="O94" s="3">
        <f>SUM('TOTAL VOLUME'!O94*'FedEx Rates'!O94)</f>
        <v>0</v>
      </c>
      <c r="P94" s="3">
        <f>SUM('TOTAL VOLUME'!P94*'FedEx Rates'!P94)</f>
        <v>0</v>
      </c>
      <c r="Q94" s="3">
        <f>SUM('TOTAL VOLUME'!Q94*'FedEx Rates'!Q94)</f>
        <v>0</v>
      </c>
      <c r="R94" s="3">
        <f>SUM('TOTAL VOLUME'!R94*'FedEx Rates'!R94)</f>
        <v>0</v>
      </c>
      <c r="S94" s="3">
        <f>SUM('TOTAL VOLUME'!S94*'FedEx Rates'!S94)</f>
        <v>0</v>
      </c>
      <c r="T94" s="3">
        <f>SUM('TOTAL VOLUME'!T94*'FedEx Rates'!T94)</f>
        <v>0</v>
      </c>
      <c r="U94" s="3">
        <f>SUM('TOTAL VOLUME'!U94*'FedEx Rates'!U94)</f>
        <v>0</v>
      </c>
      <c r="V94" s="3">
        <f>SUM('TOTAL VOLUME'!V94*'FedEx Rates'!V94)</f>
        <v>0</v>
      </c>
      <c r="W94" s="3">
        <f>SUM('TOTAL VOLUME'!W94*'FedEx Rates'!W94)</f>
        <v>0</v>
      </c>
      <c r="X94" s="3">
        <f>SUM('TOTAL VOLUME'!X94*'FedEx Rates'!X94)</f>
        <v>0</v>
      </c>
      <c r="Y94" s="3">
        <f>SUM('TOTAL VOLUME'!Y94*'FedEx Rates'!Y94)</f>
        <v>0</v>
      </c>
      <c r="Z94" s="3">
        <f>SUM('TOTAL VOLUME'!Z94*'FedEx Rates'!Z94)</f>
        <v>0</v>
      </c>
      <c r="AA94" s="3">
        <f>SUM('TOTAL VOLUME'!AA94*'FedEx Rates'!AA94)</f>
        <v>192.12</v>
      </c>
      <c r="AB94" s="3">
        <f>SUM('TOTAL VOLUME'!AB94*'FedEx Rates'!AB94)</f>
        <v>0</v>
      </c>
      <c r="AC94" s="3">
        <f>SUM('TOTAL VOLUME'!AC94*'FedEx Rates'!AC94)</f>
        <v>0</v>
      </c>
    </row>
    <row r="95" spans="1:29" x14ac:dyDescent="0.2">
      <c r="A95" s="2">
        <v>94</v>
      </c>
      <c r="B95" s="3">
        <f>SUM('TOTAL VOLUME'!B95*'FedEx Rates'!B95)</f>
        <v>0</v>
      </c>
      <c r="C95" s="3">
        <f>SUM('TOTAL VOLUME'!C95*'FedEx Rates'!C95)</f>
        <v>0</v>
      </c>
      <c r="D95" s="3">
        <f>SUM('TOTAL VOLUME'!D95*'FedEx Rates'!D95)</f>
        <v>0</v>
      </c>
      <c r="E95" s="3">
        <f>SUM('TOTAL VOLUME'!E95*'FedEx Rates'!E95)</f>
        <v>0</v>
      </c>
      <c r="F95" s="3">
        <f>SUM('TOTAL VOLUME'!F95*'FedEx Rates'!F95)</f>
        <v>0</v>
      </c>
      <c r="G95" s="3">
        <f>SUM('TOTAL VOLUME'!G95*'FedEx Rates'!G95)</f>
        <v>0</v>
      </c>
      <c r="H95" s="3">
        <f>SUM('TOTAL VOLUME'!H95*'FedEx Rates'!H95)</f>
        <v>0</v>
      </c>
      <c r="I95" s="3">
        <f>SUM('TOTAL VOLUME'!I95*'FedEx Rates'!I95)</f>
        <v>0</v>
      </c>
      <c r="J95" s="3">
        <f>SUM('TOTAL VOLUME'!J95*'FedEx Rates'!J95)</f>
        <v>0</v>
      </c>
      <c r="K95" s="3">
        <f>SUM('TOTAL VOLUME'!K95*'FedEx Rates'!K95)</f>
        <v>0</v>
      </c>
      <c r="L95" s="3">
        <f>SUM('TOTAL VOLUME'!L95*'FedEx Rates'!L95)</f>
        <v>0</v>
      </c>
      <c r="M95" s="3">
        <f>SUM('TOTAL VOLUME'!M95*'FedEx Rates'!M95)</f>
        <v>0</v>
      </c>
      <c r="N95" s="3">
        <f>SUM('TOTAL VOLUME'!N95*'FedEx Rates'!N95)</f>
        <v>0</v>
      </c>
      <c r="O95" s="3">
        <f>SUM('TOTAL VOLUME'!O95*'FedEx Rates'!O95)</f>
        <v>0</v>
      </c>
      <c r="P95" s="3">
        <f>SUM('TOTAL VOLUME'!P95*'FedEx Rates'!P95)</f>
        <v>0</v>
      </c>
      <c r="Q95" s="3">
        <f>SUM('TOTAL VOLUME'!Q95*'FedEx Rates'!Q95)</f>
        <v>0</v>
      </c>
      <c r="R95" s="3">
        <f>SUM('TOTAL VOLUME'!R95*'FedEx Rates'!R95)</f>
        <v>0</v>
      </c>
      <c r="S95" s="3">
        <f>SUM('TOTAL VOLUME'!S95*'FedEx Rates'!S95)</f>
        <v>0</v>
      </c>
      <c r="T95" s="3">
        <f>SUM('TOTAL VOLUME'!T95*'FedEx Rates'!T95)</f>
        <v>0</v>
      </c>
      <c r="U95" s="3">
        <f>SUM('TOTAL VOLUME'!U95*'FedEx Rates'!U95)</f>
        <v>0</v>
      </c>
      <c r="V95" s="3">
        <f>SUM('TOTAL VOLUME'!V95*'FedEx Rates'!V95)</f>
        <v>0</v>
      </c>
      <c r="W95" s="3">
        <f>SUM('TOTAL VOLUME'!W95*'FedEx Rates'!W95)</f>
        <v>0</v>
      </c>
      <c r="X95" s="3">
        <f>SUM('TOTAL VOLUME'!X95*'FedEx Rates'!X95)</f>
        <v>0</v>
      </c>
      <c r="Y95" s="3">
        <f>SUM('TOTAL VOLUME'!Y95*'FedEx Rates'!Y95)</f>
        <v>0</v>
      </c>
      <c r="Z95" s="3">
        <f>SUM('TOTAL VOLUME'!Z95*'FedEx Rates'!Z95)</f>
        <v>0</v>
      </c>
      <c r="AA95" s="3">
        <f>SUM('TOTAL VOLUME'!AA95*'FedEx Rates'!AA95)</f>
        <v>0</v>
      </c>
      <c r="AB95" s="3">
        <f>SUM('TOTAL VOLUME'!AB95*'FedEx Rates'!AB95)</f>
        <v>0</v>
      </c>
      <c r="AC95" s="3">
        <f>SUM('TOTAL VOLUME'!AC95*'FedEx Rates'!AC95)</f>
        <v>0</v>
      </c>
    </row>
    <row r="96" spans="1:29" x14ac:dyDescent="0.2">
      <c r="A96" s="2">
        <v>95</v>
      </c>
      <c r="B96" s="3">
        <f>SUM('TOTAL VOLUME'!B96*'FedEx Rates'!B96)</f>
        <v>0</v>
      </c>
      <c r="C96" s="3">
        <f>SUM('TOTAL VOLUME'!C96*'FedEx Rates'!C96)</f>
        <v>34.32</v>
      </c>
      <c r="D96" s="3">
        <f>SUM('TOTAL VOLUME'!D96*'FedEx Rates'!D96)</f>
        <v>40.64</v>
      </c>
      <c r="E96" s="3">
        <f>SUM('TOTAL VOLUME'!E96*'FedEx Rates'!E96)</f>
        <v>0</v>
      </c>
      <c r="F96" s="3">
        <f>SUM('TOTAL VOLUME'!F96*'FedEx Rates'!F96)</f>
        <v>0</v>
      </c>
      <c r="G96" s="3">
        <f>SUM('TOTAL VOLUME'!G96*'FedEx Rates'!G96)</f>
        <v>0</v>
      </c>
      <c r="H96" s="3">
        <f>SUM('TOTAL VOLUME'!H96*'FedEx Rates'!H96)</f>
        <v>106.17</v>
      </c>
      <c r="I96" s="3">
        <f>SUM('TOTAL VOLUME'!I96*'FedEx Rates'!I96)</f>
        <v>0</v>
      </c>
      <c r="J96" s="3">
        <f>SUM('TOTAL VOLUME'!J96*'FedEx Rates'!J96)</f>
        <v>0</v>
      </c>
      <c r="K96" s="3">
        <f>SUM('TOTAL VOLUME'!K96*'FedEx Rates'!K96)</f>
        <v>0</v>
      </c>
      <c r="L96" s="3">
        <f>SUM('TOTAL VOLUME'!L96*'FedEx Rates'!L96)</f>
        <v>0</v>
      </c>
      <c r="M96" s="3">
        <f>SUM('TOTAL VOLUME'!M96*'FedEx Rates'!M96)</f>
        <v>0</v>
      </c>
      <c r="N96" s="3">
        <f>SUM('TOTAL VOLUME'!N96*'FedEx Rates'!N96)</f>
        <v>81.39</v>
      </c>
      <c r="O96" s="3">
        <f>SUM('TOTAL VOLUME'!O96*'FedEx Rates'!O96)</f>
        <v>0</v>
      </c>
      <c r="P96" s="3">
        <f>SUM('TOTAL VOLUME'!P96*'FedEx Rates'!P96)</f>
        <v>79.56</v>
      </c>
      <c r="Q96" s="3">
        <f>SUM('TOTAL VOLUME'!Q96*'FedEx Rates'!Q96)</f>
        <v>0</v>
      </c>
      <c r="R96" s="3">
        <f>SUM('TOTAL VOLUME'!R96*'FedEx Rates'!R96)</f>
        <v>44.6</v>
      </c>
      <c r="S96" s="3">
        <f>SUM('TOTAL VOLUME'!S96*'FedEx Rates'!S96)</f>
        <v>49.4</v>
      </c>
      <c r="T96" s="3">
        <f>SUM('TOTAL VOLUME'!T96*'FedEx Rates'!T96)</f>
        <v>0</v>
      </c>
      <c r="U96" s="3">
        <f>SUM('TOTAL VOLUME'!U96*'FedEx Rates'!U96)</f>
        <v>0</v>
      </c>
      <c r="V96" s="3">
        <f>SUM('TOTAL VOLUME'!V96*'FedEx Rates'!V96)</f>
        <v>107.07</v>
      </c>
      <c r="W96" s="3">
        <f>SUM('TOTAL VOLUME'!W96*'FedEx Rates'!W96)</f>
        <v>0</v>
      </c>
      <c r="X96" s="3">
        <f>SUM('TOTAL VOLUME'!X96*'FedEx Rates'!X96)</f>
        <v>63.74</v>
      </c>
      <c r="Y96" s="3">
        <f>SUM('TOTAL VOLUME'!Y96*'FedEx Rates'!Y96)</f>
        <v>0</v>
      </c>
      <c r="Z96" s="3">
        <f>SUM('TOTAL VOLUME'!Z96*'FedEx Rates'!Z96)</f>
        <v>0</v>
      </c>
      <c r="AA96" s="3">
        <f>SUM('TOTAL VOLUME'!AA96*'FedEx Rates'!AA96)</f>
        <v>0</v>
      </c>
      <c r="AB96" s="3">
        <f>SUM('TOTAL VOLUME'!AB96*'FedEx Rates'!AB96)</f>
        <v>0</v>
      </c>
      <c r="AC96" s="3">
        <f>SUM('TOTAL VOLUME'!AC96*'FedEx Rates'!AC96)</f>
        <v>76.489999999999995</v>
      </c>
    </row>
    <row r="97" spans="1:29" x14ac:dyDescent="0.2">
      <c r="A97" s="2">
        <v>96</v>
      </c>
      <c r="B97" s="3">
        <f>SUM('TOTAL VOLUME'!B97*'FedEx Rates'!B97)</f>
        <v>29.77</v>
      </c>
      <c r="C97" s="3">
        <f>SUM('TOTAL VOLUME'!C97*'FedEx Rates'!C97)</f>
        <v>0</v>
      </c>
      <c r="D97" s="3">
        <f>SUM('TOTAL VOLUME'!D97*'FedEx Rates'!D97)</f>
        <v>0</v>
      </c>
      <c r="E97" s="3">
        <f>SUM('TOTAL VOLUME'!E97*'FedEx Rates'!E97)</f>
        <v>62.02</v>
      </c>
      <c r="F97" s="3">
        <f>SUM('TOTAL VOLUME'!F97*'FedEx Rates'!F97)</f>
        <v>0</v>
      </c>
      <c r="G97" s="3">
        <f>SUM('TOTAL VOLUME'!G97*'FedEx Rates'!G97)</f>
        <v>0</v>
      </c>
      <c r="H97" s="3">
        <f>SUM('TOTAL VOLUME'!H97*'FedEx Rates'!H97)</f>
        <v>0</v>
      </c>
      <c r="I97" s="3">
        <f>SUM('TOTAL VOLUME'!I97*'FedEx Rates'!I97)</f>
        <v>0</v>
      </c>
      <c r="J97" s="3">
        <f>SUM('TOTAL VOLUME'!J97*'FedEx Rates'!J97)</f>
        <v>0</v>
      </c>
      <c r="K97" s="3">
        <f>SUM('TOTAL VOLUME'!K97*'FedEx Rates'!K97)</f>
        <v>0</v>
      </c>
      <c r="L97" s="3">
        <f>SUM('TOTAL VOLUME'!L97*'FedEx Rates'!L97)</f>
        <v>0</v>
      </c>
      <c r="M97" s="3">
        <f>SUM('TOTAL VOLUME'!M97*'FedEx Rates'!M97)</f>
        <v>0</v>
      </c>
      <c r="N97" s="3">
        <f>SUM('TOTAL VOLUME'!N97*'FedEx Rates'!N97)</f>
        <v>0</v>
      </c>
      <c r="O97" s="3">
        <f>SUM('TOTAL VOLUME'!O97*'FedEx Rates'!O97)</f>
        <v>0</v>
      </c>
      <c r="P97" s="3">
        <f>SUM('TOTAL VOLUME'!P97*'FedEx Rates'!P97)</f>
        <v>20.53</v>
      </c>
      <c r="Q97" s="3">
        <f>SUM('TOTAL VOLUME'!Q97*'FedEx Rates'!Q97)</f>
        <v>0</v>
      </c>
      <c r="R97" s="3">
        <f>SUM('TOTAL VOLUME'!R97*'FedEx Rates'!R97)</f>
        <v>23.11</v>
      </c>
      <c r="S97" s="3">
        <f>SUM('TOTAL VOLUME'!S97*'FedEx Rates'!S97)</f>
        <v>49.94</v>
      </c>
      <c r="T97" s="3">
        <f>SUM('TOTAL VOLUME'!T97*'FedEx Rates'!T97)</f>
        <v>58.28</v>
      </c>
      <c r="U97" s="3">
        <f>SUM('TOTAL VOLUME'!U97*'FedEx Rates'!U97)</f>
        <v>32.9</v>
      </c>
      <c r="V97" s="3">
        <f>SUM('TOTAL VOLUME'!V97*'FedEx Rates'!V97)</f>
        <v>0</v>
      </c>
      <c r="W97" s="3">
        <f>SUM('TOTAL VOLUME'!W97*'FedEx Rates'!W97)</f>
        <v>0</v>
      </c>
      <c r="X97" s="3">
        <f>SUM('TOTAL VOLUME'!X97*'FedEx Rates'!X97)</f>
        <v>0</v>
      </c>
      <c r="Y97" s="3">
        <f>SUM('TOTAL VOLUME'!Y97*'FedEx Rates'!Y97)</f>
        <v>0</v>
      </c>
      <c r="Z97" s="3">
        <f>SUM('TOTAL VOLUME'!Z97*'FedEx Rates'!Z97)</f>
        <v>0</v>
      </c>
      <c r="AA97" s="3">
        <f>SUM('TOTAL VOLUME'!AA97*'FedEx Rates'!AA97)</f>
        <v>194.07</v>
      </c>
      <c r="AB97" s="3">
        <f>SUM('TOTAL VOLUME'!AB97*'FedEx Rates'!AB97)</f>
        <v>0</v>
      </c>
      <c r="AC97" s="3">
        <f>SUM('TOTAL VOLUME'!AC97*'FedEx Rates'!AC97)</f>
        <v>76.56</v>
      </c>
    </row>
    <row r="98" spans="1:29" x14ac:dyDescent="0.2">
      <c r="A98" s="2">
        <v>97</v>
      </c>
      <c r="B98" s="3">
        <f>SUM('TOTAL VOLUME'!B98*'FedEx Rates'!B98)</f>
        <v>0</v>
      </c>
      <c r="C98" s="3">
        <f>SUM('TOTAL VOLUME'!C98*'FedEx Rates'!C98)</f>
        <v>0</v>
      </c>
      <c r="D98" s="3">
        <f>SUM('TOTAL VOLUME'!D98*'FedEx Rates'!D98)</f>
        <v>0</v>
      </c>
      <c r="E98" s="3">
        <f>SUM('TOTAL VOLUME'!E98*'FedEx Rates'!E98)</f>
        <v>0</v>
      </c>
      <c r="F98" s="3">
        <f>SUM('TOTAL VOLUME'!F98*'FedEx Rates'!F98)</f>
        <v>0</v>
      </c>
      <c r="G98" s="3">
        <f>SUM('TOTAL VOLUME'!G98*'FedEx Rates'!G98)</f>
        <v>0</v>
      </c>
      <c r="H98" s="3">
        <f>SUM('TOTAL VOLUME'!H98*'FedEx Rates'!H98)</f>
        <v>108.57</v>
      </c>
      <c r="I98" s="3">
        <f>SUM('TOTAL VOLUME'!I98*'FedEx Rates'!I98)</f>
        <v>0</v>
      </c>
      <c r="J98" s="3">
        <f>SUM('TOTAL VOLUME'!J98*'FedEx Rates'!J98)</f>
        <v>0</v>
      </c>
      <c r="K98" s="3">
        <f>SUM('TOTAL VOLUME'!K98*'FedEx Rates'!K98)</f>
        <v>0</v>
      </c>
      <c r="L98" s="3">
        <f>SUM('TOTAL VOLUME'!L98*'FedEx Rates'!L98)</f>
        <v>0</v>
      </c>
      <c r="M98" s="3">
        <f>SUM('TOTAL VOLUME'!M98*'FedEx Rates'!M98)</f>
        <v>148.56</v>
      </c>
      <c r="N98" s="3">
        <f>SUM('TOTAL VOLUME'!N98*'FedEx Rates'!N98)</f>
        <v>81.78</v>
      </c>
      <c r="O98" s="3">
        <f>SUM('TOTAL VOLUME'!O98*'FedEx Rates'!O98)</f>
        <v>0</v>
      </c>
      <c r="P98" s="3">
        <f>SUM('TOTAL VOLUME'!P98*'FedEx Rates'!P98)</f>
        <v>63.63</v>
      </c>
      <c r="Q98" s="3">
        <f>SUM('TOTAL VOLUME'!Q98*'FedEx Rates'!Q98)</f>
        <v>0</v>
      </c>
      <c r="R98" s="3">
        <f>SUM('TOTAL VOLUME'!R98*'FedEx Rates'!R98)</f>
        <v>0</v>
      </c>
      <c r="S98" s="3">
        <f>SUM('TOTAL VOLUME'!S98*'FedEx Rates'!S98)</f>
        <v>101.48</v>
      </c>
      <c r="T98" s="3">
        <f>SUM('TOTAL VOLUME'!T98*'FedEx Rates'!T98)</f>
        <v>0</v>
      </c>
      <c r="U98" s="3">
        <f>SUM('TOTAL VOLUME'!U98*'FedEx Rates'!U98)</f>
        <v>66.739999999999995</v>
      </c>
      <c r="V98" s="3">
        <f>SUM('TOTAL VOLUME'!V98*'FedEx Rates'!V98)</f>
        <v>110.28</v>
      </c>
      <c r="W98" s="3">
        <f>SUM('TOTAL VOLUME'!W98*'FedEx Rates'!W98)</f>
        <v>0</v>
      </c>
      <c r="X98" s="3">
        <f>SUM('TOTAL VOLUME'!X98*'FedEx Rates'!X98)</f>
        <v>0</v>
      </c>
      <c r="Y98" s="3">
        <f>SUM('TOTAL VOLUME'!Y98*'FedEx Rates'!Y98)</f>
        <v>0</v>
      </c>
      <c r="Z98" s="3">
        <f>SUM('TOTAL VOLUME'!Z98*'FedEx Rates'!Z98)</f>
        <v>0</v>
      </c>
      <c r="AA98" s="3">
        <f>SUM('TOTAL VOLUME'!AA98*'FedEx Rates'!AA98)</f>
        <v>0</v>
      </c>
      <c r="AB98" s="3">
        <f>SUM('TOTAL VOLUME'!AB98*'FedEx Rates'!AB98)</f>
        <v>0</v>
      </c>
      <c r="AC98" s="3">
        <f>SUM('TOTAL VOLUME'!AC98*'FedEx Rates'!AC98)</f>
        <v>76.66</v>
      </c>
    </row>
    <row r="99" spans="1:29" x14ac:dyDescent="0.2">
      <c r="A99" s="2">
        <v>98</v>
      </c>
      <c r="B99" s="3">
        <f>SUM('TOTAL VOLUME'!B99*'FedEx Rates'!B99)</f>
        <v>0</v>
      </c>
      <c r="C99" s="3">
        <f>SUM('TOTAL VOLUME'!C99*'FedEx Rates'!C99)</f>
        <v>0</v>
      </c>
      <c r="D99" s="3">
        <f>SUM('TOTAL VOLUME'!D99*'FedEx Rates'!D99)</f>
        <v>0</v>
      </c>
      <c r="E99" s="3">
        <f>SUM('TOTAL VOLUME'!E99*'FedEx Rates'!E99)</f>
        <v>0</v>
      </c>
      <c r="F99" s="3">
        <f>SUM('TOTAL VOLUME'!F99*'FedEx Rates'!F99)</f>
        <v>0</v>
      </c>
      <c r="G99" s="3">
        <f>SUM('TOTAL VOLUME'!G99*'FedEx Rates'!G99)</f>
        <v>0</v>
      </c>
      <c r="H99" s="3">
        <f>SUM('TOTAL VOLUME'!H99*'FedEx Rates'!H99)</f>
        <v>0</v>
      </c>
      <c r="I99" s="3">
        <f>SUM('TOTAL VOLUME'!I99*'FedEx Rates'!I99)</f>
        <v>0</v>
      </c>
      <c r="J99" s="3">
        <f>SUM('TOTAL VOLUME'!J99*'FedEx Rates'!J99)</f>
        <v>0</v>
      </c>
      <c r="K99" s="3">
        <f>SUM('TOTAL VOLUME'!K99*'FedEx Rates'!K99)</f>
        <v>0</v>
      </c>
      <c r="L99" s="3">
        <f>SUM('TOTAL VOLUME'!L99*'FedEx Rates'!L99)</f>
        <v>0</v>
      </c>
      <c r="M99" s="3">
        <f>SUM('TOTAL VOLUME'!M99*'FedEx Rates'!M99)</f>
        <v>0</v>
      </c>
      <c r="N99" s="3">
        <f>SUM('TOTAL VOLUME'!N99*'FedEx Rates'!N99)</f>
        <v>82.05</v>
      </c>
      <c r="O99" s="3">
        <f>SUM('TOTAL VOLUME'!O99*'FedEx Rates'!O99)</f>
        <v>0</v>
      </c>
      <c r="P99" s="3">
        <f>SUM('TOTAL VOLUME'!P99*'FedEx Rates'!P99)</f>
        <v>0</v>
      </c>
      <c r="Q99" s="3">
        <f>SUM('TOTAL VOLUME'!Q99*'FedEx Rates'!Q99)</f>
        <v>0</v>
      </c>
      <c r="R99" s="3">
        <f>SUM('TOTAL VOLUME'!R99*'FedEx Rates'!R99)</f>
        <v>0</v>
      </c>
      <c r="S99" s="3">
        <f>SUM('TOTAL VOLUME'!S99*'FedEx Rates'!S99)</f>
        <v>0</v>
      </c>
      <c r="T99" s="3">
        <f>SUM('TOTAL VOLUME'!T99*'FedEx Rates'!T99)</f>
        <v>0</v>
      </c>
      <c r="U99" s="3">
        <f>SUM('TOTAL VOLUME'!U99*'FedEx Rates'!U99)</f>
        <v>0</v>
      </c>
      <c r="V99" s="3">
        <f>SUM('TOTAL VOLUME'!V99*'FedEx Rates'!V99)</f>
        <v>0</v>
      </c>
      <c r="W99" s="3">
        <f>SUM('TOTAL VOLUME'!W99*'FedEx Rates'!W99)</f>
        <v>0</v>
      </c>
      <c r="X99" s="3">
        <f>SUM('TOTAL VOLUME'!X99*'FedEx Rates'!X99)</f>
        <v>0</v>
      </c>
      <c r="Y99" s="3">
        <f>SUM('TOTAL VOLUME'!Y99*'FedEx Rates'!Y99)</f>
        <v>0</v>
      </c>
      <c r="Z99" s="3">
        <f>SUM('TOTAL VOLUME'!Z99*'FedEx Rates'!Z99)</f>
        <v>0</v>
      </c>
      <c r="AA99" s="3">
        <f>SUM('TOTAL VOLUME'!AA99*'FedEx Rates'!AA99)</f>
        <v>0</v>
      </c>
      <c r="AB99" s="3">
        <f>SUM('TOTAL VOLUME'!AB99*'FedEx Rates'!AB99)</f>
        <v>0</v>
      </c>
      <c r="AC99" s="3">
        <f>SUM('TOTAL VOLUME'!AC99*'FedEx Rates'!AC99)</f>
        <v>0</v>
      </c>
    </row>
    <row r="100" spans="1:29" x14ac:dyDescent="0.2">
      <c r="A100" s="2">
        <v>99</v>
      </c>
      <c r="B100" s="3">
        <f>SUM('TOTAL VOLUME'!B100*'FedEx Rates'!B100)</f>
        <v>0</v>
      </c>
      <c r="C100" s="3">
        <f>SUM('TOTAL VOLUME'!C100*'FedEx Rates'!C100)</f>
        <v>0</v>
      </c>
      <c r="D100" s="3">
        <f>SUM('TOTAL VOLUME'!D100*'FedEx Rates'!D100)</f>
        <v>0</v>
      </c>
      <c r="E100" s="3">
        <f>SUM('TOTAL VOLUME'!E100*'FedEx Rates'!E100)</f>
        <v>0</v>
      </c>
      <c r="F100" s="3">
        <f>SUM('TOTAL VOLUME'!F100*'FedEx Rates'!F100)</f>
        <v>0</v>
      </c>
      <c r="G100" s="3">
        <f>SUM('TOTAL VOLUME'!G100*'FedEx Rates'!G100)</f>
        <v>0</v>
      </c>
      <c r="H100" s="3">
        <f>SUM('TOTAL VOLUME'!H100*'FedEx Rates'!H100)</f>
        <v>0</v>
      </c>
      <c r="I100" s="3">
        <f>SUM('TOTAL VOLUME'!I100*'FedEx Rates'!I100)</f>
        <v>0</v>
      </c>
      <c r="J100" s="3">
        <f>SUM('TOTAL VOLUME'!J100*'FedEx Rates'!J100)</f>
        <v>0</v>
      </c>
      <c r="K100" s="3">
        <f>SUM('TOTAL VOLUME'!K100*'FedEx Rates'!K100)</f>
        <v>0</v>
      </c>
      <c r="L100" s="3">
        <f>SUM('TOTAL VOLUME'!L100*'FedEx Rates'!L100)</f>
        <v>0</v>
      </c>
      <c r="M100" s="3">
        <f>SUM('TOTAL VOLUME'!M100*'FedEx Rates'!M100)</f>
        <v>0</v>
      </c>
      <c r="N100" s="3">
        <f>SUM('TOTAL VOLUME'!N100*'FedEx Rates'!N100)</f>
        <v>0</v>
      </c>
      <c r="O100" s="3">
        <f>SUM('TOTAL VOLUME'!O100*'FedEx Rates'!O100)</f>
        <v>0</v>
      </c>
      <c r="P100" s="3">
        <f>SUM('TOTAL VOLUME'!P100*'FedEx Rates'!P100)</f>
        <v>0</v>
      </c>
      <c r="Q100" s="3">
        <f>SUM('TOTAL VOLUME'!Q100*'FedEx Rates'!Q100)</f>
        <v>0</v>
      </c>
      <c r="R100" s="3">
        <f>SUM('TOTAL VOLUME'!R100*'FedEx Rates'!R100)</f>
        <v>0</v>
      </c>
      <c r="S100" s="3">
        <f>SUM('TOTAL VOLUME'!S100*'FedEx Rates'!S100)</f>
        <v>0</v>
      </c>
      <c r="T100" s="3">
        <f>SUM('TOTAL VOLUME'!T100*'FedEx Rates'!T100)</f>
        <v>0</v>
      </c>
      <c r="U100" s="3">
        <f>SUM('TOTAL VOLUME'!U100*'FedEx Rates'!U100)</f>
        <v>0</v>
      </c>
      <c r="V100" s="3">
        <f>SUM('TOTAL VOLUME'!V100*'FedEx Rates'!V100)</f>
        <v>0</v>
      </c>
      <c r="W100" s="3">
        <f>SUM('TOTAL VOLUME'!W100*'FedEx Rates'!W100)</f>
        <v>0</v>
      </c>
      <c r="X100" s="3">
        <f>SUM('TOTAL VOLUME'!X100*'FedEx Rates'!X100)</f>
        <v>0</v>
      </c>
      <c r="Y100" s="3">
        <f>SUM('TOTAL VOLUME'!Y100*'FedEx Rates'!Y100)</f>
        <v>0</v>
      </c>
      <c r="Z100" s="3">
        <f>SUM('TOTAL VOLUME'!Z100*'FedEx Rates'!Z100)</f>
        <v>0</v>
      </c>
      <c r="AA100" s="3">
        <f>SUM('TOTAL VOLUME'!AA100*'FedEx Rates'!AA100)</f>
        <v>0</v>
      </c>
      <c r="AB100" s="3">
        <f>SUM('TOTAL VOLUME'!AB100*'FedEx Rates'!AB100)</f>
        <v>0</v>
      </c>
      <c r="AC100" s="3">
        <f>SUM('TOTAL VOLUME'!AC100*'FedEx Rates'!AC100)</f>
        <v>0</v>
      </c>
    </row>
    <row r="101" spans="1:29" x14ac:dyDescent="0.2">
      <c r="B101" s="3">
        <f>SUM(B2:B100)</f>
        <v>2219.81</v>
      </c>
      <c r="C101" s="3">
        <f t="shared" ref="C101:AC101" si="0">SUM(C2:C100)</f>
        <v>1177.0700000000002</v>
      </c>
      <c r="D101" s="3">
        <f t="shared" si="0"/>
        <v>2526.2899999999991</v>
      </c>
      <c r="E101" s="3">
        <f t="shared" si="0"/>
        <v>8536.4599999999991</v>
      </c>
      <c r="F101" s="3">
        <f t="shared" si="0"/>
        <v>7611.3199999999988</v>
      </c>
      <c r="G101" s="3">
        <f t="shared" si="0"/>
        <v>6668.5399999999991</v>
      </c>
      <c r="H101" s="3">
        <f t="shared" si="0"/>
        <v>23506.949999999986</v>
      </c>
      <c r="I101" s="3">
        <f t="shared" si="0"/>
        <v>286.48</v>
      </c>
      <c r="J101" s="3">
        <f t="shared" si="0"/>
        <v>103.76999999999998</v>
      </c>
      <c r="K101" s="3">
        <f t="shared" si="0"/>
        <v>277.36</v>
      </c>
      <c r="L101" s="3">
        <f t="shared" si="0"/>
        <v>1223.29</v>
      </c>
      <c r="M101" s="3">
        <f t="shared" si="0"/>
        <v>1430.0699999999997</v>
      </c>
      <c r="N101" s="3">
        <f t="shared" si="0"/>
        <v>2617.2600000000002</v>
      </c>
      <c r="O101" s="3">
        <f t="shared" si="0"/>
        <v>11743.589999999997</v>
      </c>
      <c r="P101" s="3">
        <f t="shared" si="0"/>
        <v>166216.71999999994</v>
      </c>
      <c r="Q101" s="3">
        <f t="shared" si="0"/>
        <v>64129.509999999987</v>
      </c>
      <c r="R101" s="3">
        <f t="shared" si="0"/>
        <v>121236.35999999999</v>
      </c>
      <c r="S101" s="3">
        <f t="shared" si="0"/>
        <v>234624.9300000002</v>
      </c>
      <c r="T101" s="3">
        <f t="shared" si="0"/>
        <v>184072.68999999989</v>
      </c>
      <c r="U101" s="3">
        <f t="shared" si="0"/>
        <v>116196.97</v>
      </c>
      <c r="V101" s="3">
        <f t="shared" si="0"/>
        <v>355356.12000000005</v>
      </c>
      <c r="W101" s="3">
        <f t="shared" si="0"/>
        <v>51087.589999999989</v>
      </c>
      <c r="X101" s="3">
        <f t="shared" si="0"/>
        <v>16393.32</v>
      </c>
      <c r="Y101" s="3">
        <f t="shared" si="0"/>
        <v>41149.039999999964</v>
      </c>
      <c r="Z101" s="3">
        <f t="shared" si="0"/>
        <v>99881.510000000024</v>
      </c>
      <c r="AA101" s="3">
        <f t="shared" si="0"/>
        <v>77449.070000000022</v>
      </c>
      <c r="AB101" s="3">
        <f t="shared" si="0"/>
        <v>49049.750000000029</v>
      </c>
      <c r="AC101" s="3">
        <f t="shared" si="0"/>
        <v>177870.38000000006</v>
      </c>
    </row>
    <row r="103" spans="1:29" x14ac:dyDescent="0.2">
      <c r="B103" s="2" t="s">
        <v>30</v>
      </c>
      <c r="F103" s="2" t="s">
        <v>32</v>
      </c>
      <c r="P103" s="5">
        <f>SUM(P101:V101)</f>
        <v>1241833.3</v>
      </c>
    </row>
    <row r="104" spans="1:29" x14ac:dyDescent="0.2">
      <c r="B104" s="4">
        <f>SUM(B101:AC101)</f>
        <v>1824642.2200000004</v>
      </c>
      <c r="F104" s="4">
        <f>SUM('UPS TOTAL SPEND'!B103-'FedEx Total Spend'!B104)</f>
        <v>938361.36999999941</v>
      </c>
    </row>
    <row r="106" spans="1:29" x14ac:dyDescent="0.2">
      <c r="B106" s="2" t="s">
        <v>29</v>
      </c>
    </row>
    <row r="107" spans="1:29" x14ac:dyDescent="0.2">
      <c r="B107" s="6">
        <f>'UPS TOTAL SPEND'!B103</f>
        <v>2763003.59</v>
      </c>
      <c r="F107" s="7">
        <f>SUM(F104/B107)</f>
        <v>0.33961641360009942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AC101"/>
  <sheetViews>
    <sheetView workbookViewId="0">
      <selection sqref="A1:XFD1048576"/>
    </sheetView>
  </sheetViews>
  <sheetFormatPr defaultColWidth="8.85546875" defaultRowHeight="15" x14ac:dyDescent="0.25"/>
  <cols>
    <col min="1" max="1" width="4.5703125" bestFit="1" customWidth="1"/>
    <col min="2" max="15" width="7.28515625" bestFit="1" customWidth="1"/>
    <col min="16" max="22" width="9.5703125" bestFit="1" customWidth="1"/>
    <col min="23" max="29" width="14.5703125" bestFit="1" customWidth="1"/>
  </cols>
  <sheetData>
    <row r="2" spans="1:29" x14ac:dyDescent="0.25">
      <c r="A2" t="s">
        <v>28</v>
      </c>
      <c r="B2" t="s">
        <v>3</v>
      </c>
      <c r="C2" t="s">
        <v>6</v>
      </c>
      <c r="D2" t="s">
        <v>5</v>
      </c>
      <c r="E2" t="s">
        <v>1</v>
      </c>
      <c r="F2" t="s">
        <v>4</v>
      </c>
      <c r="G2" t="s">
        <v>2</v>
      </c>
      <c r="H2" t="s">
        <v>0</v>
      </c>
      <c r="I2" t="s">
        <v>17</v>
      </c>
      <c r="J2" t="s">
        <v>20</v>
      </c>
      <c r="K2" t="s">
        <v>16</v>
      </c>
      <c r="L2" t="s">
        <v>18</v>
      </c>
      <c r="M2" t="s">
        <v>19</v>
      </c>
      <c r="N2" t="s">
        <v>14</v>
      </c>
      <c r="O2" t="s">
        <v>15</v>
      </c>
      <c r="P2" t="s">
        <v>23</v>
      </c>
      <c r="Q2" t="s">
        <v>22</v>
      </c>
      <c r="R2" t="s">
        <v>27</v>
      </c>
      <c r="S2" t="s">
        <v>25</v>
      </c>
      <c r="T2" t="s">
        <v>26</v>
      </c>
      <c r="U2" t="s">
        <v>24</v>
      </c>
      <c r="V2" t="s">
        <v>21</v>
      </c>
      <c r="W2" t="s">
        <v>10</v>
      </c>
      <c r="X2" t="s">
        <v>9</v>
      </c>
      <c r="Y2" t="s">
        <v>13</v>
      </c>
      <c r="Z2" t="s">
        <v>11</v>
      </c>
      <c r="AA2" t="s">
        <v>12</v>
      </c>
      <c r="AB2" t="s">
        <v>8</v>
      </c>
      <c r="AC2" t="s">
        <v>7</v>
      </c>
    </row>
    <row r="3" spans="1:29" x14ac:dyDescent="0.25">
      <c r="A3">
        <v>1</v>
      </c>
      <c r="B3" s="1">
        <f>SUM('UPS RATES'!B3-'FedEx Rates'!B2)</f>
        <v>1.9500000000000002</v>
      </c>
      <c r="C3" s="1">
        <f>SUM('UPS RATES'!C3-'FedEx Rates'!C2)</f>
        <v>1.9500000000000002</v>
      </c>
      <c r="D3" s="1">
        <f>SUM('UPS RATES'!D3-'FedEx Rates'!D2)</f>
        <v>1.9500000000000002</v>
      </c>
      <c r="E3" s="1">
        <f>SUM('UPS RATES'!E3-'FedEx Rates'!E2)</f>
        <v>1.9500000000000002</v>
      </c>
      <c r="F3" s="1">
        <f>SUM('UPS RATES'!F3-'FedEx Rates'!F2)</f>
        <v>1.9799999999999995</v>
      </c>
      <c r="G3" s="1">
        <f>SUM('UPS RATES'!G3-'FedEx Rates'!G2)</f>
        <v>2.5200000000000005</v>
      </c>
      <c r="H3" s="1">
        <f>SUM('UPS RATES'!H3-'FedEx Rates'!H2)</f>
        <v>2.6900000000000004</v>
      </c>
      <c r="I3" s="1">
        <f>SUM('UPS RATES'!I3-'FedEx Rates'!I2)</f>
        <v>2.37</v>
      </c>
      <c r="J3" s="1">
        <f>SUM('UPS RATES'!J3-'FedEx Rates'!J2)</f>
        <v>2.37</v>
      </c>
      <c r="K3" s="1">
        <f>SUM('UPS RATES'!K3-'FedEx Rates'!K2)</f>
        <v>2.37</v>
      </c>
      <c r="L3" s="1">
        <f>SUM('UPS RATES'!L3-'FedEx Rates'!L2)</f>
        <v>2.37</v>
      </c>
      <c r="M3" s="1">
        <f>SUM('UPS RATES'!M3-'FedEx Rates'!M2)</f>
        <v>3.1100000000000003</v>
      </c>
      <c r="N3" s="1">
        <f>SUM('UPS RATES'!N3-'FedEx Rates'!N2)</f>
        <v>3.9999999999999991</v>
      </c>
      <c r="O3" s="1">
        <f>SUM('UPS RATES'!O3-'FedEx Rates'!O2)</f>
        <v>4.629999999999999</v>
      </c>
      <c r="P3" s="1">
        <f>SUM('UPS RATES'!P3-'FedEx Rates'!P2)</f>
        <v>1.2800000000000002</v>
      </c>
      <c r="Q3" s="1">
        <f>SUM('UPS RATES'!Q3-'FedEx Rates'!Q2)</f>
        <v>1.2800000000000002</v>
      </c>
      <c r="R3" s="1">
        <f>SUM('UPS RATES'!R3-'FedEx Rates'!R2)</f>
        <v>1.2800000000000002</v>
      </c>
      <c r="S3" s="1">
        <f>SUM('UPS RATES'!S3-'FedEx Rates'!S2)</f>
        <v>1.2800000000000002</v>
      </c>
      <c r="T3" s="1">
        <f>SUM('UPS RATES'!T3-'FedEx Rates'!T2)</f>
        <v>1.2800000000000002</v>
      </c>
      <c r="U3" s="1">
        <f>SUM('UPS RATES'!U3-'FedEx Rates'!U2)</f>
        <v>1.2800000000000002</v>
      </c>
      <c r="V3" s="1">
        <f>SUM('UPS RATES'!V3-'FedEx Rates'!V2)</f>
        <v>1.2800000000000002</v>
      </c>
      <c r="W3" s="1">
        <f>SUM('UPS RATES'!W3-'FedEx Rates'!W2)</f>
        <v>3.5200000000000005</v>
      </c>
      <c r="X3" s="1">
        <f>SUM('UPS RATES'!X3-'FedEx Rates'!X2)</f>
        <v>3.5200000000000005</v>
      </c>
      <c r="Y3" s="1">
        <f>SUM('UPS RATES'!Y3-'FedEx Rates'!Y2)</f>
        <v>5.21</v>
      </c>
      <c r="Z3" s="1">
        <f>SUM('UPS RATES'!Z3-'FedEx Rates'!Z2)</f>
        <v>6.5900000000000007</v>
      </c>
      <c r="AA3" s="1">
        <f>SUM('UPS RATES'!AA3-'FedEx Rates'!AA2)</f>
        <v>7.3500000000000005</v>
      </c>
      <c r="AB3" s="1">
        <f>SUM('UPS RATES'!AB3-'FedEx Rates'!AB2)</f>
        <v>9.02</v>
      </c>
      <c r="AC3" s="1">
        <f>SUM('UPS RATES'!AC3-'FedEx Rates'!AC2)</f>
        <v>9.2700000000000014</v>
      </c>
    </row>
    <row r="4" spans="1:29" x14ac:dyDescent="0.25">
      <c r="A4">
        <v>2</v>
      </c>
      <c r="B4" s="1">
        <f>SUM('UPS RATES'!B4-'FedEx Rates'!B3)</f>
        <v>1.9500000000000002</v>
      </c>
      <c r="C4" s="1">
        <f>SUM('UPS RATES'!C4-'FedEx Rates'!C3)</f>
        <v>1.9500000000000002</v>
      </c>
      <c r="D4" s="1">
        <f>SUM('UPS RATES'!D4-'FedEx Rates'!D3)</f>
        <v>1.9500000000000002</v>
      </c>
      <c r="E4" s="1">
        <f>SUM('UPS RATES'!E4-'FedEx Rates'!E3)</f>
        <v>1.9500000000000002</v>
      </c>
      <c r="F4" s="1">
        <f>SUM('UPS RATES'!F4-'FedEx Rates'!F3)</f>
        <v>2.9899999999999993</v>
      </c>
      <c r="G4" s="1">
        <f>SUM('UPS RATES'!G4-'FedEx Rates'!G3)</f>
        <v>3.9799999999999995</v>
      </c>
      <c r="H4" s="1">
        <f>SUM('UPS RATES'!H4-'FedEx Rates'!H3)</f>
        <v>4.5099999999999989</v>
      </c>
      <c r="I4" s="1">
        <f>SUM('UPS RATES'!I4-'FedEx Rates'!I3)</f>
        <v>2.37</v>
      </c>
      <c r="J4" s="1">
        <f>SUM('UPS RATES'!J4-'FedEx Rates'!J3)</f>
        <v>2.37</v>
      </c>
      <c r="K4" s="1">
        <f>SUM('UPS RATES'!K4-'FedEx Rates'!K3)</f>
        <v>2.37</v>
      </c>
      <c r="L4" s="1">
        <f>SUM('UPS RATES'!L4-'FedEx Rates'!L3)</f>
        <v>2.37</v>
      </c>
      <c r="M4" s="1">
        <f>SUM('UPS RATES'!M4-'FedEx Rates'!M3)</f>
        <v>4.0599999999999996</v>
      </c>
      <c r="N4" s="1">
        <f>SUM('UPS RATES'!N4-'FedEx Rates'!N3)</f>
        <v>4.9700000000000006</v>
      </c>
      <c r="O4" s="1">
        <f>SUM('UPS RATES'!O4-'FedEx Rates'!O3)</f>
        <v>5.53</v>
      </c>
      <c r="P4" s="1">
        <f>SUM('UPS RATES'!P4-'FedEx Rates'!P3)</f>
        <v>1.2800000000000002</v>
      </c>
      <c r="Q4" s="1">
        <f>SUM('UPS RATES'!Q4-'FedEx Rates'!Q3)</f>
        <v>1.2800000000000002</v>
      </c>
      <c r="R4" s="1">
        <f>SUM('UPS RATES'!R4-'FedEx Rates'!R3)</f>
        <v>1.2800000000000002</v>
      </c>
      <c r="S4" s="1">
        <f>SUM('UPS RATES'!S4-'FedEx Rates'!S3)</f>
        <v>1.2800000000000002</v>
      </c>
      <c r="T4" s="1">
        <f>SUM('UPS RATES'!T4-'FedEx Rates'!T3)</f>
        <v>1.2800000000000002</v>
      </c>
      <c r="U4" s="1">
        <f>SUM('UPS RATES'!U4-'FedEx Rates'!U3)</f>
        <v>1.3899999999999997</v>
      </c>
      <c r="V4" s="1">
        <f>SUM('UPS RATES'!V4-'FedEx Rates'!V3)</f>
        <v>1.5300000000000002</v>
      </c>
      <c r="W4" s="1">
        <f>SUM('UPS RATES'!W4-'FedEx Rates'!W3)</f>
        <v>3.5200000000000005</v>
      </c>
      <c r="X4" s="1">
        <f>SUM('UPS RATES'!X4-'FedEx Rates'!X3)</f>
        <v>3.5200000000000005</v>
      </c>
      <c r="Y4" s="1">
        <f>SUM('UPS RATES'!Y4-'FedEx Rates'!Y3)</f>
        <v>6.4200000000000008</v>
      </c>
      <c r="Z4" s="1">
        <f>SUM('UPS RATES'!Z4-'FedEx Rates'!Z3)</f>
        <v>7.6500000000000012</v>
      </c>
      <c r="AA4" s="1">
        <f>SUM('UPS RATES'!AA4-'FedEx Rates'!AA3)</f>
        <v>8.120000000000001</v>
      </c>
      <c r="AB4" s="1">
        <f>SUM('UPS RATES'!AB4-'FedEx Rates'!AB3)</f>
        <v>9.39</v>
      </c>
      <c r="AC4" s="1">
        <f>SUM('UPS RATES'!AC4-'FedEx Rates'!AC3)</f>
        <v>10.36</v>
      </c>
    </row>
    <row r="5" spans="1:29" x14ac:dyDescent="0.25">
      <c r="A5">
        <v>3</v>
      </c>
      <c r="B5" s="1">
        <f>SUM('UPS RATES'!B5-'FedEx Rates'!B4)</f>
        <v>1.9500000000000002</v>
      </c>
      <c r="C5" s="1">
        <f>SUM('UPS RATES'!C5-'FedEx Rates'!C4)</f>
        <v>1.9500000000000002</v>
      </c>
      <c r="D5" s="1">
        <f>SUM('UPS RATES'!D5-'FedEx Rates'!D4)</f>
        <v>1.9500000000000002</v>
      </c>
      <c r="E5" s="1">
        <f>SUM('UPS RATES'!E5-'FedEx Rates'!E4)</f>
        <v>1.9500000000000002</v>
      </c>
      <c r="F5" s="1">
        <f>SUM('UPS RATES'!F5-'FedEx Rates'!F4)</f>
        <v>2.5700000000000012</v>
      </c>
      <c r="G5" s="1">
        <f>SUM('UPS RATES'!G5-'FedEx Rates'!G4)</f>
        <v>2.8699999999999992</v>
      </c>
      <c r="H5" s="1">
        <f>SUM('UPS RATES'!H5-'FedEx Rates'!H4)</f>
        <v>2.9699999999999989</v>
      </c>
      <c r="I5" s="1">
        <f>SUM('UPS RATES'!I5-'FedEx Rates'!I4)</f>
        <v>2.37</v>
      </c>
      <c r="J5" s="1">
        <f>SUM('UPS RATES'!J5-'FedEx Rates'!J4)</f>
        <v>2.37</v>
      </c>
      <c r="K5" s="1">
        <f>SUM('UPS RATES'!K5-'FedEx Rates'!K4)</f>
        <v>2.37</v>
      </c>
      <c r="L5" s="1">
        <f>SUM('UPS RATES'!L5-'FedEx Rates'!L4)</f>
        <v>3.05</v>
      </c>
      <c r="M5" s="1">
        <f>SUM('UPS RATES'!M5-'FedEx Rates'!M4)</f>
        <v>5.13</v>
      </c>
      <c r="N5" s="1">
        <f>SUM('UPS RATES'!N5-'FedEx Rates'!N4)</f>
        <v>5.5499999999999989</v>
      </c>
      <c r="O5" s="1">
        <f>SUM('UPS RATES'!O5-'FedEx Rates'!O4)</f>
        <v>6.39</v>
      </c>
      <c r="P5" s="1">
        <f>SUM('UPS RATES'!P5-'FedEx Rates'!P4)</f>
        <v>1.2800000000000002</v>
      </c>
      <c r="Q5" s="1">
        <f>SUM('UPS RATES'!Q5-'FedEx Rates'!Q4)</f>
        <v>1.2800000000000002</v>
      </c>
      <c r="R5" s="1">
        <f>SUM('UPS RATES'!R5-'FedEx Rates'!R4)</f>
        <v>1.2800000000000002</v>
      </c>
      <c r="S5" s="1">
        <f>SUM('UPS RATES'!S5-'FedEx Rates'!S4)</f>
        <v>1.33</v>
      </c>
      <c r="T5" s="1">
        <f>SUM('UPS RATES'!T5-'FedEx Rates'!T4)</f>
        <v>1.6399999999999997</v>
      </c>
      <c r="U5" s="1">
        <f>SUM('UPS RATES'!U5-'FedEx Rates'!U4)</f>
        <v>1.9000000000000004</v>
      </c>
      <c r="V5" s="1">
        <f>SUM('UPS RATES'!V5-'FedEx Rates'!V4)</f>
        <v>2.3100000000000005</v>
      </c>
      <c r="W5" s="1">
        <f>SUM('UPS RATES'!W5-'FedEx Rates'!W4)</f>
        <v>3.5200000000000005</v>
      </c>
      <c r="X5" s="1">
        <f>SUM('UPS RATES'!X5-'FedEx Rates'!X4)</f>
        <v>3.5200000000000005</v>
      </c>
      <c r="Y5" s="1">
        <f>SUM('UPS RATES'!Y5-'FedEx Rates'!Y4)</f>
        <v>7.95</v>
      </c>
      <c r="Z5" s="1">
        <f>SUM('UPS RATES'!Z5-'FedEx Rates'!Z4)</f>
        <v>9.2500000000000018</v>
      </c>
      <c r="AA5" s="1">
        <f>SUM('UPS RATES'!AA5-'FedEx Rates'!AA4)</f>
        <v>9.9600000000000009</v>
      </c>
      <c r="AB5" s="1">
        <f>SUM('UPS RATES'!AB5-'FedEx Rates'!AB4)</f>
        <v>10.930000000000001</v>
      </c>
      <c r="AC5" s="1">
        <f>SUM('UPS RATES'!AC5-'FedEx Rates'!AC4)</f>
        <v>11.32</v>
      </c>
    </row>
    <row r="6" spans="1:29" x14ac:dyDescent="0.25">
      <c r="A6">
        <v>4</v>
      </c>
      <c r="B6" s="1">
        <f>SUM('UPS RATES'!B6-'FedEx Rates'!B5)</f>
        <v>1.9500000000000002</v>
      </c>
      <c r="C6" s="1">
        <f>SUM('UPS RATES'!C6-'FedEx Rates'!C5)</f>
        <v>1.9500000000000002</v>
      </c>
      <c r="D6" s="1">
        <f>SUM('UPS RATES'!D6-'FedEx Rates'!D5)</f>
        <v>1.9500000000000002</v>
      </c>
      <c r="E6" s="1">
        <f>SUM('UPS RATES'!E6-'FedEx Rates'!E5)</f>
        <v>2.2400000000000002</v>
      </c>
      <c r="F6" s="1">
        <f>SUM('UPS RATES'!F6-'FedEx Rates'!F5)</f>
        <v>2.9400000000000013</v>
      </c>
      <c r="G6" s="1">
        <f>SUM('UPS RATES'!G6-'FedEx Rates'!G5)</f>
        <v>3.24</v>
      </c>
      <c r="H6" s="1">
        <f>SUM('UPS RATES'!H6-'FedEx Rates'!H5)</f>
        <v>3.3599999999999994</v>
      </c>
      <c r="I6" s="1">
        <f>SUM('UPS RATES'!I6-'FedEx Rates'!I5)</f>
        <v>2.37</v>
      </c>
      <c r="J6" s="1">
        <f>SUM('UPS RATES'!J6-'FedEx Rates'!J5)</f>
        <v>2.37</v>
      </c>
      <c r="K6" s="1">
        <f>SUM('UPS RATES'!K6-'FedEx Rates'!K5)</f>
        <v>2.37</v>
      </c>
      <c r="L6" s="1">
        <f>SUM('UPS RATES'!L6-'FedEx Rates'!L5)</f>
        <v>4.12</v>
      </c>
      <c r="M6" s="1">
        <f>SUM('UPS RATES'!M6-'FedEx Rates'!M5)</f>
        <v>5.44</v>
      </c>
      <c r="N6" s="1">
        <f>SUM('UPS RATES'!N6-'FedEx Rates'!N5)</f>
        <v>6.2299999999999995</v>
      </c>
      <c r="O6" s="1">
        <f>SUM('UPS RATES'!O6-'FedEx Rates'!O5)</f>
        <v>6.7800000000000011</v>
      </c>
      <c r="P6" s="1">
        <f>SUM('UPS RATES'!P6-'FedEx Rates'!P5)</f>
        <v>1.2800000000000002</v>
      </c>
      <c r="Q6" s="1">
        <f>SUM('UPS RATES'!Q6-'FedEx Rates'!Q5)</f>
        <v>1.2800000000000002</v>
      </c>
      <c r="R6" s="1">
        <f>SUM('UPS RATES'!R6-'FedEx Rates'!R5)</f>
        <v>1.2800000000000002</v>
      </c>
      <c r="S6" s="1">
        <f>SUM('UPS RATES'!S6-'FedEx Rates'!S5)</f>
        <v>1.7400000000000002</v>
      </c>
      <c r="T6" s="1">
        <f>SUM('UPS RATES'!T6-'FedEx Rates'!T5)</f>
        <v>1.9700000000000006</v>
      </c>
      <c r="U6" s="1">
        <f>SUM('UPS RATES'!U6-'FedEx Rates'!U5)</f>
        <v>2.5099999999999998</v>
      </c>
      <c r="V6" s="1">
        <f>SUM('UPS RATES'!V6-'FedEx Rates'!V5)</f>
        <v>2.91</v>
      </c>
      <c r="W6" s="1">
        <f>SUM('UPS RATES'!W6-'FedEx Rates'!W5)</f>
        <v>3.5200000000000005</v>
      </c>
      <c r="X6" s="1">
        <f>SUM('UPS RATES'!X6-'FedEx Rates'!X5)</f>
        <v>3.5599999999999996</v>
      </c>
      <c r="Y6" s="1">
        <f>SUM('UPS RATES'!Y6-'FedEx Rates'!Y5)</f>
        <v>9.23</v>
      </c>
      <c r="Z6" s="1">
        <f>SUM('UPS RATES'!Z6-'FedEx Rates'!Z5)</f>
        <v>10.14</v>
      </c>
      <c r="AA6" s="1">
        <f>SUM('UPS RATES'!AA6-'FedEx Rates'!AA5)</f>
        <v>10.509999999999998</v>
      </c>
      <c r="AB6" s="1">
        <f>SUM('UPS RATES'!AB6-'FedEx Rates'!AB5)</f>
        <v>11.880000000000003</v>
      </c>
      <c r="AC6" s="1">
        <f>SUM('UPS RATES'!AC6-'FedEx Rates'!AC5)</f>
        <v>12.32</v>
      </c>
    </row>
    <row r="7" spans="1:29" x14ac:dyDescent="0.25">
      <c r="A7">
        <v>5</v>
      </c>
      <c r="B7" s="1">
        <f>SUM('UPS RATES'!B7-'FedEx Rates'!B6)</f>
        <v>1.9500000000000002</v>
      </c>
      <c r="C7" s="1">
        <f>SUM('UPS RATES'!C7-'FedEx Rates'!C6)</f>
        <v>1.9500000000000002</v>
      </c>
      <c r="D7" s="1">
        <f>SUM('UPS RATES'!D7-'FedEx Rates'!D6)</f>
        <v>1.9500000000000002</v>
      </c>
      <c r="E7" s="1">
        <f>SUM('UPS RATES'!E7-'FedEx Rates'!E6)</f>
        <v>2.4699999999999998</v>
      </c>
      <c r="F7" s="1">
        <f>SUM('UPS RATES'!F7-'FedEx Rates'!F6)</f>
        <v>3.2800000000000011</v>
      </c>
      <c r="G7" s="1">
        <f>SUM('UPS RATES'!G7-'FedEx Rates'!G6)</f>
        <v>3.58</v>
      </c>
      <c r="H7" s="1">
        <f>SUM('UPS RATES'!H7-'FedEx Rates'!H6)</f>
        <v>3.7900000000000009</v>
      </c>
      <c r="I7" s="1">
        <f>SUM('UPS RATES'!I7-'FedEx Rates'!I6)</f>
        <v>2.37</v>
      </c>
      <c r="J7" s="1">
        <f>SUM('UPS RATES'!J7-'FedEx Rates'!J6)</f>
        <v>2.37</v>
      </c>
      <c r="K7" s="1">
        <f>SUM('UPS RATES'!K7-'FedEx Rates'!K6)</f>
        <v>2.37</v>
      </c>
      <c r="L7" s="1">
        <f>SUM('UPS RATES'!L7-'FedEx Rates'!L6)</f>
        <v>4.91</v>
      </c>
      <c r="M7" s="1">
        <f>SUM('UPS RATES'!M7-'FedEx Rates'!M6)</f>
        <v>5.95</v>
      </c>
      <c r="N7" s="1">
        <f>SUM('UPS RATES'!N7-'FedEx Rates'!N6)</f>
        <v>6.9</v>
      </c>
      <c r="O7" s="1">
        <f>SUM('UPS RATES'!O7-'FedEx Rates'!O6)</f>
        <v>7.3299999999999983</v>
      </c>
      <c r="P7" s="1">
        <f>SUM('UPS RATES'!P7-'FedEx Rates'!P6)</f>
        <v>1.2800000000000002</v>
      </c>
      <c r="Q7" s="1">
        <f>SUM('UPS RATES'!Q7-'FedEx Rates'!Q6)</f>
        <v>1.2800000000000002</v>
      </c>
      <c r="R7" s="1">
        <f>SUM('UPS RATES'!R7-'FedEx Rates'!R6)</f>
        <v>1.4500000000000002</v>
      </c>
      <c r="S7" s="1">
        <f>SUM('UPS RATES'!S7-'FedEx Rates'!S6)</f>
        <v>2.0999999999999996</v>
      </c>
      <c r="T7" s="1">
        <f>SUM('UPS RATES'!T7-'FedEx Rates'!T6)</f>
        <v>2.4399999999999995</v>
      </c>
      <c r="U7" s="1">
        <f>SUM('UPS RATES'!U7-'FedEx Rates'!U6)</f>
        <v>2.91</v>
      </c>
      <c r="V7" s="1">
        <f>SUM('UPS RATES'!V7-'FedEx Rates'!V6)</f>
        <v>3.2500000000000009</v>
      </c>
      <c r="W7" s="1">
        <f>SUM('UPS RATES'!W7-'FedEx Rates'!W6)</f>
        <v>3.5200000000000005</v>
      </c>
      <c r="X7" s="1">
        <f>SUM('UPS RATES'!X7-'FedEx Rates'!X6)</f>
        <v>3.62</v>
      </c>
      <c r="Y7" s="1">
        <f>SUM('UPS RATES'!Y7-'FedEx Rates'!Y6)</f>
        <v>9.4199999999999982</v>
      </c>
      <c r="Z7" s="1">
        <f>SUM('UPS RATES'!Z7-'FedEx Rates'!Z6)</f>
        <v>10.23</v>
      </c>
      <c r="AA7" s="1">
        <f>SUM('UPS RATES'!AA7-'FedEx Rates'!AA6)</f>
        <v>10.599999999999998</v>
      </c>
      <c r="AB7" s="1">
        <f>SUM('UPS RATES'!AB7-'FedEx Rates'!AB6)</f>
        <v>12.020000000000001</v>
      </c>
      <c r="AC7" s="1">
        <f>SUM('UPS RATES'!AC7-'FedEx Rates'!AC6)</f>
        <v>12.330000000000002</v>
      </c>
    </row>
    <row r="8" spans="1:29" x14ac:dyDescent="0.25">
      <c r="A8">
        <v>6</v>
      </c>
      <c r="B8" s="1">
        <f>SUM('UPS RATES'!B8-'FedEx Rates'!B7)</f>
        <v>1.9500000000000002</v>
      </c>
      <c r="C8" s="1">
        <f>SUM('UPS RATES'!C8-'FedEx Rates'!C7)</f>
        <v>1.9500000000000002</v>
      </c>
      <c r="D8" s="1">
        <f>SUM('UPS RATES'!D8-'FedEx Rates'!D7)</f>
        <v>1.9999999999999991</v>
      </c>
      <c r="E8" s="1">
        <f>SUM('UPS RATES'!E8-'FedEx Rates'!E7)</f>
        <v>2.6899999999999995</v>
      </c>
      <c r="F8" s="1">
        <f>SUM('UPS RATES'!F8-'FedEx Rates'!F7)</f>
        <v>3.6199999999999992</v>
      </c>
      <c r="G8" s="1">
        <f>SUM('UPS RATES'!G8-'FedEx Rates'!G7)</f>
        <v>3.9799999999999986</v>
      </c>
      <c r="H8" s="1">
        <f>SUM('UPS RATES'!H8-'FedEx Rates'!H7)</f>
        <v>4.1499999999999986</v>
      </c>
      <c r="I8" s="1">
        <f>SUM('UPS RATES'!I8-'FedEx Rates'!I7)</f>
        <v>2.37</v>
      </c>
      <c r="J8" s="1">
        <f>SUM('UPS RATES'!J8-'FedEx Rates'!J7)</f>
        <v>2.37</v>
      </c>
      <c r="K8" s="1">
        <f>SUM('UPS RATES'!K8-'FedEx Rates'!K7)</f>
        <v>2.7800000000000002</v>
      </c>
      <c r="L8" s="1">
        <f>SUM('UPS RATES'!L8-'FedEx Rates'!L7)</f>
        <v>4.8499999999999996</v>
      </c>
      <c r="M8" s="1">
        <f>SUM('UPS RATES'!M8-'FedEx Rates'!M7)</f>
        <v>6.6199999999999992</v>
      </c>
      <c r="N8" s="1">
        <f>SUM('UPS RATES'!N8-'FedEx Rates'!N7)</f>
        <v>7.6399999999999988</v>
      </c>
      <c r="O8" s="1">
        <f>SUM('UPS RATES'!O8-'FedEx Rates'!O7)</f>
        <v>7.3699999999999992</v>
      </c>
      <c r="P8" s="1">
        <f>SUM('UPS RATES'!P8-'FedEx Rates'!P7)</f>
        <v>1.2800000000000002</v>
      </c>
      <c r="Q8" s="1">
        <f>SUM('UPS RATES'!Q8-'FedEx Rates'!Q7)</f>
        <v>1.2800000000000002</v>
      </c>
      <c r="R8" s="1">
        <f>SUM('UPS RATES'!R8-'FedEx Rates'!R7)</f>
        <v>1.2800000000000002</v>
      </c>
      <c r="S8" s="1">
        <f>SUM('UPS RATES'!S8-'FedEx Rates'!S7)</f>
        <v>1.8200000000000003</v>
      </c>
      <c r="T8" s="1">
        <f>SUM('UPS RATES'!T8-'FedEx Rates'!T7)</f>
        <v>2.1099999999999994</v>
      </c>
      <c r="U8" s="1">
        <f>SUM('UPS RATES'!U8-'FedEx Rates'!U7)</f>
        <v>2.5700000000000003</v>
      </c>
      <c r="V8" s="1">
        <f>SUM('UPS RATES'!V8-'FedEx Rates'!V7)</f>
        <v>2.8899999999999997</v>
      </c>
      <c r="W8" s="1">
        <f>SUM('UPS RATES'!W8-'FedEx Rates'!W7)</f>
        <v>3.5200000000000005</v>
      </c>
      <c r="X8" s="1">
        <f>SUM('UPS RATES'!X8-'FedEx Rates'!X7)</f>
        <v>4.8099999999999996</v>
      </c>
      <c r="Y8" s="1">
        <f>SUM('UPS RATES'!Y8-'FedEx Rates'!Y7)</f>
        <v>10.59</v>
      </c>
      <c r="Z8" s="1">
        <f>SUM('UPS RATES'!Z8-'FedEx Rates'!Z7)</f>
        <v>11.97</v>
      </c>
      <c r="AA8" s="1">
        <f>SUM('UPS RATES'!AA8-'FedEx Rates'!AA7)</f>
        <v>12.51</v>
      </c>
      <c r="AB8" s="1">
        <f>SUM('UPS RATES'!AB8-'FedEx Rates'!AB7)</f>
        <v>13.809999999999999</v>
      </c>
      <c r="AC8" s="1">
        <f>SUM('UPS RATES'!AC8-'FedEx Rates'!AC7)</f>
        <v>14.399999999999999</v>
      </c>
    </row>
    <row r="9" spans="1:29" x14ac:dyDescent="0.25">
      <c r="A9">
        <v>7</v>
      </c>
      <c r="B9" s="1">
        <f>SUM('UPS RATES'!B9-'FedEx Rates'!B8)</f>
        <v>1.9500000000000002</v>
      </c>
      <c r="C9" s="1">
        <f>SUM('UPS RATES'!C9-'FedEx Rates'!C8)</f>
        <v>1.9500000000000002</v>
      </c>
      <c r="D9" s="1">
        <f>SUM('UPS RATES'!D9-'FedEx Rates'!D8)</f>
        <v>2.1700000000000008</v>
      </c>
      <c r="E9" s="1">
        <f>SUM('UPS RATES'!E9-'FedEx Rates'!E8)</f>
        <v>2.9399999999999995</v>
      </c>
      <c r="F9" s="1">
        <f>SUM('UPS RATES'!F9-'FedEx Rates'!F8)</f>
        <v>4.0699999999999985</v>
      </c>
      <c r="G9" s="1">
        <f>SUM('UPS RATES'!G9-'FedEx Rates'!G8)</f>
        <v>4.3500000000000014</v>
      </c>
      <c r="H9" s="1">
        <f>SUM('UPS RATES'!H9-'FedEx Rates'!H8)</f>
        <v>4.5299999999999994</v>
      </c>
      <c r="I9" s="1">
        <f>SUM('UPS RATES'!I9-'FedEx Rates'!I8)</f>
        <v>2.37</v>
      </c>
      <c r="J9" s="1">
        <f>SUM('UPS RATES'!J9-'FedEx Rates'!J8)</f>
        <v>2.4699999999999998</v>
      </c>
      <c r="K9" s="1">
        <f>SUM('UPS RATES'!K9-'FedEx Rates'!K8)</f>
        <v>3.2</v>
      </c>
      <c r="L9" s="1">
        <f>SUM('UPS RATES'!L9-'FedEx Rates'!L8)</f>
        <v>5.4900000000000011</v>
      </c>
      <c r="M9" s="1">
        <f>SUM('UPS RATES'!M9-'FedEx Rates'!M8)</f>
        <v>7.43</v>
      </c>
      <c r="N9" s="1">
        <f>SUM('UPS RATES'!N9-'FedEx Rates'!N8)</f>
        <v>8.6199999999999992</v>
      </c>
      <c r="O9" s="1">
        <f>SUM('UPS RATES'!O9-'FedEx Rates'!O8)</f>
        <v>8.7900000000000009</v>
      </c>
      <c r="P9" s="1">
        <f>SUM('UPS RATES'!P9-'FedEx Rates'!P8)</f>
        <v>1.2800000000000002</v>
      </c>
      <c r="Q9" s="1">
        <f>SUM('UPS RATES'!Q9-'FedEx Rates'!Q8)</f>
        <v>1.2800000000000002</v>
      </c>
      <c r="R9" s="1">
        <f>SUM('UPS RATES'!R9-'FedEx Rates'!R8)</f>
        <v>1.42</v>
      </c>
      <c r="S9" s="1">
        <f>SUM('UPS RATES'!S9-'FedEx Rates'!S8)</f>
        <v>2.08</v>
      </c>
      <c r="T9" s="1">
        <f>SUM('UPS RATES'!T9-'FedEx Rates'!T8)</f>
        <v>2.2699999999999996</v>
      </c>
      <c r="U9" s="1">
        <f>SUM('UPS RATES'!U9-'FedEx Rates'!U8)</f>
        <v>2.7900000000000009</v>
      </c>
      <c r="V9" s="1">
        <f>SUM('UPS RATES'!V9-'FedEx Rates'!V8)</f>
        <v>2.9999999999999991</v>
      </c>
      <c r="W9" s="1">
        <f>SUM('UPS RATES'!W9-'FedEx Rates'!W8)</f>
        <v>3.5200000000000005</v>
      </c>
      <c r="X9" s="1">
        <f>SUM('UPS RATES'!X9-'FedEx Rates'!X8)</f>
        <v>5.46</v>
      </c>
      <c r="Y9" s="1">
        <f>SUM('UPS RATES'!Y9-'FedEx Rates'!Y8)</f>
        <v>11.07</v>
      </c>
      <c r="Z9" s="1">
        <f>SUM('UPS RATES'!Z9-'FedEx Rates'!Z8)</f>
        <v>12.55</v>
      </c>
      <c r="AA9" s="1">
        <f>SUM('UPS RATES'!AA9-'FedEx Rates'!AA8)</f>
        <v>13.030000000000001</v>
      </c>
      <c r="AB9" s="1">
        <f>SUM('UPS RATES'!AB9-'FedEx Rates'!AB8)</f>
        <v>14.410000000000002</v>
      </c>
      <c r="AC9" s="1">
        <f>SUM('UPS RATES'!AC9-'FedEx Rates'!AC8)</f>
        <v>15.38</v>
      </c>
    </row>
    <row r="10" spans="1:29" x14ac:dyDescent="0.25">
      <c r="A10">
        <v>8</v>
      </c>
      <c r="B10" s="1">
        <f>SUM('UPS RATES'!B10-'FedEx Rates'!B9)</f>
        <v>1.9500000000000002</v>
      </c>
      <c r="C10" s="1">
        <f>SUM('UPS RATES'!C10-'FedEx Rates'!C9)</f>
        <v>1.9500000000000002</v>
      </c>
      <c r="D10" s="1">
        <f>SUM('UPS RATES'!D10-'FedEx Rates'!D9)</f>
        <v>2.3100000000000005</v>
      </c>
      <c r="E10" s="1">
        <f>SUM('UPS RATES'!E10-'FedEx Rates'!E9)</f>
        <v>3.2100000000000009</v>
      </c>
      <c r="F10" s="1">
        <f>SUM('UPS RATES'!F10-'FedEx Rates'!F9)</f>
        <v>4.4699999999999989</v>
      </c>
      <c r="G10" s="1">
        <f>SUM('UPS RATES'!G10-'FedEx Rates'!G9)</f>
        <v>4.7899999999999991</v>
      </c>
      <c r="H10" s="1">
        <f>SUM('UPS RATES'!H10-'FedEx Rates'!H9)</f>
        <v>4.99</v>
      </c>
      <c r="I10" s="1">
        <f>SUM('UPS RATES'!I10-'FedEx Rates'!I9)</f>
        <v>2.37</v>
      </c>
      <c r="J10" s="1">
        <f>SUM('UPS RATES'!J10-'FedEx Rates'!J9)</f>
        <v>3.1399999999999997</v>
      </c>
      <c r="K10" s="1">
        <f>SUM('UPS RATES'!K10-'FedEx Rates'!K9)</f>
        <v>3.74</v>
      </c>
      <c r="L10" s="1">
        <f>SUM('UPS RATES'!L10-'FedEx Rates'!L9)</f>
        <v>5.85</v>
      </c>
      <c r="M10" s="1">
        <f>SUM('UPS RATES'!M10-'FedEx Rates'!M9)</f>
        <v>7.75</v>
      </c>
      <c r="N10" s="1">
        <f>SUM('UPS RATES'!N10-'FedEx Rates'!N9)</f>
        <v>9.0299999999999994</v>
      </c>
      <c r="O10" s="1">
        <f>SUM('UPS RATES'!O10-'FedEx Rates'!O9)</f>
        <v>9.5299999999999994</v>
      </c>
      <c r="P10" s="1">
        <f>SUM('UPS RATES'!P10-'FedEx Rates'!P9)</f>
        <v>1.2800000000000002</v>
      </c>
      <c r="Q10" s="1">
        <f>SUM('UPS RATES'!Q10-'FedEx Rates'!Q9)</f>
        <v>1.2800000000000002</v>
      </c>
      <c r="R10" s="1">
        <f>SUM('UPS RATES'!R10-'FedEx Rates'!R9)</f>
        <v>1.6900000000000004</v>
      </c>
      <c r="S10" s="1">
        <f>SUM('UPS RATES'!S10-'FedEx Rates'!S9)</f>
        <v>2.3100000000000005</v>
      </c>
      <c r="T10" s="1">
        <f>SUM('UPS RATES'!T10-'FedEx Rates'!T9)</f>
        <v>2.6099999999999994</v>
      </c>
      <c r="U10" s="1">
        <f>SUM('UPS RATES'!U10-'FedEx Rates'!U9)</f>
        <v>2.91</v>
      </c>
      <c r="V10" s="1">
        <f>SUM('UPS RATES'!V10-'FedEx Rates'!V9)</f>
        <v>3.1199999999999992</v>
      </c>
      <c r="W10" s="1">
        <f>SUM('UPS RATES'!W10-'FedEx Rates'!W9)</f>
        <v>3.5200000000000005</v>
      </c>
      <c r="X10" s="1">
        <f>SUM('UPS RATES'!X10-'FedEx Rates'!X9)</f>
        <v>5.53</v>
      </c>
      <c r="Y10" s="1">
        <f>SUM('UPS RATES'!Y10-'FedEx Rates'!Y9)</f>
        <v>11.430000000000001</v>
      </c>
      <c r="Z10" s="1">
        <f>SUM('UPS RATES'!Z10-'FedEx Rates'!Z9)</f>
        <v>13.040000000000001</v>
      </c>
      <c r="AA10" s="1">
        <f>SUM('UPS RATES'!AA10-'FedEx Rates'!AA9)</f>
        <v>13.639999999999999</v>
      </c>
      <c r="AB10" s="1">
        <f>SUM('UPS RATES'!AB10-'FedEx Rates'!AB9)</f>
        <v>15.26</v>
      </c>
      <c r="AC10" s="1">
        <f>SUM('UPS RATES'!AC10-'FedEx Rates'!AC9)</f>
        <v>15.850000000000001</v>
      </c>
    </row>
    <row r="11" spans="1:29" x14ac:dyDescent="0.25">
      <c r="A11">
        <v>9</v>
      </c>
      <c r="B11" s="1">
        <f>SUM('UPS RATES'!B11-'FedEx Rates'!B10)</f>
        <v>1.9500000000000002</v>
      </c>
      <c r="C11" s="1">
        <f>SUM('UPS RATES'!C11-'FedEx Rates'!C10)</f>
        <v>1.9599999999999991</v>
      </c>
      <c r="D11" s="1">
        <f>SUM('UPS RATES'!D11-'FedEx Rates'!D10)</f>
        <v>2.5</v>
      </c>
      <c r="E11" s="1">
        <f>SUM('UPS RATES'!E11-'FedEx Rates'!E10)</f>
        <v>3.4499999999999993</v>
      </c>
      <c r="F11" s="1">
        <f>SUM('UPS RATES'!F11-'FedEx Rates'!F10)</f>
        <v>4.83</v>
      </c>
      <c r="G11" s="1">
        <f>SUM('UPS RATES'!G11-'FedEx Rates'!G10)</f>
        <v>5.25</v>
      </c>
      <c r="H11" s="1">
        <f>SUM('UPS RATES'!H11-'FedEx Rates'!H10)</f>
        <v>5.4499999999999993</v>
      </c>
      <c r="I11" s="1">
        <f>SUM('UPS RATES'!I11-'FedEx Rates'!I10)</f>
        <v>2.37</v>
      </c>
      <c r="J11" s="1">
        <f>SUM('UPS RATES'!J11-'FedEx Rates'!J10)</f>
        <v>3.55</v>
      </c>
      <c r="K11" s="1">
        <f>SUM('UPS RATES'!K11-'FedEx Rates'!K10)</f>
        <v>3.9499999999999993</v>
      </c>
      <c r="L11" s="1">
        <f>SUM('UPS RATES'!L11-'FedEx Rates'!L10)</f>
        <v>5.7899999999999991</v>
      </c>
      <c r="M11" s="1">
        <f>SUM('UPS RATES'!M11-'FedEx Rates'!M10)</f>
        <v>8.0300000000000011</v>
      </c>
      <c r="N11" s="1">
        <f>SUM('UPS RATES'!N11-'FedEx Rates'!N10)</f>
        <v>9.2199999999999989</v>
      </c>
      <c r="O11" s="1">
        <f>SUM('UPS RATES'!O11-'FedEx Rates'!O10)</f>
        <v>9.4700000000000006</v>
      </c>
      <c r="P11" s="1">
        <f>SUM('UPS RATES'!P11-'FedEx Rates'!P10)</f>
        <v>1.2800000000000002</v>
      </c>
      <c r="Q11" s="1">
        <f>SUM('UPS RATES'!Q11-'FedEx Rates'!Q10)</f>
        <v>1.2800000000000002</v>
      </c>
      <c r="R11" s="1">
        <f>SUM('UPS RATES'!R11-'FedEx Rates'!R10)</f>
        <v>1.7199999999999998</v>
      </c>
      <c r="S11" s="1">
        <f>SUM('UPS RATES'!S11-'FedEx Rates'!S10)</f>
        <v>2.3900000000000006</v>
      </c>
      <c r="T11" s="1">
        <f>SUM('UPS RATES'!T11-'FedEx Rates'!T10)</f>
        <v>2.7900000000000009</v>
      </c>
      <c r="U11" s="1">
        <f>SUM('UPS RATES'!U11-'FedEx Rates'!U10)</f>
        <v>3.0300000000000002</v>
      </c>
      <c r="V11" s="1">
        <f>SUM('UPS RATES'!V11-'FedEx Rates'!V10)</f>
        <v>3.2800000000000002</v>
      </c>
      <c r="W11" s="1">
        <f>SUM('UPS RATES'!W11-'FedEx Rates'!W10)</f>
        <v>3.5200000000000005</v>
      </c>
      <c r="X11" s="1">
        <f>SUM('UPS RATES'!X11-'FedEx Rates'!X10)</f>
        <v>5.63</v>
      </c>
      <c r="Y11" s="1">
        <f>SUM('UPS RATES'!Y11-'FedEx Rates'!Y10)</f>
        <v>11.97</v>
      </c>
      <c r="Z11" s="1">
        <f>SUM('UPS RATES'!Z11-'FedEx Rates'!Z10)</f>
        <v>13.099999999999998</v>
      </c>
      <c r="AA11" s="1">
        <f>SUM('UPS RATES'!AA11-'FedEx Rates'!AA10)</f>
        <v>13.7</v>
      </c>
      <c r="AB11" s="1">
        <f>SUM('UPS RATES'!AB11-'FedEx Rates'!AB10)</f>
        <v>15.350000000000001</v>
      </c>
      <c r="AC11" s="1">
        <f>SUM('UPS RATES'!AC11-'FedEx Rates'!AC10)</f>
        <v>15.909999999999998</v>
      </c>
    </row>
    <row r="12" spans="1:29" x14ac:dyDescent="0.25">
      <c r="A12">
        <v>10</v>
      </c>
      <c r="B12" s="1">
        <f>SUM('UPS RATES'!B12-'FedEx Rates'!B11)</f>
        <v>1.9500000000000002</v>
      </c>
      <c r="C12" s="1">
        <f>SUM('UPS RATES'!C12-'FedEx Rates'!C11)</f>
        <v>2.08</v>
      </c>
      <c r="D12" s="1">
        <f>SUM('UPS RATES'!D12-'FedEx Rates'!D11)</f>
        <v>2.6899999999999995</v>
      </c>
      <c r="E12" s="1">
        <f>SUM('UPS RATES'!E12-'FedEx Rates'!E11)</f>
        <v>3.6899999999999995</v>
      </c>
      <c r="F12" s="1">
        <f>SUM('UPS RATES'!F12-'FedEx Rates'!F11)</f>
        <v>5.23</v>
      </c>
      <c r="G12" s="1">
        <f>SUM('UPS RATES'!G12-'FedEx Rates'!G11)</f>
        <v>5.7100000000000009</v>
      </c>
      <c r="H12" s="1">
        <f>SUM('UPS RATES'!H12-'FedEx Rates'!H11)</f>
        <v>5.9200000000000017</v>
      </c>
      <c r="I12" s="1">
        <f>SUM('UPS RATES'!I12-'FedEx Rates'!I11)</f>
        <v>2.37</v>
      </c>
      <c r="J12" s="1">
        <f>SUM('UPS RATES'!J12-'FedEx Rates'!J11)</f>
        <v>3.8400000000000007</v>
      </c>
      <c r="K12" s="1">
        <f>SUM('UPS RATES'!K12-'FedEx Rates'!K11)</f>
        <v>3.9800000000000004</v>
      </c>
      <c r="L12" s="1">
        <f>SUM('UPS RATES'!L12-'FedEx Rates'!L11)</f>
        <v>6.0500000000000007</v>
      </c>
      <c r="M12" s="1">
        <f>SUM('UPS RATES'!M12-'FedEx Rates'!M11)</f>
        <v>8.33</v>
      </c>
      <c r="N12" s="1">
        <f>SUM('UPS RATES'!N12-'FedEx Rates'!N11)</f>
        <v>9.9299999999999979</v>
      </c>
      <c r="O12" s="1">
        <f>SUM('UPS RATES'!O12-'FedEx Rates'!O11)</f>
        <v>10.059999999999999</v>
      </c>
      <c r="P12" s="1">
        <f>SUM('UPS RATES'!P12-'FedEx Rates'!P11)</f>
        <v>1.2800000000000002</v>
      </c>
      <c r="Q12" s="1">
        <f>SUM('UPS RATES'!Q12-'FedEx Rates'!Q11)</f>
        <v>1.2800000000000002</v>
      </c>
      <c r="R12" s="1">
        <f>SUM('UPS RATES'!R12-'FedEx Rates'!R11)</f>
        <v>1.8000000000000007</v>
      </c>
      <c r="S12" s="1">
        <f>SUM('UPS RATES'!S12-'FedEx Rates'!S11)</f>
        <v>2.5999999999999996</v>
      </c>
      <c r="T12" s="1">
        <f>SUM('UPS RATES'!T12-'FedEx Rates'!T11)</f>
        <v>2.8200000000000003</v>
      </c>
      <c r="U12" s="1">
        <f>SUM('UPS RATES'!U12-'FedEx Rates'!U11)</f>
        <v>3.1799999999999997</v>
      </c>
      <c r="V12" s="1">
        <f>SUM('UPS RATES'!V12-'FedEx Rates'!V11)</f>
        <v>3.5</v>
      </c>
      <c r="W12" s="1">
        <f>SUM('UPS RATES'!W12-'FedEx Rates'!W11)</f>
        <v>3.5200000000000005</v>
      </c>
      <c r="X12" s="1">
        <f>SUM('UPS RATES'!X12-'FedEx Rates'!X11)</f>
        <v>5.8</v>
      </c>
      <c r="Y12" s="1">
        <f>SUM('UPS RATES'!Y12-'FedEx Rates'!Y11)</f>
        <v>12.09</v>
      </c>
      <c r="Z12" s="1">
        <f>SUM('UPS RATES'!Z12-'FedEx Rates'!Z11)</f>
        <v>13.14</v>
      </c>
      <c r="AA12" s="1">
        <f>SUM('UPS RATES'!AA12-'FedEx Rates'!AA11)</f>
        <v>13.889999999999999</v>
      </c>
      <c r="AB12" s="1">
        <f>SUM('UPS RATES'!AB12-'FedEx Rates'!AB11)</f>
        <v>15.489999999999998</v>
      </c>
      <c r="AC12" s="1">
        <f>SUM('UPS RATES'!AC12-'FedEx Rates'!AC11)</f>
        <v>16.04</v>
      </c>
    </row>
    <row r="13" spans="1:29" x14ac:dyDescent="0.25">
      <c r="A13">
        <v>11</v>
      </c>
      <c r="B13" s="1">
        <f>SUM('UPS RATES'!B13-'FedEx Rates'!B12)</f>
        <v>1.9500000000000002</v>
      </c>
      <c r="C13" s="1">
        <f>SUM('UPS RATES'!C13-'FedEx Rates'!C12)</f>
        <v>2.2100000000000009</v>
      </c>
      <c r="D13" s="1">
        <f>SUM('UPS RATES'!D13-'FedEx Rates'!D12)</f>
        <v>2.8200000000000003</v>
      </c>
      <c r="E13" s="1">
        <f>SUM('UPS RATES'!E13-'FedEx Rates'!E12)</f>
        <v>3.9400000000000013</v>
      </c>
      <c r="F13" s="1">
        <f>SUM('UPS RATES'!F13-'FedEx Rates'!F12)</f>
        <v>5.5999999999999979</v>
      </c>
      <c r="G13" s="1">
        <f>SUM('UPS RATES'!G13-'FedEx Rates'!G12)</f>
        <v>6.16</v>
      </c>
      <c r="H13" s="1">
        <f>SUM('UPS RATES'!H13-'FedEx Rates'!H12)</f>
        <v>6.3900000000000006</v>
      </c>
      <c r="I13" s="1">
        <f>SUM('UPS RATES'!I13-'FedEx Rates'!I12)</f>
        <v>2.4300000000000006</v>
      </c>
      <c r="J13" s="1">
        <f>SUM('UPS RATES'!J13-'FedEx Rates'!J12)</f>
        <v>3.7700000000000005</v>
      </c>
      <c r="K13" s="1">
        <f>SUM('UPS RATES'!K13-'FedEx Rates'!K12)</f>
        <v>4.26</v>
      </c>
      <c r="L13" s="1">
        <f>SUM('UPS RATES'!L13-'FedEx Rates'!L12)</f>
        <v>6.25</v>
      </c>
      <c r="M13" s="1">
        <f>SUM('UPS RATES'!M13-'FedEx Rates'!M12)</f>
        <v>9.1300000000000008</v>
      </c>
      <c r="N13" s="1">
        <f>SUM('UPS RATES'!N13-'FedEx Rates'!N12)</f>
        <v>10.180000000000001</v>
      </c>
      <c r="O13" s="1">
        <f>SUM('UPS RATES'!O13-'FedEx Rates'!O12)</f>
        <v>10.48</v>
      </c>
      <c r="P13" s="1">
        <f>SUM('UPS RATES'!P13-'FedEx Rates'!P12)</f>
        <v>1.2800000000000002</v>
      </c>
      <c r="Q13" s="1">
        <f>SUM('UPS RATES'!Q13-'FedEx Rates'!Q12)</f>
        <v>1.2800000000000002</v>
      </c>
      <c r="R13" s="1">
        <f>SUM('UPS RATES'!R13-'FedEx Rates'!R12)</f>
        <v>1.58</v>
      </c>
      <c r="S13" s="1">
        <f>SUM('UPS RATES'!S13-'FedEx Rates'!S12)</f>
        <v>2.2699999999999996</v>
      </c>
      <c r="T13" s="1">
        <f>SUM('UPS RATES'!T13-'FedEx Rates'!T12)</f>
        <v>2.5</v>
      </c>
      <c r="U13" s="1">
        <f>SUM('UPS RATES'!U13-'FedEx Rates'!U12)</f>
        <v>2.9599999999999991</v>
      </c>
      <c r="V13" s="1">
        <f>SUM('UPS RATES'!V13-'FedEx Rates'!V12)</f>
        <v>3.1999999999999993</v>
      </c>
      <c r="W13" s="1">
        <f>SUM('UPS RATES'!W13-'FedEx Rates'!W12)</f>
        <v>3.5599999999999996</v>
      </c>
      <c r="X13" s="1">
        <f>SUM('UPS RATES'!X13-'FedEx Rates'!X12)</f>
        <v>8.2100000000000009</v>
      </c>
      <c r="Y13" s="1">
        <f>SUM('UPS RATES'!Y13-'FedEx Rates'!Y12)</f>
        <v>14.75</v>
      </c>
      <c r="Z13" s="1">
        <f>SUM('UPS RATES'!Z13-'FedEx Rates'!Z12)</f>
        <v>16.599999999999998</v>
      </c>
      <c r="AA13" s="1">
        <f>SUM('UPS RATES'!AA13-'FedEx Rates'!AA12)</f>
        <v>17.559999999999999</v>
      </c>
      <c r="AB13" s="1">
        <f>SUM('UPS RATES'!AB13-'FedEx Rates'!AB12)</f>
        <v>18.46</v>
      </c>
      <c r="AC13" s="1">
        <f>SUM('UPS RATES'!AC13-'FedEx Rates'!AC12)</f>
        <v>18.819999999999997</v>
      </c>
    </row>
    <row r="14" spans="1:29" x14ac:dyDescent="0.25">
      <c r="A14">
        <v>12</v>
      </c>
      <c r="B14" s="1">
        <f>SUM('UPS RATES'!B14-'FedEx Rates'!B13)</f>
        <v>1.9299999999999997</v>
      </c>
      <c r="C14" s="1">
        <f>SUM('UPS RATES'!C14-'FedEx Rates'!C13)</f>
        <v>2.3499999999999996</v>
      </c>
      <c r="D14" s="1">
        <f>SUM('UPS RATES'!D14-'FedEx Rates'!D13)</f>
        <v>2.9800000000000004</v>
      </c>
      <c r="E14" s="1">
        <f>SUM('UPS RATES'!E14-'FedEx Rates'!E13)</f>
        <v>4.1600000000000019</v>
      </c>
      <c r="F14" s="1">
        <f>SUM('UPS RATES'!F14-'FedEx Rates'!F13)</f>
        <v>6.0300000000000011</v>
      </c>
      <c r="G14" s="1">
        <f>SUM('UPS RATES'!G14-'FedEx Rates'!G13)</f>
        <v>6.629999999999999</v>
      </c>
      <c r="H14" s="1">
        <f>SUM('UPS RATES'!H14-'FedEx Rates'!H13)</f>
        <v>6.9699999999999989</v>
      </c>
      <c r="I14" s="1">
        <f>SUM('UPS RATES'!I14-'FedEx Rates'!I13)</f>
        <v>2.88</v>
      </c>
      <c r="J14" s="1">
        <f>SUM('UPS RATES'!J14-'FedEx Rates'!J13)</f>
        <v>3.6800000000000006</v>
      </c>
      <c r="K14" s="1">
        <f>SUM('UPS RATES'!K14-'FedEx Rates'!K13)</f>
        <v>4.0600000000000005</v>
      </c>
      <c r="L14" s="1">
        <f>SUM('UPS RATES'!L14-'FedEx Rates'!L13)</f>
        <v>6.3699999999999992</v>
      </c>
      <c r="M14" s="1">
        <f>SUM('UPS RATES'!M14-'FedEx Rates'!M13)</f>
        <v>9.76</v>
      </c>
      <c r="N14" s="1">
        <f>SUM('UPS RATES'!N14-'FedEx Rates'!N13)</f>
        <v>10.459999999999999</v>
      </c>
      <c r="O14" s="1">
        <f>SUM('UPS RATES'!O14-'FedEx Rates'!O13)</f>
        <v>11.190000000000001</v>
      </c>
      <c r="P14" s="1">
        <f>SUM('UPS RATES'!P14-'FedEx Rates'!P13)</f>
        <v>1.2800000000000002</v>
      </c>
      <c r="Q14" s="1">
        <f>SUM('UPS RATES'!Q14-'FedEx Rates'!Q13)</f>
        <v>1.2800000000000002</v>
      </c>
      <c r="R14" s="1">
        <f>SUM('UPS RATES'!R14-'FedEx Rates'!R13)</f>
        <v>1.6600000000000001</v>
      </c>
      <c r="S14" s="1">
        <f>SUM('UPS RATES'!S14-'FedEx Rates'!S13)</f>
        <v>2.3699999999999992</v>
      </c>
      <c r="T14" s="1">
        <f>SUM('UPS RATES'!T14-'FedEx Rates'!T13)</f>
        <v>2.59</v>
      </c>
      <c r="U14" s="1">
        <f>SUM('UPS RATES'!U14-'FedEx Rates'!U13)</f>
        <v>3.0699999999999994</v>
      </c>
      <c r="V14" s="1">
        <f>SUM('UPS RATES'!V14-'FedEx Rates'!V13)</f>
        <v>3.3599999999999994</v>
      </c>
      <c r="W14" s="1">
        <f>SUM('UPS RATES'!W14-'FedEx Rates'!W13)</f>
        <v>3.830000000000001</v>
      </c>
      <c r="X14" s="1">
        <f>SUM('UPS RATES'!X14-'FedEx Rates'!X13)</f>
        <v>8.6700000000000017</v>
      </c>
      <c r="Y14" s="1">
        <f>SUM('UPS RATES'!Y14-'FedEx Rates'!Y13)</f>
        <v>15.08</v>
      </c>
      <c r="Z14" s="1">
        <f>SUM('UPS RATES'!Z14-'FedEx Rates'!Z13)</f>
        <v>17.380000000000003</v>
      </c>
      <c r="AA14" s="1">
        <f>SUM('UPS RATES'!AA14-'FedEx Rates'!AA13)</f>
        <v>18.41</v>
      </c>
      <c r="AB14" s="1">
        <f>SUM('UPS RATES'!AB14-'FedEx Rates'!AB13)</f>
        <v>18.829999999999998</v>
      </c>
      <c r="AC14" s="1">
        <f>SUM('UPS RATES'!AC14-'FedEx Rates'!AC13)</f>
        <v>19.220000000000002</v>
      </c>
    </row>
    <row r="15" spans="1:29" x14ac:dyDescent="0.25">
      <c r="A15">
        <v>13</v>
      </c>
      <c r="B15" s="1">
        <f>SUM('UPS RATES'!B15-'FedEx Rates'!B14)</f>
        <v>2.0700000000000003</v>
      </c>
      <c r="C15" s="1">
        <f>SUM('UPS RATES'!C15-'FedEx Rates'!C14)</f>
        <v>2.4699999999999998</v>
      </c>
      <c r="D15" s="1">
        <f>SUM('UPS RATES'!D15-'FedEx Rates'!D14)</f>
        <v>3.0999999999999996</v>
      </c>
      <c r="E15" s="1">
        <f>SUM('UPS RATES'!E15-'FedEx Rates'!E14)</f>
        <v>4.4099999999999984</v>
      </c>
      <c r="F15" s="1">
        <f>SUM('UPS RATES'!F15-'FedEx Rates'!F14)</f>
        <v>6.43</v>
      </c>
      <c r="G15" s="1">
        <f>SUM('UPS RATES'!G15-'FedEx Rates'!G14)</f>
        <v>6.93</v>
      </c>
      <c r="H15" s="1">
        <f>SUM('UPS RATES'!H15-'FedEx Rates'!H14)</f>
        <v>7.2399999999999984</v>
      </c>
      <c r="I15" s="1">
        <f>SUM('UPS RATES'!I15-'FedEx Rates'!I14)</f>
        <v>2.8600000000000003</v>
      </c>
      <c r="J15" s="1">
        <f>SUM('UPS RATES'!J15-'FedEx Rates'!J14)</f>
        <v>3.7999999999999989</v>
      </c>
      <c r="K15" s="1">
        <f>SUM('UPS RATES'!K15-'FedEx Rates'!K14)</f>
        <v>4.09</v>
      </c>
      <c r="L15" s="1">
        <f>SUM('UPS RATES'!L15-'FedEx Rates'!L14)</f>
        <v>6.3100000000000005</v>
      </c>
      <c r="M15" s="1">
        <f>SUM('UPS RATES'!M15-'FedEx Rates'!M14)</f>
        <v>9.8199999999999985</v>
      </c>
      <c r="N15" s="1">
        <f>SUM('UPS RATES'!N15-'FedEx Rates'!N14)</f>
        <v>10.649999999999999</v>
      </c>
      <c r="O15" s="1">
        <f>SUM('UPS RATES'!O15-'FedEx Rates'!O14)</f>
        <v>11.93</v>
      </c>
      <c r="P15" s="1">
        <f>SUM('UPS RATES'!P15-'FedEx Rates'!P14)</f>
        <v>1.2800000000000002</v>
      </c>
      <c r="Q15" s="1">
        <f>SUM('UPS RATES'!Q15-'FedEx Rates'!Q14)</f>
        <v>1.2800000000000002</v>
      </c>
      <c r="R15" s="1">
        <f>SUM('UPS RATES'!R15-'FedEx Rates'!R14)</f>
        <v>1.75</v>
      </c>
      <c r="S15" s="1">
        <f>SUM('UPS RATES'!S15-'FedEx Rates'!S14)</f>
        <v>2.4499999999999993</v>
      </c>
      <c r="T15" s="1">
        <f>SUM('UPS RATES'!T15-'FedEx Rates'!T14)</f>
        <v>2.669999999999999</v>
      </c>
      <c r="U15" s="1">
        <f>SUM('UPS RATES'!U15-'FedEx Rates'!U14)</f>
        <v>3.2899999999999991</v>
      </c>
      <c r="V15" s="1">
        <f>SUM('UPS RATES'!V15-'FedEx Rates'!V14)</f>
        <v>3.5400000000000009</v>
      </c>
      <c r="W15" s="1">
        <f>SUM('UPS RATES'!W15-'FedEx Rates'!W14)</f>
        <v>3.87</v>
      </c>
      <c r="X15" s="1">
        <f>SUM('UPS RATES'!X15-'FedEx Rates'!X14)</f>
        <v>8.75</v>
      </c>
      <c r="Y15" s="1">
        <f>SUM('UPS RATES'!Y15-'FedEx Rates'!Y14)</f>
        <v>15.33</v>
      </c>
      <c r="Z15" s="1">
        <f>SUM('UPS RATES'!Z15-'FedEx Rates'!Z14)</f>
        <v>18.11</v>
      </c>
      <c r="AA15" s="1">
        <f>SUM('UPS RATES'!AA15-'FedEx Rates'!AA14)</f>
        <v>18.479999999999997</v>
      </c>
      <c r="AB15" s="1">
        <f>SUM('UPS RATES'!AB15-'FedEx Rates'!AB14)</f>
        <v>20.51</v>
      </c>
      <c r="AC15" s="1">
        <f>SUM('UPS RATES'!AC15-'FedEx Rates'!AC14)</f>
        <v>20.93</v>
      </c>
    </row>
    <row r="16" spans="1:29" x14ac:dyDescent="0.25">
      <c r="A16">
        <v>14</v>
      </c>
      <c r="B16" s="1">
        <f>SUM('UPS RATES'!B16-'FedEx Rates'!B15)</f>
        <v>2.17</v>
      </c>
      <c r="C16" s="1">
        <f>SUM('UPS RATES'!C16-'FedEx Rates'!C15)</f>
        <v>2.59</v>
      </c>
      <c r="D16" s="1">
        <f>SUM('UPS RATES'!D16-'FedEx Rates'!D15)</f>
        <v>3.2899999999999991</v>
      </c>
      <c r="E16" s="1">
        <f>SUM('UPS RATES'!E16-'FedEx Rates'!E15)</f>
        <v>4.67</v>
      </c>
      <c r="F16" s="1">
        <f>SUM('UPS RATES'!F16-'FedEx Rates'!F15)</f>
        <v>6.82</v>
      </c>
      <c r="G16" s="1">
        <f>SUM('UPS RATES'!G16-'FedEx Rates'!G15)</f>
        <v>7.25</v>
      </c>
      <c r="H16" s="1">
        <f>SUM('UPS RATES'!H16-'FedEx Rates'!H15)</f>
        <v>7.5500000000000007</v>
      </c>
      <c r="I16" s="1">
        <f>SUM('UPS RATES'!I16-'FedEx Rates'!I15)</f>
        <v>3.0100000000000007</v>
      </c>
      <c r="J16" s="1">
        <f>SUM('UPS RATES'!J16-'FedEx Rates'!J15)</f>
        <v>4.4399999999999995</v>
      </c>
      <c r="K16" s="1">
        <f>SUM('UPS RATES'!K16-'FedEx Rates'!K15)</f>
        <v>4.2300000000000004</v>
      </c>
      <c r="L16" s="1">
        <f>SUM('UPS RATES'!L16-'FedEx Rates'!L15)</f>
        <v>6.4299999999999979</v>
      </c>
      <c r="M16" s="1">
        <f>SUM('UPS RATES'!M16-'FedEx Rates'!M15)</f>
        <v>10.27</v>
      </c>
      <c r="N16" s="1">
        <f>SUM('UPS RATES'!N16-'FedEx Rates'!N15)</f>
        <v>11.169999999999998</v>
      </c>
      <c r="O16" s="1">
        <f>SUM('UPS RATES'!O16-'FedEx Rates'!O15)</f>
        <v>12.510000000000002</v>
      </c>
      <c r="P16" s="1">
        <f>SUM('UPS RATES'!P16-'FedEx Rates'!P15)</f>
        <v>1.2800000000000002</v>
      </c>
      <c r="Q16" s="1">
        <f>SUM('UPS RATES'!Q16-'FedEx Rates'!Q15)</f>
        <v>1.4400000000000004</v>
      </c>
      <c r="R16" s="1">
        <f>SUM('UPS RATES'!R16-'FedEx Rates'!R15)</f>
        <v>1.83</v>
      </c>
      <c r="S16" s="1">
        <f>SUM('UPS RATES'!S16-'FedEx Rates'!S15)</f>
        <v>2.5</v>
      </c>
      <c r="T16" s="1">
        <f>SUM('UPS RATES'!T16-'FedEx Rates'!T15)</f>
        <v>2.84</v>
      </c>
      <c r="U16" s="1">
        <f>SUM('UPS RATES'!U16-'FedEx Rates'!U15)</f>
        <v>3.4799999999999986</v>
      </c>
      <c r="V16" s="1">
        <f>SUM('UPS RATES'!V16-'FedEx Rates'!V15)</f>
        <v>3.7799999999999994</v>
      </c>
      <c r="W16" s="1">
        <f>SUM('UPS RATES'!W16-'FedEx Rates'!W15)</f>
        <v>4.1100000000000003</v>
      </c>
      <c r="X16" s="1">
        <f>SUM('UPS RATES'!X16-'FedEx Rates'!X15)</f>
        <v>8.8600000000000012</v>
      </c>
      <c r="Y16" s="1">
        <f>SUM('UPS RATES'!Y16-'FedEx Rates'!Y15)</f>
        <v>16</v>
      </c>
      <c r="Z16" s="1">
        <f>SUM('UPS RATES'!Z16-'FedEx Rates'!Z15)</f>
        <v>18.149999999999999</v>
      </c>
      <c r="AA16" s="1">
        <f>SUM('UPS RATES'!AA16-'FedEx Rates'!AA15)</f>
        <v>18.520000000000003</v>
      </c>
      <c r="AB16" s="1">
        <f>SUM('UPS RATES'!AB16-'FedEx Rates'!AB15)</f>
        <v>20.680000000000003</v>
      </c>
      <c r="AC16" s="1">
        <f>SUM('UPS RATES'!AC16-'FedEx Rates'!AC15)</f>
        <v>21.09</v>
      </c>
    </row>
    <row r="17" spans="1:29" x14ac:dyDescent="0.25">
      <c r="A17">
        <v>15</v>
      </c>
      <c r="B17" s="1">
        <f>SUM('UPS RATES'!B17-'FedEx Rates'!B16)</f>
        <v>2.25</v>
      </c>
      <c r="C17" s="1">
        <f>SUM('UPS RATES'!C17-'FedEx Rates'!C16)</f>
        <v>2.6400000000000006</v>
      </c>
      <c r="D17" s="1">
        <f>SUM('UPS RATES'!D17-'FedEx Rates'!D16)</f>
        <v>3.4399999999999995</v>
      </c>
      <c r="E17" s="1">
        <f>SUM('UPS RATES'!E17-'FedEx Rates'!E16)</f>
        <v>4.84</v>
      </c>
      <c r="F17" s="1">
        <f>SUM('UPS RATES'!F17-'FedEx Rates'!F16)</f>
        <v>7.18</v>
      </c>
      <c r="G17" s="1">
        <f>SUM('UPS RATES'!G17-'FedEx Rates'!G16)</f>
        <v>7.57</v>
      </c>
      <c r="H17" s="1">
        <f>SUM('UPS RATES'!H17-'FedEx Rates'!H16)</f>
        <v>7.889999999999997</v>
      </c>
      <c r="I17" s="1">
        <f>SUM('UPS RATES'!I17-'FedEx Rates'!I16)</f>
        <v>3.3499999999999996</v>
      </c>
      <c r="J17" s="1">
        <f>SUM('UPS RATES'!J17-'FedEx Rates'!J16)</f>
        <v>4.0199999999999996</v>
      </c>
      <c r="K17" s="1">
        <f>SUM('UPS RATES'!K17-'FedEx Rates'!K16)</f>
        <v>4.33</v>
      </c>
      <c r="L17" s="1">
        <f>SUM('UPS RATES'!L17-'FedEx Rates'!L16)</f>
        <v>6.2999999999999989</v>
      </c>
      <c r="M17" s="1">
        <f>SUM('UPS RATES'!M17-'FedEx Rates'!M16)</f>
        <v>10.850000000000001</v>
      </c>
      <c r="N17" s="1">
        <f>SUM('UPS RATES'!N17-'FedEx Rates'!N16)</f>
        <v>12.3</v>
      </c>
      <c r="O17" s="1">
        <f>SUM('UPS RATES'!O17-'FedEx Rates'!O16)</f>
        <v>13.240000000000002</v>
      </c>
      <c r="P17" s="1">
        <f>SUM('UPS RATES'!P17-'FedEx Rates'!P16)</f>
        <v>1.2800000000000002</v>
      </c>
      <c r="Q17" s="1">
        <f>SUM('UPS RATES'!Q17-'FedEx Rates'!Q16)</f>
        <v>1.6100000000000003</v>
      </c>
      <c r="R17" s="1">
        <f>SUM('UPS RATES'!R17-'FedEx Rates'!R16)</f>
        <v>1.9499999999999993</v>
      </c>
      <c r="S17" s="1">
        <f>SUM('UPS RATES'!S17-'FedEx Rates'!S16)</f>
        <v>2.59</v>
      </c>
      <c r="T17" s="1">
        <f>SUM('UPS RATES'!T17-'FedEx Rates'!T16)</f>
        <v>2.99</v>
      </c>
      <c r="U17" s="1">
        <f>SUM('UPS RATES'!U17-'FedEx Rates'!U16)</f>
        <v>3.5999999999999996</v>
      </c>
      <c r="V17" s="1">
        <f>SUM('UPS RATES'!V17-'FedEx Rates'!V16)</f>
        <v>4.0199999999999996</v>
      </c>
      <c r="W17" s="1">
        <f>SUM('UPS RATES'!W17-'FedEx Rates'!W16)</f>
        <v>4.160000000000001</v>
      </c>
      <c r="X17" s="1">
        <f>SUM('UPS RATES'!X17-'FedEx Rates'!X16)</f>
        <v>8.92</v>
      </c>
      <c r="Y17" s="1">
        <f>SUM('UPS RATES'!Y17-'FedEx Rates'!Y16)</f>
        <v>16.189999999999998</v>
      </c>
      <c r="Z17" s="1">
        <f>SUM('UPS RATES'!Z17-'FedEx Rates'!Z16)</f>
        <v>18.259999999999998</v>
      </c>
      <c r="AA17" s="1">
        <f>SUM('UPS RATES'!AA17-'FedEx Rates'!AA16)</f>
        <v>18.63</v>
      </c>
      <c r="AB17" s="1">
        <f>SUM('UPS RATES'!AB17-'FedEx Rates'!AB16)</f>
        <v>20.779999999999998</v>
      </c>
      <c r="AC17" s="1">
        <f>SUM('UPS RATES'!AC17-'FedEx Rates'!AC16)</f>
        <v>21.200000000000003</v>
      </c>
    </row>
    <row r="18" spans="1:29" x14ac:dyDescent="0.25">
      <c r="A18">
        <v>16</v>
      </c>
      <c r="B18" s="1">
        <f>SUM('UPS RATES'!B18-'FedEx Rates'!B17)</f>
        <v>2.2900000000000009</v>
      </c>
      <c r="C18" s="1">
        <f>SUM('UPS RATES'!C18-'FedEx Rates'!C17)</f>
        <v>2.7200000000000006</v>
      </c>
      <c r="D18" s="1">
        <f>SUM('UPS RATES'!D18-'FedEx Rates'!D17)</f>
        <v>3.5600000000000005</v>
      </c>
      <c r="E18" s="1">
        <f>SUM('UPS RATES'!E18-'FedEx Rates'!E17)</f>
        <v>5.009999999999998</v>
      </c>
      <c r="F18" s="1">
        <f>SUM('UPS RATES'!F18-'FedEx Rates'!F17)</f>
        <v>7.4400000000000013</v>
      </c>
      <c r="G18" s="1">
        <f>SUM('UPS RATES'!G18-'FedEx Rates'!G17)</f>
        <v>7.9599999999999973</v>
      </c>
      <c r="H18" s="1">
        <f>SUM('UPS RATES'!H18-'FedEx Rates'!H17)</f>
        <v>8.230000000000004</v>
      </c>
      <c r="I18" s="1">
        <f>SUM('UPS RATES'!I18-'FedEx Rates'!I17)</f>
        <v>3.2</v>
      </c>
      <c r="J18" s="1">
        <f>SUM('UPS RATES'!J18-'FedEx Rates'!J17)</f>
        <v>4.18</v>
      </c>
      <c r="K18" s="1">
        <f>SUM('UPS RATES'!K18-'FedEx Rates'!K17)</f>
        <v>4.5199999999999996</v>
      </c>
      <c r="L18" s="1">
        <f>SUM('UPS RATES'!L18-'FedEx Rates'!L17)</f>
        <v>6.76</v>
      </c>
      <c r="M18" s="1">
        <f>SUM('UPS RATES'!M18-'FedEx Rates'!M17)</f>
        <v>11.32</v>
      </c>
      <c r="N18" s="1">
        <f>SUM('UPS RATES'!N18-'FedEx Rates'!N17)</f>
        <v>12.919999999999998</v>
      </c>
      <c r="O18" s="1">
        <f>SUM('UPS RATES'!O18-'FedEx Rates'!O17)</f>
        <v>13.73</v>
      </c>
      <c r="P18" s="1">
        <f>SUM('UPS RATES'!P18-'FedEx Rates'!P17)</f>
        <v>1.2800000000000002</v>
      </c>
      <c r="Q18" s="1">
        <f>SUM('UPS RATES'!Q18-'FedEx Rates'!Q17)</f>
        <v>1.83</v>
      </c>
      <c r="R18" s="1">
        <f>SUM('UPS RATES'!R18-'FedEx Rates'!R17)</f>
        <v>2.0999999999999996</v>
      </c>
      <c r="S18" s="1">
        <f>SUM('UPS RATES'!S18-'FedEx Rates'!S17)</f>
        <v>2.6300000000000008</v>
      </c>
      <c r="T18" s="1">
        <f>SUM('UPS RATES'!T18-'FedEx Rates'!T17)</f>
        <v>3.09</v>
      </c>
      <c r="U18" s="1">
        <f>SUM('UPS RATES'!U18-'FedEx Rates'!U17)</f>
        <v>3.7699999999999996</v>
      </c>
      <c r="V18" s="1">
        <f>SUM('UPS RATES'!V18-'FedEx Rates'!V17)</f>
        <v>4.1400000000000006</v>
      </c>
      <c r="W18" s="1">
        <f>SUM('UPS RATES'!W18-'FedEx Rates'!W17)</f>
        <v>4.9300000000000006</v>
      </c>
      <c r="X18" s="1">
        <f>SUM('UPS RATES'!X18-'FedEx Rates'!X17)</f>
        <v>9.9799999999999986</v>
      </c>
      <c r="Y18" s="1">
        <f>SUM('UPS RATES'!Y18-'FedEx Rates'!Y17)</f>
        <v>17.419999999999998</v>
      </c>
      <c r="Z18" s="1">
        <f>SUM('UPS RATES'!Z18-'FedEx Rates'!Z17)</f>
        <v>20.29</v>
      </c>
      <c r="AA18" s="1">
        <f>SUM('UPS RATES'!AA18-'FedEx Rates'!AA17)</f>
        <v>20.94</v>
      </c>
      <c r="AB18" s="1">
        <f>SUM('UPS RATES'!AB18-'FedEx Rates'!AB17)</f>
        <v>22.89</v>
      </c>
      <c r="AC18" s="1">
        <f>SUM('UPS RATES'!AC18-'FedEx Rates'!AC17)</f>
        <v>23.349999999999998</v>
      </c>
    </row>
    <row r="19" spans="1:29" x14ac:dyDescent="0.25">
      <c r="A19">
        <v>17</v>
      </c>
      <c r="B19" s="1">
        <f>SUM('UPS RATES'!B19-'FedEx Rates'!B18)</f>
        <v>2.38</v>
      </c>
      <c r="C19" s="1">
        <f>SUM('UPS RATES'!C19-'FedEx Rates'!C18)</f>
        <v>2.8100000000000005</v>
      </c>
      <c r="D19" s="1">
        <f>SUM('UPS RATES'!D19-'FedEx Rates'!D18)</f>
        <v>3.6899999999999995</v>
      </c>
      <c r="E19" s="1">
        <f>SUM('UPS RATES'!E19-'FedEx Rates'!E18)</f>
        <v>5.25</v>
      </c>
      <c r="F19" s="1">
        <f>SUM('UPS RATES'!F19-'FedEx Rates'!F18)</f>
        <v>7.7700000000000031</v>
      </c>
      <c r="G19" s="1">
        <f>SUM('UPS RATES'!G19-'FedEx Rates'!G18)</f>
        <v>8.39</v>
      </c>
      <c r="H19" s="1">
        <f>SUM('UPS RATES'!H19-'FedEx Rates'!H18)</f>
        <v>8.620000000000001</v>
      </c>
      <c r="I19" s="1">
        <f>SUM('UPS RATES'!I19-'FedEx Rates'!I18)</f>
        <v>3.169999999999999</v>
      </c>
      <c r="J19" s="1">
        <f>SUM('UPS RATES'!J19-'FedEx Rates'!J18)</f>
        <v>3.9500000000000011</v>
      </c>
      <c r="K19" s="1">
        <f>SUM('UPS RATES'!K19-'FedEx Rates'!K18)</f>
        <v>4.67</v>
      </c>
      <c r="L19" s="1">
        <f>SUM('UPS RATES'!L19-'FedEx Rates'!L18)</f>
        <v>6.84</v>
      </c>
      <c r="M19" s="1">
        <f>SUM('UPS RATES'!M19-'FedEx Rates'!M18)</f>
        <v>11.670000000000002</v>
      </c>
      <c r="N19" s="1">
        <f>SUM('UPS RATES'!N19-'FedEx Rates'!N18)</f>
        <v>12.850000000000001</v>
      </c>
      <c r="O19" s="1">
        <f>SUM('UPS RATES'!O19-'FedEx Rates'!O18)</f>
        <v>14.39</v>
      </c>
      <c r="P19" s="1">
        <f>SUM('UPS RATES'!P19-'FedEx Rates'!P18)</f>
        <v>1.2800000000000002</v>
      </c>
      <c r="Q19" s="1">
        <f>SUM('UPS RATES'!Q19-'FedEx Rates'!Q18)</f>
        <v>1.9900000000000002</v>
      </c>
      <c r="R19" s="1">
        <f>SUM('UPS RATES'!R19-'FedEx Rates'!R18)</f>
        <v>2.1899999999999995</v>
      </c>
      <c r="S19" s="1">
        <f>SUM('UPS RATES'!S19-'FedEx Rates'!S18)</f>
        <v>2.71</v>
      </c>
      <c r="T19" s="1">
        <f>SUM('UPS RATES'!T19-'FedEx Rates'!T18)</f>
        <v>3.2100000000000009</v>
      </c>
      <c r="U19" s="1">
        <f>SUM('UPS RATES'!U19-'FedEx Rates'!U18)</f>
        <v>3.9700000000000006</v>
      </c>
      <c r="V19" s="1">
        <f>SUM('UPS RATES'!V19-'FedEx Rates'!V18)</f>
        <v>4.2099999999999991</v>
      </c>
      <c r="W19" s="1">
        <f>SUM('UPS RATES'!W19-'FedEx Rates'!W18)</f>
        <v>5.64</v>
      </c>
      <c r="X19" s="1">
        <f>SUM('UPS RATES'!X19-'FedEx Rates'!X18)</f>
        <v>10.080000000000002</v>
      </c>
      <c r="Y19" s="1">
        <f>SUM('UPS RATES'!Y19-'FedEx Rates'!Y18)</f>
        <v>18.389999999999997</v>
      </c>
      <c r="Z19" s="1">
        <f>SUM('UPS RATES'!Z19-'FedEx Rates'!Z18)</f>
        <v>20.65</v>
      </c>
      <c r="AA19" s="1">
        <f>SUM('UPS RATES'!AA19-'FedEx Rates'!AA18)</f>
        <v>21.180000000000003</v>
      </c>
      <c r="AB19" s="1">
        <f>SUM('UPS RATES'!AB19-'FedEx Rates'!AB18)</f>
        <v>23.099999999999998</v>
      </c>
      <c r="AC19" s="1">
        <f>SUM('UPS RATES'!AC19-'FedEx Rates'!AC18)</f>
        <v>23.57</v>
      </c>
    </row>
    <row r="20" spans="1:29" x14ac:dyDescent="0.25">
      <c r="A20">
        <v>18</v>
      </c>
      <c r="B20" s="1">
        <f>SUM('UPS RATES'!B20-'FedEx Rates'!B19)</f>
        <v>2.4499999999999993</v>
      </c>
      <c r="C20" s="1">
        <f>SUM('UPS RATES'!C20-'FedEx Rates'!C19)</f>
        <v>2.91</v>
      </c>
      <c r="D20" s="1">
        <f>SUM('UPS RATES'!D20-'FedEx Rates'!D19)</f>
        <v>3.8599999999999994</v>
      </c>
      <c r="E20" s="1">
        <f>SUM('UPS RATES'!E20-'FedEx Rates'!E19)</f>
        <v>5.4200000000000017</v>
      </c>
      <c r="F20" s="1">
        <f>SUM('UPS RATES'!F20-'FedEx Rates'!F19)</f>
        <v>8.100000000000005</v>
      </c>
      <c r="G20" s="1">
        <f>SUM('UPS RATES'!G20-'FedEx Rates'!G19)</f>
        <v>8.759999999999998</v>
      </c>
      <c r="H20" s="1">
        <f>SUM('UPS RATES'!H20-'FedEx Rates'!H19)</f>
        <v>9.3199999999999967</v>
      </c>
      <c r="I20" s="1">
        <f>SUM('UPS RATES'!I20-'FedEx Rates'!I19)</f>
        <v>2.9399999999999995</v>
      </c>
      <c r="J20" s="1">
        <f>SUM('UPS RATES'!J20-'FedEx Rates'!J19)</f>
        <v>3.879999999999999</v>
      </c>
      <c r="K20" s="1">
        <f>SUM('UPS RATES'!K20-'FedEx Rates'!K19)</f>
        <v>4.82</v>
      </c>
      <c r="L20" s="1">
        <f>SUM('UPS RATES'!L20-'FedEx Rates'!L19)</f>
        <v>7.24</v>
      </c>
      <c r="M20" s="1">
        <f>SUM('UPS RATES'!M20-'FedEx Rates'!M19)</f>
        <v>12.16</v>
      </c>
      <c r="N20" s="1">
        <f>SUM('UPS RATES'!N20-'FedEx Rates'!N19)</f>
        <v>13.889999999999997</v>
      </c>
      <c r="O20" s="1">
        <f>SUM('UPS RATES'!O20-'FedEx Rates'!O19)</f>
        <v>14.870000000000001</v>
      </c>
      <c r="P20" s="1">
        <f>SUM('UPS RATES'!P20-'FedEx Rates'!P19)</f>
        <v>1.3499999999999996</v>
      </c>
      <c r="Q20" s="1">
        <f>SUM('UPS RATES'!Q20-'FedEx Rates'!Q19)</f>
        <v>2.1199999999999992</v>
      </c>
      <c r="R20" s="1">
        <f>SUM('UPS RATES'!R20-'FedEx Rates'!R19)</f>
        <v>2.2799999999999994</v>
      </c>
      <c r="S20" s="1">
        <f>SUM('UPS RATES'!S20-'FedEx Rates'!S19)</f>
        <v>2.8400000000000007</v>
      </c>
      <c r="T20" s="1">
        <f>SUM('UPS RATES'!T20-'FedEx Rates'!T19)</f>
        <v>3.3800000000000008</v>
      </c>
      <c r="U20" s="1">
        <f>SUM('UPS RATES'!U20-'FedEx Rates'!U19)</f>
        <v>4.0999999999999996</v>
      </c>
      <c r="V20" s="1">
        <f>SUM('UPS RATES'!V20-'FedEx Rates'!V19)</f>
        <v>4.5499999999999989</v>
      </c>
      <c r="W20" s="1">
        <f>SUM('UPS RATES'!W20-'FedEx Rates'!W19)</f>
        <v>5.7400000000000011</v>
      </c>
      <c r="X20" s="1">
        <f>SUM('UPS RATES'!X20-'FedEx Rates'!X19)</f>
        <v>10.14</v>
      </c>
      <c r="Y20" s="1">
        <f>SUM('UPS RATES'!Y20-'FedEx Rates'!Y19)</f>
        <v>18.520000000000003</v>
      </c>
      <c r="Z20" s="1">
        <f>SUM('UPS RATES'!Z20-'FedEx Rates'!Z19)</f>
        <v>20.680000000000003</v>
      </c>
      <c r="AA20" s="1">
        <f>SUM('UPS RATES'!AA20-'FedEx Rates'!AA19)</f>
        <v>21.21</v>
      </c>
      <c r="AB20" s="1">
        <f>SUM('UPS RATES'!AB20-'FedEx Rates'!AB19)</f>
        <v>23.119999999999997</v>
      </c>
      <c r="AC20" s="1">
        <f>SUM('UPS RATES'!AC20-'FedEx Rates'!AC19)</f>
        <v>23.59</v>
      </c>
    </row>
    <row r="21" spans="1:29" x14ac:dyDescent="0.25">
      <c r="A21">
        <v>19</v>
      </c>
      <c r="B21" s="1">
        <f>SUM('UPS RATES'!B21-'FedEx Rates'!B20)</f>
        <v>2.5600000000000005</v>
      </c>
      <c r="C21" s="1">
        <f>SUM('UPS RATES'!C21-'FedEx Rates'!C20)</f>
        <v>2.99</v>
      </c>
      <c r="D21" s="1">
        <f>SUM('UPS RATES'!D21-'FedEx Rates'!D20)</f>
        <v>3.9299999999999997</v>
      </c>
      <c r="E21" s="1">
        <f>SUM('UPS RATES'!E21-'FedEx Rates'!E20)</f>
        <v>5.6499999999999986</v>
      </c>
      <c r="F21" s="1">
        <f>SUM('UPS RATES'!F21-'FedEx Rates'!F20)</f>
        <v>8.3800000000000026</v>
      </c>
      <c r="G21" s="1">
        <f>SUM('UPS RATES'!G21-'FedEx Rates'!G20)</f>
        <v>9.1600000000000037</v>
      </c>
      <c r="H21" s="1">
        <f>SUM('UPS RATES'!H21-'FedEx Rates'!H20)</f>
        <v>9.4199999999999982</v>
      </c>
      <c r="I21" s="1">
        <f>SUM('UPS RATES'!I21-'FedEx Rates'!I20)</f>
        <v>3</v>
      </c>
      <c r="J21" s="1">
        <f>SUM('UPS RATES'!J21-'FedEx Rates'!J20)</f>
        <v>3.9499999999999993</v>
      </c>
      <c r="K21" s="1">
        <f>SUM('UPS RATES'!K21-'FedEx Rates'!K20)</f>
        <v>4.9699999999999989</v>
      </c>
      <c r="L21" s="1">
        <f>SUM('UPS RATES'!L21-'FedEx Rates'!L20)</f>
        <v>7.5100000000000016</v>
      </c>
      <c r="M21" s="1">
        <f>SUM('UPS RATES'!M21-'FedEx Rates'!M20)</f>
        <v>12.52</v>
      </c>
      <c r="N21" s="1">
        <f>SUM('UPS RATES'!N21-'FedEx Rates'!N20)</f>
        <v>14.100000000000001</v>
      </c>
      <c r="O21" s="1">
        <f>SUM('UPS RATES'!O21-'FedEx Rates'!O20)</f>
        <v>15.380000000000003</v>
      </c>
      <c r="P21" s="1">
        <f>SUM('UPS RATES'!P21-'FedEx Rates'!P20)</f>
        <v>1.54</v>
      </c>
      <c r="Q21" s="1">
        <f>SUM('UPS RATES'!Q21-'FedEx Rates'!Q20)</f>
        <v>2.4000000000000004</v>
      </c>
      <c r="R21" s="1">
        <f>SUM('UPS RATES'!R21-'FedEx Rates'!R20)</f>
        <v>2.4700000000000006</v>
      </c>
      <c r="S21" s="1">
        <f>SUM('UPS RATES'!S21-'FedEx Rates'!S20)</f>
        <v>2.9299999999999997</v>
      </c>
      <c r="T21" s="1">
        <f>SUM('UPS RATES'!T21-'FedEx Rates'!T20)</f>
        <v>3.4299999999999997</v>
      </c>
      <c r="U21" s="1">
        <f>SUM('UPS RATES'!U21-'FedEx Rates'!U20)</f>
        <v>4.18</v>
      </c>
      <c r="V21" s="1">
        <f>SUM('UPS RATES'!V21-'FedEx Rates'!V20)</f>
        <v>4.6499999999999986</v>
      </c>
      <c r="W21" s="1">
        <f>SUM('UPS RATES'!W21-'FedEx Rates'!W20)</f>
        <v>5.830000000000001</v>
      </c>
      <c r="X21" s="1">
        <f>SUM('UPS RATES'!X21-'FedEx Rates'!X20)</f>
        <v>10.16</v>
      </c>
      <c r="Y21" s="1">
        <f>SUM('UPS RATES'!Y21-'FedEx Rates'!Y20)</f>
        <v>18.519999999999996</v>
      </c>
      <c r="Z21" s="1">
        <f>SUM('UPS RATES'!Z21-'FedEx Rates'!Z20)</f>
        <v>20.68</v>
      </c>
      <c r="AA21" s="1">
        <f>SUM('UPS RATES'!AA21-'FedEx Rates'!AA20)</f>
        <v>21.23</v>
      </c>
      <c r="AB21" s="1">
        <f>SUM('UPS RATES'!AB21-'FedEx Rates'!AB20)</f>
        <v>23.139999999999997</v>
      </c>
      <c r="AC21" s="1">
        <f>SUM('UPS RATES'!AC21-'FedEx Rates'!AC20)</f>
        <v>23.61</v>
      </c>
    </row>
    <row r="22" spans="1:29" x14ac:dyDescent="0.25">
      <c r="A22">
        <v>20</v>
      </c>
      <c r="B22" s="1">
        <f>SUM('UPS RATES'!B22-'FedEx Rates'!B21)</f>
        <v>2.6400000000000006</v>
      </c>
      <c r="C22" s="1">
        <f>SUM('UPS RATES'!C22-'FedEx Rates'!C21)</f>
        <v>3.1099999999999994</v>
      </c>
      <c r="D22" s="1">
        <f>SUM('UPS RATES'!D22-'FedEx Rates'!D21)</f>
        <v>4.0900000000000016</v>
      </c>
      <c r="E22" s="1">
        <f>SUM('UPS RATES'!E22-'FedEx Rates'!E21)</f>
        <v>5.91</v>
      </c>
      <c r="F22" s="1">
        <f>SUM('UPS RATES'!F22-'FedEx Rates'!F21)</f>
        <v>8.6699999999999982</v>
      </c>
      <c r="G22" s="1">
        <f>SUM('UPS RATES'!G22-'FedEx Rates'!G21)</f>
        <v>9.4699999999999953</v>
      </c>
      <c r="H22" s="1">
        <f>SUM('UPS RATES'!H22-'FedEx Rates'!H21)</f>
        <v>9.77</v>
      </c>
      <c r="I22" s="1">
        <f>SUM('UPS RATES'!I22-'FedEx Rates'!I21)</f>
        <v>3.2299999999999995</v>
      </c>
      <c r="J22" s="1">
        <f>SUM('UPS RATES'!J22-'FedEx Rates'!J21)</f>
        <v>4.09</v>
      </c>
      <c r="K22" s="1">
        <f>SUM('UPS RATES'!K22-'FedEx Rates'!K21)</f>
        <v>4.9699999999999989</v>
      </c>
      <c r="L22" s="1">
        <f>SUM('UPS RATES'!L22-'FedEx Rates'!L21)</f>
        <v>7.7700000000000014</v>
      </c>
      <c r="M22" s="1">
        <f>SUM('UPS RATES'!M22-'FedEx Rates'!M21)</f>
        <v>12.93</v>
      </c>
      <c r="N22" s="1">
        <f>SUM('UPS RATES'!N22-'FedEx Rates'!N21)</f>
        <v>14.129999999999995</v>
      </c>
      <c r="O22" s="1">
        <f>SUM('UPS RATES'!O22-'FedEx Rates'!O21)</f>
        <v>15.75</v>
      </c>
      <c r="P22" s="1">
        <f>SUM('UPS RATES'!P22-'FedEx Rates'!P21)</f>
        <v>1.5899999999999999</v>
      </c>
      <c r="Q22" s="1">
        <f>SUM('UPS RATES'!Q22-'FedEx Rates'!Q21)</f>
        <v>2.4300000000000006</v>
      </c>
      <c r="R22" s="1">
        <f>SUM('UPS RATES'!R22-'FedEx Rates'!R21)</f>
        <v>2.4699999999999998</v>
      </c>
      <c r="S22" s="1">
        <f>SUM('UPS RATES'!S22-'FedEx Rates'!S21)</f>
        <v>3.0500000000000007</v>
      </c>
      <c r="T22" s="1">
        <f>SUM('UPS RATES'!T22-'FedEx Rates'!T21)</f>
        <v>3.5600000000000005</v>
      </c>
      <c r="U22" s="1">
        <f>SUM('UPS RATES'!U22-'FedEx Rates'!U21)</f>
        <v>4.3199999999999985</v>
      </c>
      <c r="V22" s="1">
        <f>SUM('UPS RATES'!V22-'FedEx Rates'!V21)</f>
        <v>4.9400000000000013</v>
      </c>
      <c r="W22" s="1">
        <f>SUM('UPS RATES'!W22-'FedEx Rates'!W21)</f>
        <v>5.9000000000000012</v>
      </c>
      <c r="X22" s="1">
        <f>SUM('UPS RATES'!X22-'FedEx Rates'!X21)</f>
        <v>10.209999999999999</v>
      </c>
      <c r="Y22" s="1">
        <f>SUM('UPS RATES'!Y22-'FedEx Rates'!Y21)</f>
        <v>18.46</v>
      </c>
      <c r="Z22" s="1">
        <f>SUM('UPS RATES'!Z22-'FedEx Rates'!Z21)</f>
        <v>20.86</v>
      </c>
      <c r="AA22" s="1">
        <f>SUM('UPS RATES'!AA22-'FedEx Rates'!AA21)</f>
        <v>21.289999999999996</v>
      </c>
      <c r="AB22" s="1">
        <f>SUM('UPS RATES'!AB22-'FedEx Rates'!AB21)</f>
        <v>23.21</v>
      </c>
      <c r="AC22" s="1">
        <f>SUM('UPS RATES'!AC22-'FedEx Rates'!AC21)</f>
        <v>23.550000000000004</v>
      </c>
    </row>
    <row r="23" spans="1:29" x14ac:dyDescent="0.25">
      <c r="A23">
        <v>21</v>
      </c>
      <c r="B23" s="1">
        <f>SUM('UPS RATES'!B23-'FedEx Rates'!B22)</f>
        <v>2.76</v>
      </c>
      <c r="C23" s="1">
        <f>SUM('UPS RATES'!C23-'FedEx Rates'!C22)</f>
        <v>3.2199999999999989</v>
      </c>
      <c r="D23" s="1">
        <f>SUM('UPS RATES'!D23-'FedEx Rates'!D22)</f>
        <v>4.25</v>
      </c>
      <c r="E23" s="1">
        <f>SUM('UPS RATES'!E23-'FedEx Rates'!E22)</f>
        <v>6.120000000000001</v>
      </c>
      <c r="F23" s="1">
        <f>SUM('UPS RATES'!F23-'FedEx Rates'!F22)</f>
        <v>8.7099999999999973</v>
      </c>
      <c r="G23" s="1">
        <f>SUM('UPS RATES'!G23-'FedEx Rates'!G22)</f>
        <v>9.7900000000000027</v>
      </c>
      <c r="H23" s="1">
        <f>SUM('UPS RATES'!H23-'FedEx Rates'!H22)</f>
        <v>10.430000000000003</v>
      </c>
      <c r="I23" s="1">
        <f>SUM('UPS RATES'!I23-'FedEx Rates'!I22)</f>
        <v>3.49</v>
      </c>
      <c r="J23" s="1">
        <f>SUM('UPS RATES'!J23-'FedEx Rates'!J22)</f>
        <v>4.9399999999999995</v>
      </c>
      <c r="K23" s="1">
        <f>SUM('UPS RATES'!K23-'FedEx Rates'!K22)</f>
        <v>5.2000000000000011</v>
      </c>
      <c r="L23" s="1">
        <f>SUM('UPS RATES'!L23-'FedEx Rates'!L22)</f>
        <v>8.5300000000000011</v>
      </c>
      <c r="M23" s="1">
        <f>SUM('UPS RATES'!M23-'FedEx Rates'!M22)</f>
        <v>12.719999999999999</v>
      </c>
      <c r="N23" s="1">
        <f>SUM('UPS RATES'!N23-'FedEx Rates'!N22)</f>
        <v>15.14</v>
      </c>
      <c r="O23" s="1">
        <f>SUM('UPS RATES'!O23-'FedEx Rates'!O22)</f>
        <v>16.349999999999998</v>
      </c>
      <c r="P23" s="1">
        <f>SUM('UPS RATES'!P23-'FedEx Rates'!P22)</f>
        <v>1.54</v>
      </c>
      <c r="Q23" s="1">
        <f>SUM('UPS RATES'!Q23-'FedEx Rates'!Q22)</f>
        <v>2.1499999999999995</v>
      </c>
      <c r="R23" s="1">
        <f>SUM('UPS RATES'!R23-'FedEx Rates'!R22)</f>
        <v>2.2299999999999995</v>
      </c>
      <c r="S23" s="1">
        <f>SUM('UPS RATES'!S23-'FedEx Rates'!S22)</f>
        <v>2.6300000000000008</v>
      </c>
      <c r="T23" s="1">
        <f>SUM('UPS RATES'!T23-'FedEx Rates'!T22)</f>
        <v>3.1999999999999993</v>
      </c>
      <c r="U23" s="1">
        <f>SUM('UPS RATES'!U23-'FedEx Rates'!U22)</f>
        <v>3.8800000000000008</v>
      </c>
      <c r="V23" s="1">
        <f>SUM('UPS RATES'!V23-'FedEx Rates'!V22)</f>
        <v>4.34</v>
      </c>
      <c r="W23" s="1">
        <f>SUM('UPS RATES'!W23-'FedEx Rates'!W22)</f>
        <v>6.5100000000000007</v>
      </c>
      <c r="X23" s="1">
        <f>SUM('UPS RATES'!X23-'FedEx Rates'!X22)</f>
        <v>10.669999999999998</v>
      </c>
      <c r="Y23" s="1">
        <f>SUM('UPS RATES'!Y23-'FedEx Rates'!Y22)</f>
        <v>20.040000000000003</v>
      </c>
      <c r="Z23" s="1">
        <f>SUM('UPS RATES'!Z23-'FedEx Rates'!Z22)</f>
        <v>21.290000000000003</v>
      </c>
      <c r="AA23" s="1">
        <f>SUM('UPS RATES'!AA23-'FedEx Rates'!AA22)</f>
        <v>22.599999999999998</v>
      </c>
      <c r="AB23" s="1">
        <f>SUM('UPS RATES'!AB23-'FedEx Rates'!AB22)</f>
        <v>24.439999999999998</v>
      </c>
      <c r="AC23" s="1">
        <f>SUM('UPS RATES'!AC23-'FedEx Rates'!AC22)</f>
        <v>25.87</v>
      </c>
    </row>
    <row r="24" spans="1:29" x14ac:dyDescent="0.25">
      <c r="A24">
        <v>22</v>
      </c>
      <c r="B24" s="1">
        <f>SUM('UPS RATES'!B24-'FedEx Rates'!B23)</f>
        <v>2.8499999999999996</v>
      </c>
      <c r="C24" s="1">
        <f>SUM('UPS RATES'!C24-'FedEx Rates'!C23)</f>
        <v>3.3900000000000006</v>
      </c>
      <c r="D24" s="1">
        <f>SUM('UPS RATES'!D24-'FedEx Rates'!D23)</f>
        <v>4.3500000000000014</v>
      </c>
      <c r="E24" s="1">
        <f>SUM('UPS RATES'!E24-'FedEx Rates'!E23)</f>
        <v>6.2899999999999991</v>
      </c>
      <c r="F24" s="1">
        <f>SUM('UPS RATES'!F24-'FedEx Rates'!F23)</f>
        <v>9.27</v>
      </c>
      <c r="G24" s="1">
        <f>SUM('UPS RATES'!G24-'FedEx Rates'!G23)</f>
        <v>10.170000000000002</v>
      </c>
      <c r="H24" s="1">
        <f>SUM('UPS RATES'!H24-'FedEx Rates'!H23)</f>
        <v>10.830000000000005</v>
      </c>
      <c r="I24" s="1">
        <f>SUM('UPS RATES'!I24-'FedEx Rates'!I23)</f>
        <v>3.25</v>
      </c>
      <c r="J24" s="1">
        <f>SUM('UPS RATES'!J24-'FedEx Rates'!J23)</f>
        <v>4.5199999999999996</v>
      </c>
      <c r="K24" s="1">
        <f>SUM('UPS RATES'!K24-'FedEx Rates'!K23)</f>
        <v>5.1100000000000012</v>
      </c>
      <c r="L24" s="1">
        <f>SUM('UPS RATES'!L24-'FedEx Rates'!L23)</f>
        <v>8.24</v>
      </c>
      <c r="M24" s="1">
        <f>SUM('UPS RATES'!M24-'FedEx Rates'!M23)</f>
        <v>13.510000000000002</v>
      </c>
      <c r="N24" s="1">
        <f>SUM('UPS RATES'!N24-'FedEx Rates'!N23)</f>
        <v>15.18</v>
      </c>
      <c r="O24" s="1">
        <f>SUM('UPS RATES'!O24-'FedEx Rates'!O23)</f>
        <v>16.93</v>
      </c>
      <c r="P24" s="1">
        <f>SUM('UPS RATES'!P24-'FedEx Rates'!P23)</f>
        <v>1.5700000000000003</v>
      </c>
      <c r="Q24" s="1">
        <f>SUM('UPS RATES'!Q24-'FedEx Rates'!Q23)</f>
        <v>2.1599999999999993</v>
      </c>
      <c r="R24" s="1">
        <f>SUM('UPS RATES'!R24-'FedEx Rates'!R23)</f>
        <v>2.29</v>
      </c>
      <c r="S24" s="1">
        <f>SUM('UPS RATES'!S24-'FedEx Rates'!S23)</f>
        <v>2.7699999999999996</v>
      </c>
      <c r="T24" s="1">
        <f>SUM('UPS RATES'!T24-'FedEx Rates'!T23)</f>
        <v>3.3400000000000016</v>
      </c>
      <c r="U24" s="1">
        <f>SUM('UPS RATES'!U24-'FedEx Rates'!U23)</f>
        <v>4.0299999999999994</v>
      </c>
      <c r="V24" s="1">
        <f>SUM('UPS RATES'!V24-'FedEx Rates'!V23)</f>
        <v>4.5300000000000011</v>
      </c>
      <c r="W24" s="1">
        <f>SUM('UPS RATES'!W24-'FedEx Rates'!W23)</f>
        <v>7.160000000000001</v>
      </c>
      <c r="X24" s="1">
        <f>SUM('UPS RATES'!X24-'FedEx Rates'!X23)</f>
        <v>11.260000000000002</v>
      </c>
      <c r="Y24" s="1">
        <f>SUM('UPS RATES'!Y24-'FedEx Rates'!Y23)</f>
        <v>20.73</v>
      </c>
      <c r="Z24" s="1">
        <f>SUM('UPS RATES'!Z24-'FedEx Rates'!Z23)</f>
        <v>22.279999999999998</v>
      </c>
      <c r="AA24" s="1">
        <f>SUM('UPS RATES'!AA24-'FedEx Rates'!AA23)</f>
        <v>22.750000000000004</v>
      </c>
      <c r="AB24" s="1">
        <f>SUM('UPS RATES'!AB24-'FedEx Rates'!AB23)</f>
        <v>25.75</v>
      </c>
      <c r="AC24" s="1">
        <f>SUM('UPS RATES'!AC24-'FedEx Rates'!AC23)</f>
        <v>26.939999999999998</v>
      </c>
    </row>
    <row r="25" spans="1:29" x14ac:dyDescent="0.25">
      <c r="A25">
        <v>23</v>
      </c>
      <c r="B25" s="1">
        <f>SUM('UPS RATES'!B25-'FedEx Rates'!B24)</f>
        <v>2.9200000000000017</v>
      </c>
      <c r="C25" s="1">
        <f>SUM('UPS RATES'!C25-'FedEx Rates'!C24)</f>
        <v>3.4600000000000009</v>
      </c>
      <c r="D25" s="1">
        <f>SUM('UPS RATES'!D25-'FedEx Rates'!D24)</f>
        <v>4.5199999999999996</v>
      </c>
      <c r="E25" s="1">
        <f>SUM('UPS RATES'!E25-'FedEx Rates'!E24)</f>
        <v>6.4600000000000009</v>
      </c>
      <c r="F25" s="1">
        <f>SUM('UPS RATES'!F25-'FedEx Rates'!F24)</f>
        <v>9.61</v>
      </c>
      <c r="G25" s="1">
        <f>SUM('UPS RATES'!G25-'FedEx Rates'!G24)</f>
        <v>10.5</v>
      </c>
      <c r="H25" s="1">
        <f>SUM('UPS RATES'!H25-'FedEx Rates'!H24)</f>
        <v>11.190000000000005</v>
      </c>
      <c r="I25" s="1">
        <f>SUM('UPS RATES'!I25-'FedEx Rates'!I24)</f>
        <v>3.24</v>
      </c>
      <c r="J25" s="1">
        <f>SUM('UPS RATES'!J25-'FedEx Rates'!J24)</f>
        <v>4.67</v>
      </c>
      <c r="K25" s="1">
        <f>SUM('UPS RATES'!K25-'FedEx Rates'!K24)</f>
        <v>5.43</v>
      </c>
      <c r="L25" s="1">
        <f>SUM('UPS RATES'!L25-'FedEx Rates'!L24)</f>
        <v>8.39</v>
      </c>
      <c r="M25" s="1">
        <f>SUM('UPS RATES'!M25-'FedEx Rates'!M24)</f>
        <v>13.659999999999997</v>
      </c>
      <c r="N25" s="1">
        <f>SUM('UPS RATES'!N25-'FedEx Rates'!N24)</f>
        <v>16.399999999999999</v>
      </c>
      <c r="O25" s="1">
        <f>SUM('UPS RATES'!O25-'FedEx Rates'!O24)</f>
        <v>18.18</v>
      </c>
      <c r="P25" s="1">
        <f>SUM('UPS RATES'!P25-'FedEx Rates'!P24)</f>
        <v>1.5999999999999996</v>
      </c>
      <c r="Q25" s="1">
        <f>SUM('UPS RATES'!Q25-'FedEx Rates'!Q24)</f>
        <v>2.2200000000000006</v>
      </c>
      <c r="R25" s="1">
        <f>SUM('UPS RATES'!R25-'FedEx Rates'!R24)</f>
        <v>2.3999999999999995</v>
      </c>
      <c r="S25" s="1">
        <f>SUM('UPS RATES'!S25-'FedEx Rates'!S24)</f>
        <v>2.83</v>
      </c>
      <c r="T25" s="1">
        <f>SUM('UPS RATES'!T25-'FedEx Rates'!T24)</f>
        <v>3.4600000000000009</v>
      </c>
      <c r="U25" s="1">
        <f>SUM('UPS RATES'!U25-'FedEx Rates'!U24)</f>
        <v>4.1300000000000008</v>
      </c>
      <c r="V25" s="1">
        <f>SUM('UPS RATES'!V25-'FedEx Rates'!V24)</f>
        <v>4.7100000000000009</v>
      </c>
      <c r="W25" s="1">
        <f>SUM('UPS RATES'!W25-'FedEx Rates'!W24)</f>
        <v>7.2400000000000011</v>
      </c>
      <c r="X25" s="1">
        <f>SUM('UPS RATES'!X25-'FedEx Rates'!X24)</f>
        <v>11.329999999999998</v>
      </c>
      <c r="Y25" s="1">
        <f>SUM('UPS RATES'!Y25-'FedEx Rates'!Y24)</f>
        <v>21.38</v>
      </c>
      <c r="Z25" s="1">
        <f>SUM('UPS RATES'!Z25-'FedEx Rates'!Z24)</f>
        <v>23.19</v>
      </c>
      <c r="AA25" s="1">
        <f>SUM('UPS RATES'!AA25-'FedEx Rates'!AA24)</f>
        <v>24.580000000000002</v>
      </c>
      <c r="AB25" s="1">
        <f>SUM('UPS RATES'!AB25-'FedEx Rates'!AB24)</f>
        <v>27.16</v>
      </c>
      <c r="AC25" s="1">
        <f>SUM('UPS RATES'!AC25-'FedEx Rates'!AC24)</f>
        <v>27.7</v>
      </c>
    </row>
    <row r="26" spans="1:29" x14ac:dyDescent="0.25">
      <c r="A26">
        <v>24</v>
      </c>
      <c r="B26" s="1">
        <f>SUM('UPS RATES'!B26-'FedEx Rates'!B25)</f>
        <v>2.99</v>
      </c>
      <c r="C26" s="1">
        <f>SUM('UPS RATES'!C26-'FedEx Rates'!C25)</f>
        <v>3.59</v>
      </c>
      <c r="D26" s="1">
        <f>SUM('UPS RATES'!D26-'FedEx Rates'!D25)</f>
        <v>4.66</v>
      </c>
      <c r="E26" s="1">
        <f>SUM('UPS RATES'!E26-'FedEx Rates'!E25)</f>
        <v>6.7100000000000009</v>
      </c>
      <c r="F26" s="1">
        <f>SUM('UPS RATES'!F26-'FedEx Rates'!F25)</f>
        <v>9.9499999999999993</v>
      </c>
      <c r="G26" s="1">
        <f>SUM('UPS RATES'!G26-'FedEx Rates'!G25)</f>
        <v>11.090000000000003</v>
      </c>
      <c r="H26" s="1">
        <f>SUM('UPS RATES'!H26-'FedEx Rates'!H25)</f>
        <v>11.310000000000002</v>
      </c>
      <c r="I26" s="1">
        <f>SUM('UPS RATES'!I26-'FedEx Rates'!I25)</f>
        <v>3.26</v>
      </c>
      <c r="J26" s="1">
        <f>SUM('UPS RATES'!J26-'FedEx Rates'!J25)</f>
        <v>4.41</v>
      </c>
      <c r="K26" s="1">
        <f>SUM('UPS RATES'!K26-'FedEx Rates'!K25)</f>
        <v>5.5499999999999989</v>
      </c>
      <c r="L26" s="1">
        <f>SUM('UPS RATES'!L26-'FedEx Rates'!L25)</f>
        <v>8.66</v>
      </c>
      <c r="M26" s="1">
        <f>SUM('UPS RATES'!M26-'FedEx Rates'!M25)</f>
        <v>14.149999999999995</v>
      </c>
      <c r="N26" s="1">
        <f>SUM('UPS RATES'!N26-'FedEx Rates'!N25)</f>
        <v>16.53</v>
      </c>
      <c r="O26" s="1">
        <f>SUM('UPS RATES'!O26-'FedEx Rates'!O25)</f>
        <v>19.509999999999998</v>
      </c>
      <c r="P26" s="1">
        <f>SUM('UPS RATES'!P26-'FedEx Rates'!P25)</f>
        <v>1.8100000000000005</v>
      </c>
      <c r="Q26" s="1">
        <f>SUM('UPS RATES'!Q26-'FedEx Rates'!Q25)</f>
        <v>2.2999999999999998</v>
      </c>
      <c r="R26" s="1">
        <f>SUM('UPS RATES'!R26-'FedEx Rates'!R25)</f>
        <v>2.4499999999999993</v>
      </c>
      <c r="S26" s="1">
        <f>SUM('UPS RATES'!S26-'FedEx Rates'!S25)</f>
        <v>2.9699999999999989</v>
      </c>
      <c r="T26" s="1">
        <f>SUM('UPS RATES'!T26-'FedEx Rates'!T25)</f>
        <v>3.629999999999999</v>
      </c>
      <c r="U26" s="1">
        <f>SUM('UPS RATES'!U26-'FedEx Rates'!U25)</f>
        <v>4.2600000000000016</v>
      </c>
      <c r="V26" s="1">
        <f>SUM('UPS RATES'!V26-'FedEx Rates'!V25)</f>
        <v>4.99</v>
      </c>
      <c r="W26" s="1">
        <f>SUM('UPS RATES'!W26-'FedEx Rates'!W25)</f>
        <v>7.64</v>
      </c>
      <c r="X26" s="1">
        <f>SUM('UPS RATES'!X26-'FedEx Rates'!X25)</f>
        <v>11.37</v>
      </c>
      <c r="Y26" s="1">
        <f>SUM('UPS RATES'!Y26-'FedEx Rates'!Y25)</f>
        <v>21.69</v>
      </c>
      <c r="Z26" s="1">
        <f>SUM('UPS RATES'!Z26-'FedEx Rates'!Z25)</f>
        <v>24.139999999999997</v>
      </c>
      <c r="AA26" s="1">
        <f>SUM('UPS RATES'!AA26-'FedEx Rates'!AA25)</f>
        <v>24.78</v>
      </c>
      <c r="AB26" s="1">
        <f>SUM('UPS RATES'!AB26-'FedEx Rates'!AB25)</f>
        <v>27.640000000000004</v>
      </c>
      <c r="AC26" s="1">
        <f>SUM('UPS RATES'!AC26-'FedEx Rates'!AC25)</f>
        <v>28.259999999999998</v>
      </c>
    </row>
    <row r="27" spans="1:29" x14ac:dyDescent="0.25">
      <c r="A27">
        <v>25</v>
      </c>
      <c r="B27" s="1">
        <f>SUM('UPS RATES'!B27-'FedEx Rates'!B26)</f>
        <v>3.09</v>
      </c>
      <c r="C27" s="1">
        <f>SUM('UPS RATES'!C27-'FedEx Rates'!C26)</f>
        <v>3.7000000000000011</v>
      </c>
      <c r="D27" s="1">
        <f>SUM('UPS RATES'!D27-'FedEx Rates'!D26)</f>
        <v>4.7499999999999982</v>
      </c>
      <c r="E27" s="1">
        <f>SUM('UPS RATES'!E27-'FedEx Rates'!E26)</f>
        <v>6.9499999999999993</v>
      </c>
      <c r="F27" s="1">
        <f>SUM('UPS RATES'!F27-'FedEx Rates'!F26)</f>
        <v>10.269999999999996</v>
      </c>
      <c r="G27" s="1">
        <f>SUM('UPS RATES'!G27-'FedEx Rates'!G26)</f>
        <v>11.299999999999997</v>
      </c>
      <c r="H27" s="1">
        <f>SUM('UPS RATES'!H27-'FedEx Rates'!H26)</f>
        <v>11.779999999999994</v>
      </c>
      <c r="I27" s="1">
        <f>SUM('UPS RATES'!I27-'FedEx Rates'!I26)</f>
        <v>3.66</v>
      </c>
      <c r="J27" s="1">
        <f>SUM('UPS RATES'!J27-'FedEx Rates'!J26)</f>
        <v>4.6099999999999994</v>
      </c>
      <c r="K27" s="1">
        <f>SUM('UPS RATES'!K27-'FedEx Rates'!K26)</f>
        <v>5.7799999999999994</v>
      </c>
      <c r="L27" s="1">
        <f>SUM('UPS RATES'!L27-'FedEx Rates'!L26)</f>
        <v>8.9600000000000009</v>
      </c>
      <c r="M27" s="1">
        <f>SUM('UPS RATES'!M27-'FedEx Rates'!M26)</f>
        <v>14.5</v>
      </c>
      <c r="N27" s="1">
        <f>SUM('UPS RATES'!N27-'FedEx Rates'!N26)</f>
        <v>17.57</v>
      </c>
      <c r="O27" s="1">
        <f>SUM('UPS RATES'!O27-'FedEx Rates'!O26)</f>
        <v>18.560000000000002</v>
      </c>
      <c r="P27" s="1">
        <f>SUM('UPS RATES'!P27-'FedEx Rates'!P26)</f>
        <v>1.83</v>
      </c>
      <c r="Q27" s="1">
        <f>SUM('UPS RATES'!Q27-'FedEx Rates'!Q26)</f>
        <v>2.3099999999999996</v>
      </c>
      <c r="R27" s="1">
        <f>SUM('UPS RATES'!R27-'FedEx Rates'!R26)</f>
        <v>2.4699999999999998</v>
      </c>
      <c r="S27" s="1">
        <f>SUM('UPS RATES'!S27-'FedEx Rates'!S26)</f>
        <v>2.9499999999999993</v>
      </c>
      <c r="T27" s="1">
        <f>SUM('UPS RATES'!T27-'FedEx Rates'!T26)</f>
        <v>3.74</v>
      </c>
      <c r="U27" s="1">
        <f>SUM('UPS RATES'!U27-'FedEx Rates'!U26)</f>
        <v>4.5</v>
      </c>
      <c r="V27" s="1">
        <f>SUM('UPS RATES'!V27-'FedEx Rates'!V26)</f>
        <v>5.1400000000000006</v>
      </c>
      <c r="W27" s="1">
        <f>SUM('UPS RATES'!W27-'FedEx Rates'!W26)</f>
        <v>7.72</v>
      </c>
      <c r="X27" s="1">
        <f>SUM('UPS RATES'!X27-'FedEx Rates'!X26)</f>
        <v>11.429999999999998</v>
      </c>
      <c r="Y27" s="1">
        <f>SUM('UPS RATES'!Y27-'FedEx Rates'!Y26)</f>
        <v>22.439999999999998</v>
      </c>
      <c r="Z27" s="1">
        <f>SUM('UPS RATES'!Z27-'FedEx Rates'!Z26)</f>
        <v>24.229999999999997</v>
      </c>
      <c r="AA27" s="1">
        <f>SUM('UPS RATES'!AA27-'FedEx Rates'!AA26)</f>
        <v>25.259999999999998</v>
      </c>
      <c r="AB27" s="1">
        <f>SUM('UPS RATES'!AB27-'FedEx Rates'!AB26)</f>
        <v>27.779999999999998</v>
      </c>
      <c r="AC27" s="1">
        <f>SUM('UPS RATES'!AC27-'FedEx Rates'!AC26)</f>
        <v>28.330000000000002</v>
      </c>
    </row>
    <row r="28" spans="1:29" x14ac:dyDescent="0.25">
      <c r="A28">
        <v>26</v>
      </c>
      <c r="B28" s="1">
        <f>SUM('UPS RATES'!B28-'FedEx Rates'!B27)</f>
        <v>3.17</v>
      </c>
      <c r="C28" s="1">
        <f>SUM('UPS RATES'!C28-'FedEx Rates'!C27)</f>
        <v>3.8100000000000005</v>
      </c>
      <c r="D28" s="1">
        <f>SUM('UPS RATES'!D28-'FedEx Rates'!D27)</f>
        <v>4.92</v>
      </c>
      <c r="E28" s="1">
        <f>SUM('UPS RATES'!E28-'FedEx Rates'!E27)</f>
        <v>7.1699999999999982</v>
      </c>
      <c r="F28" s="1">
        <f>SUM('UPS RATES'!F28-'FedEx Rates'!F27)</f>
        <v>10.619999999999997</v>
      </c>
      <c r="G28" s="1">
        <f>SUM('UPS RATES'!G28-'FedEx Rates'!G27)</f>
        <v>11.700000000000003</v>
      </c>
      <c r="H28" s="1">
        <f>SUM('UPS RATES'!H28-'FedEx Rates'!H27)</f>
        <v>12.099999999999994</v>
      </c>
      <c r="I28" s="1">
        <f>SUM('UPS RATES'!I28-'FedEx Rates'!I27)</f>
        <v>3.6799999999999997</v>
      </c>
      <c r="J28" s="1">
        <f>SUM('UPS RATES'!J28-'FedEx Rates'!J27)</f>
        <v>4.8400000000000016</v>
      </c>
      <c r="K28" s="1">
        <f>SUM('UPS RATES'!K28-'FedEx Rates'!K27)</f>
        <v>5.9399999999999995</v>
      </c>
      <c r="L28" s="1">
        <f>SUM('UPS RATES'!L28-'FedEx Rates'!L27)</f>
        <v>9.1900000000000013</v>
      </c>
      <c r="M28" s="1">
        <f>SUM('UPS RATES'!M28-'FedEx Rates'!M27)</f>
        <v>14.920000000000002</v>
      </c>
      <c r="N28" s="1">
        <f>SUM('UPS RATES'!N28-'FedEx Rates'!N27)</f>
        <v>18.169999999999998</v>
      </c>
      <c r="O28" s="1">
        <f>SUM('UPS RATES'!O28-'FedEx Rates'!O27)</f>
        <v>19.11</v>
      </c>
      <c r="P28" s="1">
        <f>SUM('UPS RATES'!P28-'FedEx Rates'!P27)</f>
        <v>2.08</v>
      </c>
      <c r="Q28" s="1">
        <f>SUM('UPS RATES'!Q28-'FedEx Rates'!Q27)</f>
        <v>2.3899999999999997</v>
      </c>
      <c r="R28" s="1">
        <f>SUM('UPS RATES'!R28-'FedEx Rates'!R27)</f>
        <v>2.5699999999999994</v>
      </c>
      <c r="S28" s="1">
        <f>SUM('UPS RATES'!S28-'FedEx Rates'!S27)</f>
        <v>3.08</v>
      </c>
      <c r="T28" s="1">
        <f>SUM('UPS RATES'!T28-'FedEx Rates'!T27)</f>
        <v>3.8699999999999992</v>
      </c>
      <c r="U28" s="1">
        <f>SUM('UPS RATES'!U28-'FedEx Rates'!U27)</f>
        <v>4.6800000000000015</v>
      </c>
      <c r="V28" s="1">
        <f>SUM('UPS RATES'!V28-'FedEx Rates'!V27)</f>
        <v>5.3500000000000014</v>
      </c>
      <c r="W28" s="1">
        <f>SUM('UPS RATES'!W28-'FedEx Rates'!W27)</f>
        <v>8.620000000000001</v>
      </c>
      <c r="X28" s="1">
        <f>SUM('UPS RATES'!X28-'FedEx Rates'!X27)</f>
        <v>12.329999999999998</v>
      </c>
      <c r="Y28" s="1">
        <f>SUM('UPS RATES'!Y28-'FedEx Rates'!Y27)</f>
        <v>23.74</v>
      </c>
      <c r="Z28" s="1">
        <f>SUM('UPS RATES'!Z28-'FedEx Rates'!Z27)</f>
        <v>25.9</v>
      </c>
      <c r="AA28" s="1">
        <f>SUM('UPS RATES'!AA28-'FedEx Rates'!AA27)</f>
        <v>27.259999999999998</v>
      </c>
      <c r="AB28" s="1">
        <f>SUM('UPS RATES'!AB28-'FedEx Rates'!AB27)</f>
        <v>28.47</v>
      </c>
      <c r="AC28" s="1">
        <f>SUM('UPS RATES'!AC28-'FedEx Rates'!AC27)</f>
        <v>29.749999999999996</v>
      </c>
    </row>
    <row r="29" spans="1:29" x14ac:dyDescent="0.25">
      <c r="A29">
        <v>27</v>
      </c>
      <c r="B29" s="1">
        <f>SUM('UPS RATES'!B29-'FedEx Rates'!B28)</f>
        <v>3.2800000000000011</v>
      </c>
      <c r="C29" s="1">
        <f>SUM('UPS RATES'!C29-'FedEx Rates'!C28)</f>
        <v>3.9099999999999984</v>
      </c>
      <c r="D29" s="1">
        <f>SUM('UPS RATES'!D29-'FedEx Rates'!D28)</f>
        <v>5.0599999999999987</v>
      </c>
      <c r="E29" s="1">
        <f>SUM('UPS RATES'!E29-'FedEx Rates'!E28)</f>
        <v>7.4200000000000017</v>
      </c>
      <c r="F29" s="1">
        <f>SUM('UPS RATES'!F29-'FedEx Rates'!F28)</f>
        <v>10.989999999999995</v>
      </c>
      <c r="G29" s="1">
        <f>SUM('UPS RATES'!G29-'FedEx Rates'!G28)</f>
        <v>12.080000000000005</v>
      </c>
      <c r="H29" s="1">
        <f>SUM('UPS RATES'!H29-'FedEx Rates'!H28)</f>
        <v>12.479999999999997</v>
      </c>
      <c r="I29" s="1">
        <f>SUM('UPS RATES'!I29-'FedEx Rates'!I28)</f>
        <v>3.7800000000000011</v>
      </c>
      <c r="J29" s="1">
        <f>SUM('UPS RATES'!J29-'FedEx Rates'!J28)</f>
        <v>4.9500000000000011</v>
      </c>
      <c r="K29" s="1">
        <f>SUM('UPS RATES'!K29-'FedEx Rates'!K28)</f>
        <v>6.1400000000000006</v>
      </c>
      <c r="L29" s="1">
        <f>SUM('UPS RATES'!L29-'FedEx Rates'!L28)</f>
        <v>9.7600000000000016</v>
      </c>
      <c r="M29" s="1">
        <f>SUM('UPS RATES'!M29-'FedEx Rates'!M28)</f>
        <v>15.810000000000002</v>
      </c>
      <c r="N29" s="1">
        <f>SUM('UPS RATES'!N29-'FedEx Rates'!N28)</f>
        <v>18.810000000000002</v>
      </c>
      <c r="O29" s="1">
        <f>SUM('UPS RATES'!O29-'FedEx Rates'!O28)</f>
        <v>19.869999999999997</v>
      </c>
      <c r="P29" s="1">
        <f>SUM('UPS RATES'!P29-'FedEx Rates'!P28)</f>
        <v>2.1300000000000008</v>
      </c>
      <c r="Q29" s="1">
        <f>SUM('UPS RATES'!Q29-'FedEx Rates'!Q28)</f>
        <v>2.4400000000000004</v>
      </c>
      <c r="R29" s="1">
        <f>SUM('UPS RATES'!R29-'FedEx Rates'!R28)</f>
        <v>2.620000000000001</v>
      </c>
      <c r="S29" s="1">
        <f>SUM('UPS RATES'!S29-'FedEx Rates'!S28)</f>
        <v>3.1199999999999992</v>
      </c>
      <c r="T29" s="1">
        <f>SUM('UPS RATES'!T29-'FedEx Rates'!T28)</f>
        <v>4.0300000000000011</v>
      </c>
      <c r="U29" s="1">
        <f>SUM('UPS RATES'!U29-'FedEx Rates'!U28)</f>
        <v>4.7699999999999996</v>
      </c>
      <c r="V29" s="1">
        <f>SUM('UPS RATES'!V29-'FedEx Rates'!V28)</f>
        <v>5.4400000000000013</v>
      </c>
      <c r="W29" s="1">
        <f>SUM('UPS RATES'!W29-'FedEx Rates'!W28)</f>
        <v>8.629999999999999</v>
      </c>
      <c r="X29" s="1">
        <f>SUM('UPS RATES'!X29-'FedEx Rates'!X28)</f>
        <v>12.420000000000002</v>
      </c>
      <c r="Y29" s="1">
        <f>SUM('UPS RATES'!Y29-'FedEx Rates'!Y28)</f>
        <v>24.23</v>
      </c>
      <c r="Z29" s="1">
        <f>SUM('UPS RATES'!Z29-'FedEx Rates'!Z28)</f>
        <v>25.980000000000004</v>
      </c>
      <c r="AA29" s="1">
        <f>SUM('UPS RATES'!AA29-'FedEx Rates'!AA28)</f>
        <v>27.78</v>
      </c>
      <c r="AB29" s="1">
        <f>SUM('UPS RATES'!AB29-'FedEx Rates'!AB28)</f>
        <v>29.17</v>
      </c>
      <c r="AC29" s="1">
        <f>SUM('UPS RATES'!AC29-'FedEx Rates'!AC28)</f>
        <v>31.080000000000002</v>
      </c>
    </row>
    <row r="30" spans="1:29" x14ac:dyDescent="0.25">
      <c r="A30">
        <v>28</v>
      </c>
      <c r="B30" s="1">
        <f>SUM('UPS RATES'!B30-'FedEx Rates'!B29)</f>
        <v>3.3800000000000008</v>
      </c>
      <c r="C30" s="1">
        <f>SUM('UPS RATES'!C30-'FedEx Rates'!C29)</f>
        <v>4.0400000000000009</v>
      </c>
      <c r="D30" s="1">
        <f>SUM('UPS RATES'!D30-'FedEx Rates'!D29)</f>
        <v>5.16</v>
      </c>
      <c r="E30" s="1">
        <f>SUM('UPS RATES'!E30-'FedEx Rates'!E29)</f>
        <v>7.6000000000000014</v>
      </c>
      <c r="F30" s="1">
        <f>SUM('UPS RATES'!F30-'FedEx Rates'!F29)</f>
        <v>11.269999999999996</v>
      </c>
      <c r="G30" s="1">
        <f>SUM('UPS RATES'!G30-'FedEx Rates'!G29)</f>
        <v>12.39</v>
      </c>
      <c r="H30" s="1">
        <f>SUM('UPS RATES'!H30-'FedEx Rates'!H29)</f>
        <v>12.780000000000001</v>
      </c>
      <c r="I30" s="1">
        <f>SUM('UPS RATES'!I30-'FedEx Rates'!I29)</f>
        <v>3.91</v>
      </c>
      <c r="J30" s="1">
        <f>SUM('UPS RATES'!J30-'FedEx Rates'!J29)</f>
        <v>5.08</v>
      </c>
      <c r="K30" s="1">
        <f>SUM('UPS RATES'!K30-'FedEx Rates'!K29)</f>
        <v>6.2800000000000011</v>
      </c>
      <c r="L30" s="1">
        <f>SUM('UPS RATES'!L30-'FedEx Rates'!L29)</f>
        <v>9.7199999999999989</v>
      </c>
      <c r="M30" s="1">
        <f>SUM('UPS RATES'!M30-'FedEx Rates'!M29)</f>
        <v>15</v>
      </c>
      <c r="N30" s="1">
        <f>SUM('UPS RATES'!N30-'FedEx Rates'!N29)</f>
        <v>19.36</v>
      </c>
      <c r="O30" s="1">
        <f>SUM('UPS RATES'!O30-'FedEx Rates'!O29)</f>
        <v>20.339999999999996</v>
      </c>
      <c r="P30" s="1">
        <f>SUM('UPS RATES'!P30-'FedEx Rates'!P29)</f>
        <v>2.17</v>
      </c>
      <c r="Q30" s="1">
        <f>SUM('UPS RATES'!Q30-'FedEx Rates'!Q29)</f>
        <v>2.5</v>
      </c>
      <c r="R30" s="1">
        <f>SUM('UPS RATES'!R30-'FedEx Rates'!R29)</f>
        <v>2.7300000000000004</v>
      </c>
      <c r="S30" s="1">
        <f>SUM('UPS RATES'!S30-'FedEx Rates'!S29)</f>
        <v>3.3699999999999992</v>
      </c>
      <c r="T30" s="1">
        <f>SUM('UPS RATES'!T30-'FedEx Rates'!T29)</f>
        <v>4.2200000000000024</v>
      </c>
      <c r="U30" s="1">
        <f>SUM('UPS RATES'!U30-'FedEx Rates'!U29)</f>
        <v>4.9899999999999984</v>
      </c>
      <c r="V30" s="1">
        <f>SUM('UPS RATES'!V30-'FedEx Rates'!V29)</f>
        <v>5.6400000000000006</v>
      </c>
      <c r="W30" s="1">
        <f>SUM('UPS RATES'!W30-'FedEx Rates'!W29)</f>
        <v>8.82</v>
      </c>
      <c r="X30" s="1">
        <f>SUM('UPS RATES'!X30-'FedEx Rates'!X29)</f>
        <v>12.46</v>
      </c>
      <c r="Y30" s="1">
        <f>SUM('UPS RATES'!Y30-'FedEx Rates'!Y29)</f>
        <v>24.89</v>
      </c>
      <c r="Z30" s="1">
        <f>SUM('UPS RATES'!Z30-'FedEx Rates'!Z29)</f>
        <v>26.74</v>
      </c>
      <c r="AA30" s="1">
        <f>SUM('UPS RATES'!AA30-'FedEx Rates'!AA29)</f>
        <v>27.93</v>
      </c>
      <c r="AB30" s="1">
        <f>SUM('UPS RATES'!AB30-'FedEx Rates'!AB29)</f>
        <v>29.819999999999997</v>
      </c>
      <c r="AC30" s="1">
        <f>SUM('UPS RATES'!AC30-'FedEx Rates'!AC29)</f>
        <v>31.85</v>
      </c>
    </row>
    <row r="31" spans="1:29" x14ac:dyDescent="0.25">
      <c r="A31">
        <v>29</v>
      </c>
      <c r="B31" s="1">
        <f>SUM('UPS RATES'!B31-'FedEx Rates'!B30)</f>
        <v>3.4700000000000006</v>
      </c>
      <c r="C31" s="1">
        <f>SUM('UPS RATES'!C31-'FedEx Rates'!C30)</f>
        <v>4.1100000000000012</v>
      </c>
      <c r="D31" s="1">
        <f>SUM('UPS RATES'!D31-'FedEx Rates'!D30)</f>
        <v>5.3099999999999987</v>
      </c>
      <c r="E31" s="1">
        <f>SUM('UPS RATES'!E31-'FedEx Rates'!E30)</f>
        <v>7.7900000000000027</v>
      </c>
      <c r="F31" s="1">
        <f>SUM('UPS RATES'!F31-'FedEx Rates'!F30)</f>
        <v>11.57</v>
      </c>
      <c r="G31" s="1">
        <f>SUM('UPS RATES'!G31-'FedEx Rates'!G30)</f>
        <v>12.71</v>
      </c>
      <c r="H31" s="1">
        <f>SUM('UPS RATES'!H31-'FedEx Rates'!H30)</f>
        <v>13.160000000000004</v>
      </c>
      <c r="I31" s="1">
        <f>SUM('UPS RATES'!I31-'FedEx Rates'!I30)</f>
        <v>3.8900000000000006</v>
      </c>
      <c r="J31" s="1">
        <f>SUM('UPS RATES'!J31-'FedEx Rates'!J30)</f>
        <v>4.8599999999999994</v>
      </c>
      <c r="K31" s="1">
        <f>SUM('UPS RATES'!K31-'FedEx Rates'!K30)</f>
        <v>6.4400000000000013</v>
      </c>
      <c r="L31" s="1">
        <f>SUM('UPS RATES'!L31-'FedEx Rates'!L30)</f>
        <v>9.9499999999999993</v>
      </c>
      <c r="M31" s="1">
        <f>SUM('UPS RATES'!M31-'FedEx Rates'!M30)</f>
        <v>15.399999999999995</v>
      </c>
      <c r="N31" s="1">
        <f>SUM('UPS RATES'!N31-'FedEx Rates'!N30)</f>
        <v>19.96</v>
      </c>
      <c r="O31" s="1">
        <f>SUM('UPS RATES'!O31-'FedEx Rates'!O30)</f>
        <v>21.18</v>
      </c>
      <c r="P31" s="1">
        <f>SUM('UPS RATES'!P31-'FedEx Rates'!P30)</f>
        <v>2.1799999999999997</v>
      </c>
      <c r="Q31" s="1">
        <f>SUM('UPS RATES'!Q31-'FedEx Rates'!Q30)</f>
        <v>2.54</v>
      </c>
      <c r="R31" s="1">
        <f>SUM('UPS RATES'!R31-'FedEx Rates'!R30)</f>
        <v>2.8499999999999996</v>
      </c>
      <c r="S31" s="1">
        <f>SUM('UPS RATES'!S31-'FedEx Rates'!S30)</f>
        <v>3.4000000000000004</v>
      </c>
      <c r="T31" s="1">
        <f>SUM('UPS RATES'!T31-'FedEx Rates'!T30)</f>
        <v>4.3399999999999981</v>
      </c>
      <c r="U31" s="1">
        <f>SUM('UPS RATES'!U31-'FedEx Rates'!U30)</f>
        <v>5.1000000000000014</v>
      </c>
      <c r="V31" s="1">
        <f>SUM('UPS RATES'!V31-'FedEx Rates'!V30)</f>
        <v>5.7999999999999972</v>
      </c>
      <c r="W31" s="1">
        <f>SUM('UPS RATES'!W31-'FedEx Rates'!W30)</f>
        <v>8.8600000000000012</v>
      </c>
      <c r="X31" s="1">
        <f>SUM('UPS RATES'!X31-'FedEx Rates'!X30)</f>
        <v>12.52</v>
      </c>
      <c r="Y31" s="1">
        <f>SUM('UPS RATES'!Y31-'FedEx Rates'!Y30)</f>
        <v>25.460000000000004</v>
      </c>
      <c r="Z31" s="1">
        <f>SUM('UPS RATES'!Z31-'FedEx Rates'!Z30)</f>
        <v>26.810000000000002</v>
      </c>
      <c r="AA31" s="1">
        <f>SUM('UPS RATES'!AA31-'FedEx Rates'!AA30)</f>
        <v>28.02</v>
      </c>
      <c r="AB31" s="1">
        <f>SUM('UPS RATES'!AB31-'FedEx Rates'!AB30)</f>
        <v>30.480000000000004</v>
      </c>
      <c r="AC31" s="1">
        <f>SUM('UPS RATES'!AC31-'FedEx Rates'!AC30)</f>
        <v>32.010000000000005</v>
      </c>
    </row>
    <row r="32" spans="1:29" x14ac:dyDescent="0.25">
      <c r="A32">
        <v>30</v>
      </c>
      <c r="B32" s="1">
        <f>SUM('UPS RATES'!B32-'FedEx Rates'!B31)</f>
        <v>3.4800000000000004</v>
      </c>
      <c r="C32" s="1">
        <f>SUM('UPS RATES'!C32-'FedEx Rates'!C31)</f>
        <v>4.2299999999999986</v>
      </c>
      <c r="D32" s="1">
        <f>SUM('UPS RATES'!D32-'FedEx Rates'!D31)</f>
        <v>5.5</v>
      </c>
      <c r="E32" s="1">
        <f>SUM('UPS RATES'!E32-'FedEx Rates'!E31)</f>
        <v>8.0299999999999976</v>
      </c>
      <c r="F32" s="1">
        <f>SUM('UPS RATES'!F32-'FedEx Rates'!F31)</f>
        <v>11.89</v>
      </c>
      <c r="G32" s="1">
        <f>SUM('UPS RATES'!G32-'FedEx Rates'!G31)</f>
        <v>13.050000000000004</v>
      </c>
      <c r="H32" s="1">
        <f>SUM('UPS RATES'!H32-'FedEx Rates'!H31)</f>
        <v>13.490000000000002</v>
      </c>
      <c r="I32" s="1">
        <f>SUM('UPS RATES'!I32-'FedEx Rates'!I31)</f>
        <v>4.08</v>
      </c>
      <c r="J32" s="1">
        <f>SUM('UPS RATES'!J32-'FedEx Rates'!J31)</f>
        <v>4.7700000000000014</v>
      </c>
      <c r="K32" s="1">
        <f>SUM('UPS RATES'!K32-'FedEx Rates'!K31)</f>
        <v>6.5299999999999994</v>
      </c>
      <c r="L32" s="1">
        <f>SUM('UPS RATES'!L32-'FedEx Rates'!L31)</f>
        <v>10.27</v>
      </c>
      <c r="M32" s="1">
        <f>SUM('UPS RATES'!M32-'FedEx Rates'!M31)</f>
        <v>15.939999999999998</v>
      </c>
      <c r="N32" s="1">
        <f>SUM('UPS RATES'!N32-'FedEx Rates'!N31)</f>
        <v>19.900000000000002</v>
      </c>
      <c r="O32" s="1">
        <f>SUM('UPS RATES'!O32-'FedEx Rates'!O31)</f>
        <v>21.61</v>
      </c>
      <c r="P32" s="1">
        <f>SUM('UPS RATES'!P32-'FedEx Rates'!P31)</f>
        <v>2.2599999999999998</v>
      </c>
      <c r="Q32" s="1">
        <f>SUM('UPS RATES'!Q32-'FedEx Rates'!Q31)</f>
        <v>2.6099999999999994</v>
      </c>
      <c r="R32" s="1">
        <f>SUM('UPS RATES'!R32-'FedEx Rates'!R31)</f>
        <v>2.9499999999999993</v>
      </c>
      <c r="S32" s="1">
        <f>SUM('UPS RATES'!S32-'FedEx Rates'!S31)</f>
        <v>3.5399999999999991</v>
      </c>
      <c r="T32" s="1">
        <f>SUM('UPS RATES'!T32-'FedEx Rates'!T31)</f>
        <v>4.41</v>
      </c>
      <c r="U32" s="1">
        <f>SUM('UPS RATES'!U32-'FedEx Rates'!U31)</f>
        <v>5.1300000000000008</v>
      </c>
      <c r="V32" s="1">
        <f>SUM('UPS RATES'!V32-'FedEx Rates'!V31)</f>
        <v>6.0399999999999991</v>
      </c>
      <c r="W32" s="1">
        <f>SUM('UPS RATES'!W32-'FedEx Rates'!W31)</f>
        <v>8.89</v>
      </c>
      <c r="X32" s="1">
        <f>SUM('UPS RATES'!X32-'FedEx Rates'!X31)</f>
        <v>12.55</v>
      </c>
      <c r="Y32" s="1">
        <f>SUM('UPS RATES'!Y32-'FedEx Rates'!Y31)</f>
        <v>25.520000000000003</v>
      </c>
      <c r="Z32" s="1">
        <f>SUM('UPS RATES'!Z32-'FedEx Rates'!Z31)</f>
        <v>27.049999999999997</v>
      </c>
      <c r="AA32" s="1">
        <f>SUM('UPS RATES'!AA32-'FedEx Rates'!AA31)</f>
        <v>28.08</v>
      </c>
      <c r="AB32" s="1">
        <f>SUM('UPS RATES'!AB32-'FedEx Rates'!AB31)</f>
        <v>30.62</v>
      </c>
      <c r="AC32" s="1">
        <f>SUM('UPS RATES'!AC32-'FedEx Rates'!AC31)</f>
        <v>31.96</v>
      </c>
    </row>
    <row r="33" spans="1:29" x14ac:dyDescent="0.25">
      <c r="A33">
        <v>31</v>
      </c>
      <c r="B33" s="1">
        <f>SUM('UPS RATES'!B33-'FedEx Rates'!B32)</f>
        <v>3.5</v>
      </c>
      <c r="C33" s="1">
        <f>SUM('UPS RATES'!C33-'FedEx Rates'!C32)</f>
        <v>4.370000000000001</v>
      </c>
      <c r="D33" s="1">
        <f>SUM('UPS RATES'!D33-'FedEx Rates'!D32)</f>
        <v>5.6400000000000006</v>
      </c>
      <c r="E33" s="1">
        <f>SUM('UPS RATES'!E33-'FedEx Rates'!E32)</f>
        <v>8.2200000000000024</v>
      </c>
      <c r="F33" s="1">
        <f>SUM('UPS RATES'!F33-'FedEx Rates'!F32)</f>
        <v>12.160000000000004</v>
      </c>
      <c r="G33" s="1">
        <f>SUM('UPS RATES'!G33-'FedEx Rates'!G32)</f>
        <v>13.329999999999998</v>
      </c>
      <c r="H33" s="1">
        <f>SUM('UPS RATES'!H33-'FedEx Rates'!H32)</f>
        <v>13.86</v>
      </c>
      <c r="I33" s="1">
        <f>SUM('UPS RATES'!I33-'FedEx Rates'!I32)</f>
        <v>4.3000000000000007</v>
      </c>
      <c r="J33" s="1">
        <f>SUM('UPS RATES'!J33-'FedEx Rates'!J32)</f>
        <v>5.5399999999999991</v>
      </c>
      <c r="K33" s="1">
        <f>SUM('UPS RATES'!K33-'FedEx Rates'!K32)</f>
        <v>7.129999999999999</v>
      </c>
      <c r="L33" s="1">
        <f>SUM('UPS RATES'!L33-'FedEx Rates'!L32)</f>
        <v>10.77</v>
      </c>
      <c r="M33" s="1">
        <f>SUM('UPS RATES'!M33-'FedEx Rates'!M32)</f>
        <v>16.7</v>
      </c>
      <c r="N33" s="1">
        <f>SUM('UPS RATES'!N33-'FedEx Rates'!N32)</f>
        <v>21.950000000000003</v>
      </c>
      <c r="O33" s="1">
        <f>SUM('UPS RATES'!O33-'FedEx Rates'!O32)</f>
        <v>22.209999999999994</v>
      </c>
      <c r="P33" s="1">
        <f>SUM('UPS RATES'!P33-'FedEx Rates'!P32)</f>
        <v>1.9099999999999993</v>
      </c>
      <c r="Q33" s="1">
        <f>SUM('UPS RATES'!Q33-'FedEx Rates'!Q32)</f>
        <v>2.2200000000000006</v>
      </c>
      <c r="R33" s="1">
        <f>SUM('UPS RATES'!R33-'FedEx Rates'!R32)</f>
        <v>2.4299999999999997</v>
      </c>
      <c r="S33" s="1">
        <f>SUM('UPS RATES'!S33-'FedEx Rates'!S32)</f>
        <v>2.8900000000000006</v>
      </c>
      <c r="T33" s="1">
        <f>SUM('UPS RATES'!T33-'FedEx Rates'!T32)</f>
        <v>3.6799999999999997</v>
      </c>
      <c r="U33" s="1">
        <f>SUM('UPS RATES'!U33-'FedEx Rates'!U32)</f>
        <v>4.41</v>
      </c>
      <c r="V33" s="1">
        <f>SUM('UPS RATES'!V33-'FedEx Rates'!V32)</f>
        <v>5.16</v>
      </c>
      <c r="W33" s="1">
        <f>SUM('UPS RATES'!W33-'FedEx Rates'!W32)</f>
        <v>9.2799999999999976</v>
      </c>
      <c r="X33" s="1">
        <f>SUM('UPS RATES'!X33-'FedEx Rates'!X32)</f>
        <v>12.899999999999999</v>
      </c>
      <c r="Y33" s="1">
        <f>SUM('UPS RATES'!Y33-'FedEx Rates'!Y32)</f>
        <v>26.6</v>
      </c>
      <c r="Z33" s="1">
        <f>SUM('UPS RATES'!Z33-'FedEx Rates'!Z32)</f>
        <v>28.259999999999998</v>
      </c>
      <c r="AA33" s="1">
        <f>SUM('UPS RATES'!AA33-'FedEx Rates'!AA32)</f>
        <v>30.35</v>
      </c>
      <c r="AB33" s="1">
        <f>SUM('UPS RATES'!AB33-'FedEx Rates'!AB32)</f>
        <v>31.860000000000003</v>
      </c>
      <c r="AC33" s="1">
        <f>SUM('UPS RATES'!AC33-'FedEx Rates'!AC32)</f>
        <v>33.25</v>
      </c>
    </row>
    <row r="34" spans="1:29" x14ac:dyDescent="0.25">
      <c r="A34">
        <v>32</v>
      </c>
      <c r="B34" s="1">
        <f>SUM('UPS RATES'!B34-'FedEx Rates'!B33)</f>
        <v>3.51</v>
      </c>
      <c r="C34" s="1">
        <f>SUM('UPS RATES'!C34-'FedEx Rates'!C33)</f>
        <v>4.4699999999999989</v>
      </c>
      <c r="D34" s="1">
        <f>SUM('UPS RATES'!D34-'FedEx Rates'!D33)</f>
        <v>5.8099999999999987</v>
      </c>
      <c r="E34" s="1">
        <f>SUM('UPS RATES'!E34-'FedEx Rates'!E33)</f>
        <v>8.4200000000000017</v>
      </c>
      <c r="F34" s="1">
        <f>SUM('UPS RATES'!F34-'FedEx Rates'!F33)</f>
        <v>12.520000000000003</v>
      </c>
      <c r="G34" s="1">
        <f>SUM('UPS RATES'!G34-'FedEx Rates'!G33)</f>
        <v>13.699999999999996</v>
      </c>
      <c r="H34" s="1">
        <f>SUM('UPS RATES'!H34-'FedEx Rates'!H33)</f>
        <v>14.189999999999998</v>
      </c>
      <c r="I34" s="1">
        <f>SUM('UPS RATES'!I34-'FedEx Rates'!I33)</f>
        <v>4.2699999999999996</v>
      </c>
      <c r="J34" s="1">
        <f>SUM('UPS RATES'!J34-'FedEx Rates'!J33)</f>
        <v>5.4999999999999982</v>
      </c>
      <c r="K34" s="1">
        <f>SUM('UPS RATES'!K34-'FedEx Rates'!K33)</f>
        <v>6.7800000000000011</v>
      </c>
      <c r="L34" s="1">
        <f>SUM('UPS RATES'!L34-'FedEx Rates'!L33)</f>
        <v>10.77</v>
      </c>
      <c r="M34" s="1">
        <f>SUM('UPS RATES'!M34-'FedEx Rates'!M33)</f>
        <v>16.809999999999999</v>
      </c>
      <c r="N34" s="1">
        <f>SUM('UPS RATES'!N34-'FedEx Rates'!N33)</f>
        <v>21.72</v>
      </c>
      <c r="O34" s="1">
        <f>SUM('UPS RATES'!O34-'FedEx Rates'!O33)</f>
        <v>22.28</v>
      </c>
      <c r="P34" s="1">
        <f>SUM('UPS RATES'!P34-'FedEx Rates'!P33)</f>
        <v>1.9099999999999993</v>
      </c>
      <c r="Q34" s="1">
        <f>SUM('UPS RATES'!Q34-'FedEx Rates'!Q33)</f>
        <v>2.2200000000000006</v>
      </c>
      <c r="R34" s="1">
        <f>SUM('UPS RATES'!R34-'FedEx Rates'!R33)</f>
        <v>2.4399999999999995</v>
      </c>
      <c r="S34" s="1">
        <f>SUM('UPS RATES'!S34-'FedEx Rates'!S33)</f>
        <v>2.8900000000000006</v>
      </c>
      <c r="T34" s="1">
        <f>SUM('UPS RATES'!T34-'FedEx Rates'!T33)</f>
        <v>3.7699999999999996</v>
      </c>
      <c r="U34" s="1">
        <f>SUM('UPS RATES'!U34-'FedEx Rates'!U33)</f>
        <v>4.3999999999999986</v>
      </c>
      <c r="V34" s="1">
        <f>SUM('UPS RATES'!V34-'FedEx Rates'!V33)</f>
        <v>5.2200000000000024</v>
      </c>
      <c r="W34" s="1">
        <f>SUM('UPS RATES'!W34-'FedEx Rates'!W33)</f>
        <v>9.5100000000000016</v>
      </c>
      <c r="X34" s="1">
        <f>SUM('UPS RATES'!X34-'FedEx Rates'!X33)</f>
        <v>13.209999999999999</v>
      </c>
      <c r="Y34" s="1">
        <f>SUM('UPS RATES'!Y34-'FedEx Rates'!Y33)</f>
        <v>27.15</v>
      </c>
      <c r="Z34" s="1">
        <f>SUM('UPS RATES'!Z34-'FedEx Rates'!Z33)</f>
        <v>28.47</v>
      </c>
      <c r="AA34" s="1">
        <f>SUM('UPS RATES'!AA34-'FedEx Rates'!AA33)</f>
        <v>30.71</v>
      </c>
      <c r="AB34" s="1">
        <f>SUM('UPS RATES'!AB34-'FedEx Rates'!AB33)</f>
        <v>32.03</v>
      </c>
      <c r="AC34" s="1">
        <f>SUM('UPS RATES'!AC34-'FedEx Rates'!AC33)</f>
        <v>33.459999999999994</v>
      </c>
    </row>
    <row r="35" spans="1:29" x14ac:dyDescent="0.25">
      <c r="A35">
        <v>33</v>
      </c>
      <c r="B35" s="1">
        <f>SUM('UPS RATES'!B35-'FedEx Rates'!B34)</f>
        <v>3.8100000000000005</v>
      </c>
      <c r="C35" s="1">
        <f>SUM('UPS RATES'!C35-'FedEx Rates'!C34)</f>
        <v>4.5800000000000018</v>
      </c>
      <c r="D35" s="1">
        <f>SUM('UPS RATES'!D35-'FedEx Rates'!D34)</f>
        <v>5.98</v>
      </c>
      <c r="E35" s="1">
        <f>SUM('UPS RATES'!E35-'FedEx Rates'!E34)</f>
        <v>8.61</v>
      </c>
      <c r="F35" s="1">
        <f>SUM('UPS RATES'!F35-'FedEx Rates'!F34)</f>
        <v>12.850000000000001</v>
      </c>
      <c r="G35" s="1">
        <f>SUM('UPS RATES'!G35-'FedEx Rates'!G34)</f>
        <v>14.009999999999998</v>
      </c>
      <c r="H35" s="1">
        <f>SUM('UPS RATES'!H35-'FedEx Rates'!H34)</f>
        <v>14.560000000000002</v>
      </c>
      <c r="I35" s="1">
        <f>SUM('UPS RATES'!I35-'FedEx Rates'!I34)</f>
        <v>4.1199999999999992</v>
      </c>
      <c r="J35" s="1">
        <f>SUM('UPS RATES'!J35-'FedEx Rates'!J34)</f>
        <v>5.33</v>
      </c>
      <c r="K35" s="1">
        <f>SUM('UPS RATES'!K35-'FedEx Rates'!K34)</f>
        <v>7.129999999999999</v>
      </c>
      <c r="L35" s="1">
        <f>SUM('UPS RATES'!L35-'FedEx Rates'!L34)</f>
        <v>11.14</v>
      </c>
      <c r="M35" s="1">
        <f>SUM('UPS RATES'!M35-'FedEx Rates'!M34)</f>
        <v>17.360000000000003</v>
      </c>
      <c r="N35" s="1">
        <f>SUM('UPS RATES'!N35-'FedEx Rates'!N34)</f>
        <v>20.92</v>
      </c>
      <c r="O35" s="1">
        <f>SUM('UPS RATES'!O35-'FedEx Rates'!O34)</f>
        <v>22.160000000000004</v>
      </c>
      <c r="P35" s="1">
        <f>SUM('UPS RATES'!P35-'FedEx Rates'!P34)</f>
        <v>1.9299999999999997</v>
      </c>
      <c r="Q35" s="1">
        <f>SUM('UPS RATES'!Q35-'FedEx Rates'!Q34)</f>
        <v>2.25</v>
      </c>
      <c r="R35" s="1">
        <f>SUM('UPS RATES'!R35-'FedEx Rates'!R34)</f>
        <v>2.5499999999999989</v>
      </c>
      <c r="S35" s="1">
        <f>SUM('UPS RATES'!S35-'FedEx Rates'!S34)</f>
        <v>3.0300000000000011</v>
      </c>
      <c r="T35" s="1">
        <f>SUM('UPS RATES'!T35-'FedEx Rates'!T34)</f>
        <v>3.9000000000000021</v>
      </c>
      <c r="U35" s="1">
        <f>SUM('UPS RATES'!U35-'FedEx Rates'!U34)</f>
        <v>4.5499999999999972</v>
      </c>
      <c r="V35" s="1">
        <f>SUM('UPS RATES'!V35-'FedEx Rates'!V34)</f>
        <v>5.3599999999999994</v>
      </c>
      <c r="W35" s="1">
        <f>SUM('UPS RATES'!W35-'FedEx Rates'!W34)</f>
        <v>9.7200000000000006</v>
      </c>
      <c r="X35" s="1">
        <f>SUM('UPS RATES'!X35-'FedEx Rates'!X34)</f>
        <v>13.959999999999999</v>
      </c>
      <c r="Y35" s="1">
        <f>SUM('UPS RATES'!Y35-'FedEx Rates'!Y34)</f>
        <v>27.700000000000003</v>
      </c>
      <c r="Z35" s="1">
        <f>SUM('UPS RATES'!Z35-'FedEx Rates'!Z34)</f>
        <v>30.01</v>
      </c>
      <c r="AA35" s="1">
        <f>SUM('UPS RATES'!AA35-'FedEx Rates'!AA34)</f>
        <v>31.33</v>
      </c>
      <c r="AB35" s="1">
        <f>SUM('UPS RATES'!AB35-'FedEx Rates'!AB34)</f>
        <v>33.69</v>
      </c>
      <c r="AC35" s="1">
        <f>SUM('UPS RATES'!AC35-'FedEx Rates'!AC34)</f>
        <v>35.049999999999997</v>
      </c>
    </row>
    <row r="36" spans="1:29" x14ac:dyDescent="0.25">
      <c r="A36">
        <v>34</v>
      </c>
      <c r="B36" s="1">
        <f>SUM('UPS RATES'!B36-'FedEx Rates'!B35)</f>
        <v>3.9099999999999984</v>
      </c>
      <c r="C36" s="1">
        <f>SUM('UPS RATES'!C36-'FedEx Rates'!C35)</f>
        <v>4.6599999999999984</v>
      </c>
      <c r="D36" s="1">
        <f>SUM('UPS RATES'!D36-'FedEx Rates'!D35)</f>
        <v>6.0999999999999979</v>
      </c>
      <c r="E36" s="1">
        <f>SUM('UPS RATES'!E36-'FedEx Rates'!E35)</f>
        <v>8.9000000000000021</v>
      </c>
      <c r="F36" s="1">
        <f>SUM('UPS RATES'!F36-'FedEx Rates'!F35)</f>
        <v>13.25</v>
      </c>
      <c r="G36" s="1">
        <f>SUM('UPS RATES'!G36-'FedEx Rates'!G35)</f>
        <v>14.369999999999997</v>
      </c>
      <c r="H36" s="1">
        <f>SUM('UPS RATES'!H36-'FedEx Rates'!H35)</f>
        <v>14.899999999999999</v>
      </c>
      <c r="I36" s="1">
        <f>SUM('UPS RATES'!I36-'FedEx Rates'!I35)</f>
        <v>4.1899999999999995</v>
      </c>
      <c r="J36" s="1">
        <f>SUM('UPS RATES'!J36-'FedEx Rates'!J35)</f>
        <v>5.68</v>
      </c>
      <c r="K36" s="1">
        <f>SUM('UPS RATES'!K36-'FedEx Rates'!K35)</f>
        <v>7.129999999999999</v>
      </c>
      <c r="L36" s="1">
        <f>SUM('UPS RATES'!L36-'FedEx Rates'!L35)</f>
        <v>11.3</v>
      </c>
      <c r="M36" s="1">
        <f>SUM('UPS RATES'!M36-'FedEx Rates'!M35)</f>
        <v>18.009999999999998</v>
      </c>
      <c r="N36" s="1">
        <f>SUM('UPS RATES'!N36-'FedEx Rates'!N35)</f>
        <v>21.660000000000004</v>
      </c>
      <c r="O36" s="1">
        <f>SUM('UPS RATES'!O36-'FedEx Rates'!O35)</f>
        <v>23.669999999999995</v>
      </c>
      <c r="P36" s="1">
        <f>SUM('UPS RATES'!P36-'FedEx Rates'!P35)</f>
        <v>1.9400000000000004</v>
      </c>
      <c r="Q36" s="1">
        <f>SUM('UPS RATES'!Q36-'FedEx Rates'!Q35)</f>
        <v>2.2999999999999989</v>
      </c>
      <c r="R36" s="1">
        <f>SUM('UPS RATES'!R36-'FedEx Rates'!R35)</f>
        <v>2.620000000000001</v>
      </c>
      <c r="S36" s="1">
        <f>SUM('UPS RATES'!S36-'FedEx Rates'!S35)</f>
        <v>3.1300000000000008</v>
      </c>
      <c r="T36" s="1">
        <f>SUM('UPS RATES'!T36-'FedEx Rates'!T35)</f>
        <v>4.0100000000000016</v>
      </c>
      <c r="U36" s="1">
        <f>SUM('UPS RATES'!U36-'FedEx Rates'!U35)</f>
        <v>4.68</v>
      </c>
      <c r="V36" s="1">
        <f>SUM('UPS RATES'!V36-'FedEx Rates'!V35)</f>
        <v>5.610000000000003</v>
      </c>
      <c r="W36" s="1">
        <f>SUM('UPS RATES'!W36-'FedEx Rates'!W35)</f>
        <v>9.9500000000000011</v>
      </c>
      <c r="X36" s="1">
        <f>SUM('UPS RATES'!X36-'FedEx Rates'!X35)</f>
        <v>14.03</v>
      </c>
      <c r="Y36" s="1">
        <f>SUM('UPS RATES'!Y36-'FedEx Rates'!Y35)</f>
        <v>28.190000000000005</v>
      </c>
      <c r="Z36" s="1">
        <f>SUM('UPS RATES'!Z36-'FedEx Rates'!Z35)</f>
        <v>30.470000000000002</v>
      </c>
      <c r="AA36" s="1">
        <f>SUM('UPS RATES'!AA36-'FedEx Rates'!AA35)</f>
        <v>31.389999999999997</v>
      </c>
      <c r="AB36" s="1">
        <f>SUM('UPS RATES'!AB36-'FedEx Rates'!AB35)</f>
        <v>34.61</v>
      </c>
      <c r="AC36" s="1">
        <f>SUM('UPS RATES'!AC36-'FedEx Rates'!AC35)</f>
        <v>35.300000000000004</v>
      </c>
    </row>
    <row r="37" spans="1:29" x14ac:dyDescent="0.25">
      <c r="A37">
        <v>35</v>
      </c>
      <c r="B37" s="1">
        <f>SUM('UPS RATES'!B37-'FedEx Rates'!B36)</f>
        <v>3.9999999999999982</v>
      </c>
      <c r="C37" s="1">
        <f>SUM('UPS RATES'!C37-'FedEx Rates'!C36)</f>
        <v>4.8100000000000005</v>
      </c>
      <c r="D37" s="1">
        <f>SUM('UPS RATES'!D37-'FedEx Rates'!D36)</f>
        <v>6.23</v>
      </c>
      <c r="E37" s="1">
        <f>SUM('UPS RATES'!E37-'FedEx Rates'!E36)</f>
        <v>9.07</v>
      </c>
      <c r="F37" s="1">
        <f>SUM('UPS RATES'!F37-'FedEx Rates'!F36)</f>
        <v>13.64</v>
      </c>
      <c r="G37" s="1">
        <f>SUM('UPS RATES'!G37-'FedEx Rates'!G36)</f>
        <v>14.869999999999997</v>
      </c>
      <c r="H37" s="1">
        <f>SUM('UPS RATES'!H37-'FedEx Rates'!H36)</f>
        <v>15.61</v>
      </c>
      <c r="I37" s="1">
        <f>SUM('UPS RATES'!I37-'FedEx Rates'!I36)</f>
        <v>4.240000000000002</v>
      </c>
      <c r="J37" s="1">
        <f>SUM('UPS RATES'!J37-'FedEx Rates'!J36)</f>
        <v>5.9</v>
      </c>
      <c r="K37" s="1">
        <f>SUM('UPS RATES'!K37-'FedEx Rates'!K36)</f>
        <v>7.2999999999999972</v>
      </c>
      <c r="L37" s="1">
        <f>SUM('UPS RATES'!L37-'FedEx Rates'!L36)</f>
        <v>11.57</v>
      </c>
      <c r="M37" s="1">
        <f>SUM('UPS RATES'!M37-'FedEx Rates'!M36)</f>
        <v>18.999999999999996</v>
      </c>
      <c r="N37" s="1">
        <f>SUM('UPS RATES'!N37-'FedEx Rates'!N36)</f>
        <v>21.449999999999996</v>
      </c>
      <c r="O37" s="1">
        <f>SUM('UPS RATES'!O37-'FedEx Rates'!O36)</f>
        <v>25.190000000000005</v>
      </c>
      <c r="P37" s="1">
        <f>SUM('UPS RATES'!P37-'FedEx Rates'!P36)</f>
        <v>1.9600000000000009</v>
      </c>
      <c r="Q37" s="1">
        <f>SUM('UPS RATES'!Q37-'FedEx Rates'!Q36)</f>
        <v>2.4299999999999997</v>
      </c>
      <c r="R37" s="1">
        <f>SUM('UPS RATES'!R37-'FedEx Rates'!R36)</f>
        <v>2.7200000000000006</v>
      </c>
      <c r="S37" s="1">
        <f>SUM('UPS RATES'!S37-'FedEx Rates'!S36)</f>
        <v>3.1999999999999993</v>
      </c>
      <c r="T37" s="1">
        <f>SUM('UPS RATES'!T37-'FedEx Rates'!T36)</f>
        <v>4.07</v>
      </c>
      <c r="U37" s="1">
        <f>SUM('UPS RATES'!U37-'FedEx Rates'!U36)</f>
        <v>4.8099999999999987</v>
      </c>
      <c r="V37" s="1">
        <f>SUM('UPS RATES'!V37-'FedEx Rates'!V36)</f>
        <v>5.66</v>
      </c>
      <c r="W37" s="1">
        <f>SUM('UPS RATES'!W37-'FedEx Rates'!W36)</f>
        <v>10.149999999999999</v>
      </c>
      <c r="X37" s="1">
        <f>SUM('UPS RATES'!X37-'FedEx Rates'!X36)</f>
        <v>14.07</v>
      </c>
      <c r="Y37" s="1">
        <f>SUM('UPS RATES'!Y37-'FedEx Rates'!Y36)</f>
        <v>28.339999999999996</v>
      </c>
      <c r="Z37" s="1">
        <f>SUM('UPS RATES'!Z37-'FedEx Rates'!Z36)</f>
        <v>30.51</v>
      </c>
      <c r="AA37" s="1">
        <f>SUM('UPS RATES'!AA37-'FedEx Rates'!AA36)</f>
        <v>31.439999999999998</v>
      </c>
      <c r="AB37" s="1">
        <f>SUM('UPS RATES'!AB37-'FedEx Rates'!AB36)</f>
        <v>34.929999999999993</v>
      </c>
      <c r="AC37" s="1">
        <f>SUM('UPS RATES'!AC37-'FedEx Rates'!AC36)</f>
        <v>35.64</v>
      </c>
    </row>
    <row r="38" spans="1:29" x14ac:dyDescent="0.25">
      <c r="A38">
        <v>36</v>
      </c>
      <c r="B38" s="1">
        <f>SUM('UPS RATES'!B38-'FedEx Rates'!B37)</f>
        <v>4.0600000000000005</v>
      </c>
      <c r="C38" s="1">
        <f>SUM('UPS RATES'!C38-'FedEx Rates'!C37)</f>
        <v>4.9199999999999982</v>
      </c>
      <c r="D38" s="1">
        <f>SUM('UPS RATES'!D38-'FedEx Rates'!D37)</f>
        <v>6.3499999999999979</v>
      </c>
      <c r="E38" s="1">
        <f>SUM('UPS RATES'!E38-'FedEx Rates'!E37)</f>
        <v>9.27</v>
      </c>
      <c r="F38" s="1">
        <f>SUM('UPS RATES'!F38-'FedEx Rates'!F37)</f>
        <v>14</v>
      </c>
      <c r="G38" s="1">
        <f>SUM('UPS RATES'!G38-'FedEx Rates'!G37)</f>
        <v>15.600000000000001</v>
      </c>
      <c r="H38" s="1">
        <f>SUM('UPS RATES'!H38-'FedEx Rates'!H37)</f>
        <v>16.009999999999991</v>
      </c>
      <c r="I38" s="1">
        <f>SUM('UPS RATES'!I38-'FedEx Rates'!I37)</f>
        <v>4.5199999999999978</v>
      </c>
      <c r="J38" s="1">
        <f>SUM('UPS RATES'!J38-'FedEx Rates'!J37)</f>
        <v>6.09</v>
      </c>
      <c r="K38" s="1">
        <f>SUM('UPS RATES'!K38-'FedEx Rates'!K37)</f>
        <v>7.5999999999999979</v>
      </c>
      <c r="L38" s="1">
        <f>SUM('UPS RATES'!L38-'FedEx Rates'!L37)</f>
        <v>12.29</v>
      </c>
      <c r="M38" s="1">
        <f>SUM('UPS RATES'!M38-'FedEx Rates'!M37)</f>
        <v>20.269999999999996</v>
      </c>
      <c r="N38" s="1">
        <f>SUM('UPS RATES'!N38-'FedEx Rates'!N37)</f>
        <v>22.689999999999998</v>
      </c>
      <c r="O38" s="1">
        <f>SUM('UPS RATES'!O38-'FedEx Rates'!O37)</f>
        <v>24.93</v>
      </c>
      <c r="P38" s="1">
        <f>SUM('UPS RATES'!P38-'FedEx Rates'!P37)</f>
        <v>2.0099999999999989</v>
      </c>
      <c r="Q38" s="1">
        <f>SUM('UPS RATES'!Q38-'FedEx Rates'!Q37)</f>
        <v>2.42</v>
      </c>
      <c r="R38" s="1">
        <f>SUM('UPS RATES'!R38-'FedEx Rates'!R37)</f>
        <v>2.74</v>
      </c>
      <c r="S38" s="1">
        <f>SUM('UPS RATES'!S38-'FedEx Rates'!S37)</f>
        <v>3.3800000000000008</v>
      </c>
      <c r="T38" s="1">
        <f>SUM('UPS RATES'!T38-'FedEx Rates'!T37)</f>
        <v>4.2399999999999984</v>
      </c>
      <c r="U38" s="1">
        <f>SUM('UPS RATES'!U38-'FedEx Rates'!U37)</f>
        <v>4.9699999999999989</v>
      </c>
      <c r="V38" s="1">
        <f>SUM('UPS RATES'!V38-'FedEx Rates'!V37)</f>
        <v>5.879999999999999</v>
      </c>
      <c r="W38" s="1">
        <f>SUM('UPS RATES'!W38-'FedEx Rates'!W37)</f>
        <v>10.570000000000002</v>
      </c>
      <c r="X38" s="1">
        <f>SUM('UPS RATES'!X38-'FedEx Rates'!X37)</f>
        <v>14.34</v>
      </c>
      <c r="Y38" s="1">
        <f>SUM('UPS RATES'!Y38-'FedEx Rates'!Y37)</f>
        <v>29.37</v>
      </c>
      <c r="Z38" s="1">
        <f>SUM('UPS RATES'!Z38-'FedEx Rates'!Z37)</f>
        <v>31.12</v>
      </c>
      <c r="AA38" s="1">
        <f>SUM('UPS RATES'!AA38-'FedEx Rates'!AA37)</f>
        <v>32.54</v>
      </c>
      <c r="AB38" s="1">
        <f>SUM('UPS RATES'!AB38-'FedEx Rates'!AB37)</f>
        <v>35.300000000000004</v>
      </c>
      <c r="AC38" s="1">
        <f>SUM('UPS RATES'!AC38-'FedEx Rates'!AC37)</f>
        <v>36.389999999999993</v>
      </c>
    </row>
    <row r="39" spans="1:29" x14ac:dyDescent="0.25">
      <c r="A39">
        <v>37</v>
      </c>
      <c r="B39" s="1">
        <f>SUM('UPS RATES'!B39-'FedEx Rates'!B38)</f>
        <v>4.1399999999999988</v>
      </c>
      <c r="C39" s="1">
        <f>SUM('UPS RATES'!C39-'FedEx Rates'!C38)</f>
        <v>4.9899999999999984</v>
      </c>
      <c r="D39" s="1">
        <f>SUM('UPS RATES'!D39-'FedEx Rates'!D38)</f>
        <v>6.5100000000000016</v>
      </c>
      <c r="E39" s="1">
        <f>SUM('UPS RATES'!E39-'FedEx Rates'!E38)</f>
        <v>9.5</v>
      </c>
      <c r="F39" s="1">
        <f>SUM('UPS RATES'!F39-'FedEx Rates'!F38)</f>
        <v>14.39</v>
      </c>
      <c r="G39" s="1">
        <f>SUM('UPS RATES'!G39-'FedEx Rates'!G38)</f>
        <v>15.590000000000003</v>
      </c>
      <c r="H39" s="1">
        <f>SUM('UPS RATES'!H39-'FedEx Rates'!H38)</f>
        <v>16.079999999999998</v>
      </c>
      <c r="I39" s="1">
        <f>SUM('UPS RATES'!I39-'FedEx Rates'!I38)</f>
        <v>4.7000000000000011</v>
      </c>
      <c r="J39" s="1">
        <f>SUM('UPS RATES'!J39-'FedEx Rates'!J38)</f>
        <v>6.1300000000000008</v>
      </c>
      <c r="K39" s="1">
        <f>SUM('UPS RATES'!K39-'FedEx Rates'!K38)</f>
        <v>7.66</v>
      </c>
      <c r="L39" s="1">
        <f>SUM('UPS RATES'!L39-'FedEx Rates'!L38)</f>
        <v>12.219999999999999</v>
      </c>
      <c r="M39" s="1">
        <f>SUM('UPS RATES'!M39-'FedEx Rates'!M38)</f>
        <v>19.04</v>
      </c>
      <c r="N39" s="1">
        <f>SUM('UPS RATES'!N39-'FedEx Rates'!N38)</f>
        <v>23.14</v>
      </c>
      <c r="O39" s="1">
        <f>SUM('UPS RATES'!O39-'FedEx Rates'!O38)</f>
        <v>24.939999999999998</v>
      </c>
      <c r="P39" s="1">
        <f>SUM('UPS RATES'!P39-'FedEx Rates'!P38)</f>
        <v>2.04</v>
      </c>
      <c r="Q39" s="1">
        <f>SUM('UPS RATES'!Q39-'FedEx Rates'!Q38)</f>
        <v>2.4599999999999991</v>
      </c>
      <c r="R39" s="1">
        <f>SUM('UPS RATES'!R39-'FedEx Rates'!R38)</f>
        <v>2.83</v>
      </c>
      <c r="S39" s="1">
        <f>SUM('UPS RATES'!S39-'FedEx Rates'!S38)</f>
        <v>3.4500000000000011</v>
      </c>
      <c r="T39" s="1">
        <f>SUM('UPS RATES'!T39-'FedEx Rates'!T38)</f>
        <v>4.259999999999998</v>
      </c>
      <c r="U39" s="1">
        <f>SUM('UPS RATES'!U39-'FedEx Rates'!U38)</f>
        <v>5.129999999999999</v>
      </c>
      <c r="V39" s="1">
        <f>SUM('UPS RATES'!V39-'FedEx Rates'!V38)</f>
        <v>5.93</v>
      </c>
      <c r="W39" s="1">
        <f>SUM('UPS RATES'!W39-'FedEx Rates'!W38)</f>
        <v>10.679999999999998</v>
      </c>
      <c r="X39" s="1">
        <f>SUM('UPS RATES'!X39-'FedEx Rates'!X38)</f>
        <v>15.31</v>
      </c>
      <c r="Y39" s="1">
        <f>SUM('UPS RATES'!Y39-'FedEx Rates'!Y38)</f>
        <v>30.160000000000004</v>
      </c>
      <c r="Z39" s="1">
        <f>SUM('UPS RATES'!Z39-'FedEx Rates'!Z38)</f>
        <v>33.11</v>
      </c>
      <c r="AA39" s="1">
        <f>SUM('UPS RATES'!AA39-'FedEx Rates'!AA38)</f>
        <v>34.110000000000007</v>
      </c>
      <c r="AB39" s="1">
        <f>SUM('UPS RATES'!AB39-'FedEx Rates'!AB38)</f>
        <v>36.620000000000005</v>
      </c>
      <c r="AC39" s="1">
        <f>SUM('UPS RATES'!AC39-'FedEx Rates'!AC38)</f>
        <v>37.629999999999995</v>
      </c>
    </row>
    <row r="40" spans="1:29" x14ac:dyDescent="0.25">
      <c r="A40">
        <v>38</v>
      </c>
      <c r="B40" s="1">
        <f>SUM('UPS RATES'!B40-'FedEx Rates'!B39)</f>
        <v>4.2100000000000009</v>
      </c>
      <c r="C40" s="1">
        <f>SUM('UPS RATES'!C40-'FedEx Rates'!C39)</f>
        <v>5.0600000000000023</v>
      </c>
      <c r="D40" s="1">
        <f>SUM('UPS RATES'!D40-'FedEx Rates'!D39)</f>
        <v>6.68</v>
      </c>
      <c r="E40" s="1">
        <f>SUM('UPS RATES'!E40-'FedEx Rates'!E39)</f>
        <v>9.7000000000000028</v>
      </c>
      <c r="F40" s="1">
        <f>SUM('UPS RATES'!F40-'FedEx Rates'!F39)</f>
        <v>14.75</v>
      </c>
      <c r="G40" s="1">
        <f>SUM('UPS RATES'!G40-'FedEx Rates'!G39)</f>
        <v>15.989999999999995</v>
      </c>
      <c r="H40" s="1">
        <f>SUM('UPS RATES'!H40-'FedEx Rates'!H39)</f>
        <v>16.520000000000003</v>
      </c>
      <c r="I40" s="1">
        <f>SUM('UPS RATES'!I40-'FedEx Rates'!I39)</f>
        <v>4.7300000000000004</v>
      </c>
      <c r="J40" s="1">
        <f>SUM('UPS RATES'!J40-'FedEx Rates'!J39)</f>
        <v>6.25</v>
      </c>
      <c r="K40" s="1">
        <f>SUM('UPS RATES'!K40-'FedEx Rates'!K39)</f>
        <v>7.8299999999999983</v>
      </c>
      <c r="L40" s="1">
        <f>SUM('UPS RATES'!L40-'FedEx Rates'!L39)</f>
        <v>12.55</v>
      </c>
      <c r="M40" s="1">
        <f>SUM('UPS RATES'!M40-'FedEx Rates'!M39)</f>
        <v>19.43</v>
      </c>
      <c r="N40" s="1">
        <f>SUM('UPS RATES'!N40-'FedEx Rates'!N39)</f>
        <v>23.28</v>
      </c>
      <c r="O40" s="1">
        <f>SUM('UPS RATES'!O40-'FedEx Rates'!O39)</f>
        <v>25.079999999999991</v>
      </c>
      <c r="P40" s="1">
        <f>SUM('UPS RATES'!P40-'FedEx Rates'!P39)</f>
        <v>2.0600000000000005</v>
      </c>
      <c r="Q40" s="1">
        <f>SUM('UPS RATES'!Q40-'FedEx Rates'!Q39)</f>
        <v>2.5</v>
      </c>
      <c r="R40" s="1">
        <f>SUM('UPS RATES'!R40-'FedEx Rates'!R39)</f>
        <v>2.84</v>
      </c>
      <c r="S40" s="1">
        <f>SUM('UPS RATES'!S40-'FedEx Rates'!S39)</f>
        <v>3.5300000000000011</v>
      </c>
      <c r="T40" s="1">
        <f>SUM('UPS RATES'!T40-'FedEx Rates'!T39)</f>
        <v>4.3499999999999996</v>
      </c>
      <c r="U40" s="1">
        <f>SUM('UPS RATES'!U40-'FedEx Rates'!U39)</f>
        <v>5.1499999999999986</v>
      </c>
      <c r="V40" s="1">
        <f>SUM('UPS RATES'!V40-'FedEx Rates'!V39)</f>
        <v>6.0399999999999991</v>
      </c>
      <c r="W40" s="1">
        <f>SUM('UPS RATES'!W40-'FedEx Rates'!W39)</f>
        <v>10.71</v>
      </c>
      <c r="X40" s="1">
        <f>SUM('UPS RATES'!X40-'FedEx Rates'!X39)</f>
        <v>15.410000000000002</v>
      </c>
      <c r="Y40" s="1">
        <f>SUM('UPS RATES'!Y40-'FedEx Rates'!Y39)</f>
        <v>30.520000000000003</v>
      </c>
      <c r="Z40" s="1">
        <f>SUM('UPS RATES'!Z40-'FedEx Rates'!Z39)</f>
        <v>33.17</v>
      </c>
      <c r="AA40" s="1">
        <f>SUM('UPS RATES'!AA40-'FedEx Rates'!AA39)</f>
        <v>34.67</v>
      </c>
      <c r="AB40" s="1">
        <f>SUM('UPS RATES'!AB40-'FedEx Rates'!AB39)</f>
        <v>36.730000000000004</v>
      </c>
      <c r="AC40" s="1">
        <f>SUM('UPS RATES'!AC40-'FedEx Rates'!AC39)</f>
        <v>37.760000000000005</v>
      </c>
    </row>
    <row r="41" spans="1:29" x14ac:dyDescent="0.25">
      <c r="A41">
        <v>39</v>
      </c>
      <c r="B41" s="1">
        <f>SUM('UPS RATES'!B41-'FedEx Rates'!B40)</f>
        <v>4.33</v>
      </c>
      <c r="C41" s="1">
        <f>SUM('UPS RATES'!C41-'FedEx Rates'!C40)</f>
        <v>5.1900000000000013</v>
      </c>
      <c r="D41" s="1">
        <f>SUM('UPS RATES'!D41-'FedEx Rates'!D40)</f>
        <v>6.7800000000000011</v>
      </c>
      <c r="E41" s="1">
        <f>SUM('UPS RATES'!E41-'FedEx Rates'!E40)</f>
        <v>9.889999999999997</v>
      </c>
      <c r="F41" s="1">
        <f>SUM('UPS RATES'!F41-'FedEx Rates'!F40)</f>
        <v>15.120000000000005</v>
      </c>
      <c r="G41" s="1">
        <f>SUM('UPS RATES'!G41-'FedEx Rates'!G40)</f>
        <v>16.419999999999995</v>
      </c>
      <c r="H41" s="1">
        <f>SUM('UPS RATES'!H41-'FedEx Rates'!H40)</f>
        <v>16.939999999999991</v>
      </c>
      <c r="I41" s="1">
        <f>SUM('UPS RATES'!I41-'FedEx Rates'!I40)</f>
        <v>5.1800000000000015</v>
      </c>
      <c r="J41" s="1">
        <f>SUM('UPS RATES'!J41-'FedEx Rates'!J40)</f>
        <v>6.3500000000000014</v>
      </c>
      <c r="K41" s="1">
        <f>SUM('UPS RATES'!K41-'FedEx Rates'!K40)</f>
        <v>8.0200000000000031</v>
      </c>
      <c r="L41" s="1">
        <f>SUM('UPS RATES'!L41-'FedEx Rates'!L40)</f>
        <v>12.719999999999999</v>
      </c>
      <c r="M41" s="1">
        <f>SUM('UPS RATES'!M41-'FedEx Rates'!M40)</f>
        <v>19.86</v>
      </c>
      <c r="N41" s="1">
        <f>SUM('UPS RATES'!N41-'FedEx Rates'!N40)</f>
        <v>24.510000000000005</v>
      </c>
      <c r="O41" s="1">
        <f>SUM('UPS RATES'!O41-'FedEx Rates'!O40)</f>
        <v>27.249999999999993</v>
      </c>
      <c r="P41" s="1">
        <f>SUM('UPS RATES'!P41-'FedEx Rates'!P40)</f>
        <v>2.120000000000001</v>
      </c>
      <c r="Q41" s="1">
        <f>SUM('UPS RATES'!Q41-'FedEx Rates'!Q40)</f>
        <v>2.59</v>
      </c>
      <c r="R41" s="1">
        <f>SUM('UPS RATES'!R41-'FedEx Rates'!R40)</f>
        <v>2.9699999999999989</v>
      </c>
      <c r="S41" s="1">
        <f>SUM('UPS RATES'!S41-'FedEx Rates'!S40)</f>
        <v>3.5499999999999989</v>
      </c>
      <c r="T41" s="1">
        <f>SUM('UPS RATES'!T41-'FedEx Rates'!T40)</f>
        <v>4.43</v>
      </c>
      <c r="U41" s="1">
        <f>SUM('UPS RATES'!U41-'FedEx Rates'!U40)</f>
        <v>5.3500000000000014</v>
      </c>
      <c r="V41" s="1">
        <f>SUM('UPS RATES'!V41-'FedEx Rates'!V40)</f>
        <v>6.1699999999999982</v>
      </c>
      <c r="W41" s="1">
        <f>SUM('UPS RATES'!W41-'FedEx Rates'!W40)</f>
        <v>10.760000000000002</v>
      </c>
      <c r="X41" s="1">
        <f>SUM('UPS RATES'!X41-'FedEx Rates'!X40)</f>
        <v>15.45</v>
      </c>
      <c r="Y41" s="1">
        <f>SUM('UPS RATES'!Y41-'FedEx Rates'!Y40)</f>
        <v>31.06</v>
      </c>
      <c r="Z41" s="1">
        <f>SUM('UPS RATES'!Z41-'FedEx Rates'!Z40)</f>
        <v>33.19</v>
      </c>
      <c r="AA41" s="1">
        <f>SUM('UPS RATES'!AA41-'FedEx Rates'!AA40)</f>
        <v>34.719999999999992</v>
      </c>
      <c r="AB41" s="1">
        <f>SUM('UPS RATES'!AB41-'FedEx Rates'!AB40)</f>
        <v>37.659999999999997</v>
      </c>
      <c r="AC41" s="1">
        <f>SUM('UPS RATES'!AC41-'FedEx Rates'!AC40)</f>
        <v>38.430000000000007</v>
      </c>
    </row>
    <row r="42" spans="1:29" x14ac:dyDescent="0.25">
      <c r="A42">
        <v>40</v>
      </c>
      <c r="B42" s="1">
        <f>SUM('UPS RATES'!B42-'FedEx Rates'!B41)</f>
        <v>4.3499999999999996</v>
      </c>
      <c r="C42" s="1">
        <f>SUM('UPS RATES'!C42-'FedEx Rates'!C41)</f>
        <v>5.3299999999999983</v>
      </c>
      <c r="D42" s="1">
        <f>SUM('UPS RATES'!D42-'FedEx Rates'!D41)</f>
        <v>6.9499999999999993</v>
      </c>
      <c r="E42" s="1">
        <f>SUM('UPS RATES'!E42-'FedEx Rates'!E41)</f>
        <v>10.11</v>
      </c>
      <c r="F42" s="1">
        <f>SUM('UPS RATES'!F42-'FedEx Rates'!F41)</f>
        <v>15.459999999999994</v>
      </c>
      <c r="G42" s="1">
        <f>SUM('UPS RATES'!G42-'FedEx Rates'!G41)</f>
        <v>16.829999999999991</v>
      </c>
      <c r="H42" s="1">
        <f>SUM('UPS RATES'!H42-'FedEx Rates'!H41)</f>
        <v>17.32</v>
      </c>
      <c r="I42" s="1">
        <f>SUM('UPS RATES'!I42-'FedEx Rates'!I41)</f>
        <v>5.25</v>
      </c>
      <c r="J42" s="1">
        <f>SUM('UPS RATES'!J42-'FedEx Rates'!J41)</f>
        <v>6.3199999999999985</v>
      </c>
      <c r="K42" s="1">
        <f>SUM('UPS RATES'!K42-'FedEx Rates'!K41)</f>
        <v>8.240000000000002</v>
      </c>
      <c r="L42" s="1">
        <f>SUM('UPS RATES'!L42-'FedEx Rates'!L41)</f>
        <v>12.819999999999997</v>
      </c>
      <c r="M42" s="1">
        <f>SUM('UPS RATES'!M42-'FedEx Rates'!M41)</f>
        <v>20.970000000000006</v>
      </c>
      <c r="N42" s="1">
        <f>SUM('UPS RATES'!N42-'FedEx Rates'!N41)</f>
        <v>24.519999999999996</v>
      </c>
      <c r="O42" s="1">
        <f>SUM('UPS RATES'!O42-'FedEx Rates'!O41)</f>
        <v>26.89</v>
      </c>
      <c r="P42" s="1">
        <f>SUM('UPS RATES'!P42-'FedEx Rates'!P41)</f>
        <v>2.13</v>
      </c>
      <c r="Q42" s="1">
        <f>SUM('UPS RATES'!Q42-'FedEx Rates'!Q41)</f>
        <v>2.6099999999999994</v>
      </c>
      <c r="R42" s="1">
        <f>SUM('UPS RATES'!R42-'FedEx Rates'!R41)</f>
        <v>2.9799999999999986</v>
      </c>
      <c r="S42" s="1">
        <f>SUM('UPS RATES'!S42-'FedEx Rates'!S41)</f>
        <v>3.58</v>
      </c>
      <c r="T42" s="1">
        <f>SUM('UPS RATES'!T42-'FedEx Rates'!T41)</f>
        <v>4.5599999999999987</v>
      </c>
      <c r="U42" s="1">
        <f>SUM('UPS RATES'!U42-'FedEx Rates'!U41)</f>
        <v>5.3599999999999994</v>
      </c>
      <c r="V42" s="1">
        <f>SUM('UPS RATES'!V42-'FedEx Rates'!V41)</f>
        <v>6.18</v>
      </c>
      <c r="W42" s="1">
        <f>SUM('UPS RATES'!W42-'FedEx Rates'!W41)</f>
        <v>10.790000000000001</v>
      </c>
      <c r="X42" s="1">
        <f>SUM('UPS RATES'!X42-'FedEx Rates'!X41)</f>
        <v>15.49</v>
      </c>
      <c r="Y42" s="1">
        <f>SUM('UPS RATES'!Y42-'FedEx Rates'!Y41)</f>
        <v>31.11</v>
      </c>
      <c r="Z42" s="1">
        <f>SUM('UPS RATES'!Z42-'FedEx Rates'!Z41)</f>
        <v>33.36</v>
      </c>
      <c r="AA42" s="1">
        <f>SUM('UPS RATES'!AA42-'FedEx Rates'!AA41)</f>
        <v>34.830000000000005</v>
      </c>
      <c r="AB42" s="1">
        <f>SUM('UPS RATES'!AB42-'FedEx Rates'!AB41)</f>
        <v>37.75</v>
      </c>
      <c r="AC42" s="1">
        <f>SUM('UPS RATES'!AC42-'FedEx Rates'!AC41)</f>
        <v>38.51</v>
      </c>
    </row>
    <row r="43" spans="1:29" x14ac:dyDescent="0.25">
      <c r="A43">
        <v>41</v>
      </c>
      <c r="B43" s="1">
        <f>SUM('UPS RATES'!B43-'FedEx Rates'!B42)</f>
        <v>4.5600000000000023</v>
      </c>
      <c r="C43" s="1">
        <f>SUM('UPS RATES'!C43-'FedEx Rates'!C42)</f>
        <v>5.4600000000000009</v>
      </c>
      <c r="D43" s="1">
        <f>SUM('UPS RATES'!D43-'FedEx Rates'!D42)</f>
        <v>7.0300000000000011</v>
      </c>
      <c r="E43" s="1">
        <f>SUM('UPS RATES'!E43-'FedEx Rates'!E42)</f>
        <v>10.299999999999997</v>
      </c>
      <c r="F43" s="1">
        <f>SUM('UPS RATES'!F43-'FedEx Rates'!F42)</f>
        <v>15.800000000000004</v>
      </c>
      <c r="G43" s="1">
        <f>SUM('UPS RATES'!G43-'FedEx Rates'!G42)</f>
        <v>17.269999999999996</v>
      </c>
      <c r="H43" s="1">
        <f>SUM('UPS RATES'!H43-'FedEx Rates'!H42)</f>
        <v>17.779999999999994</v>
      </c>
      <c r="I43" s="1">
        <f>SUM('UPS RATES'!I43-'FedEx Rates'!I42)</f>
        <v>4.7500000000000018</v>
      </c>
      <c r="J43" s="1">
        <f>SUM('UPS RATES'!J43-'FedEx Rates'!J42)</f>
        <v>6.6499999999999986</v>
      </c>
      <c r="K43" s="1">
        <f>SUM('UPS RATES'!K43-'FedEx Rates'!K42)</f>
        <v>8.25</v>
      </c>
      <c r="L43" s="1">
        <f>SUM('UPS RATES'!L43-'FedEx Rates'!L42)</f>
        <v>13.219999999999999</v>
      </c>
      <c r="M43" s="1">
        <f>SUM('UPS RATES'!M43-'FedEx Rates'!M42)</f>
        <v>20.65</v>
      </c>
      <c r="N43" s="1">
        <f>SUM('UPS RATES'!N43-'FedEx Rates'!N42)</f>
        <v>24.689999999999998</v>
      </c>
      <c r="O43" s="1">
        <f>SUM('UPS RATES'!O43-'FedEx Rates'!O42)</f>
        <v>27.47</v>
      </c>
      <c r="P43" s="1">
        <f>SUM('UPS RATES'!P43-'FedEx Rates'!P42)</f>
        <v>2.1799999999999997</v>
      </c>
      <c r="Q43" s="1">
        <f>SUM('UPS RATES'!Q43-'FedEx Rates'!Q42)</f>
        <v>2.7200000000000006</v>
      </c>
      <c r="R43" s="1">
        <f>SUM('UPS RATES'!R43-'FedEx Rates'!R42)</f>
        <v>3.0499999999999989</v>
      </c>
      <c r="S43" s="1">
        <f>SUM('UPS RATES'!S43-'FedEx Rates'!S42)</f>
        <v>3.6800000000000015</v>
      </c>
      <c r="T43" s="1">
        <f>SUM('UPS RATES'!T43-'FedEx Rates'!T42)</f>
        <v>4.6300000000000026</v>
      </c>
      <c r="U43" s="1">
        <f>SUM('UPS RATES'!U43-'FedEx Rates'!U42)</f>
        <v>5.52</v>
      </c>
      <c r="V43" s="1">
        <f>SUM('UPS RATES'!V43-'FedEx Rates'!V42)</f>
        <v>6.41</v>
      </c>
      <c r="W43" s="1">
        <f>SUM('UPS RATES'!W43-'FedEx Rates'!W42)</f>
        <v>11.260000000000002</v>
      </c>
      <c r="X43" s="1">
        <f>SUM('UPS RATES'!X43-'FedEx Rates'!X42)</f>
        <v>16.22</v>
      </c>
      <c r="Y43" s="1">
        <f>SUM('UPS RATES'!Y43-'FedEx Rates'!Y42)</f>
        <v>32.200000000000003</v>
      </c>
      <c r="Z43" s="1">
        <f>SUM('UPS RATES'!Z43-'FedEx Rates'!Z42)</f>
        <v>34.42</v>
      </c>
      <c r="AA43" s="1">
        <f>SUM('UPS RATES'!AA43-'FedEx Rates'!AA42)</f>
        <v>36.75</v>
      </c>
      <c r="AB43" s="1">
        <f>SUM('UPS RATES'!AB43-'FedEx Rates'!AB42)</f>
        <v>38.29</v>
      </c>
      <c r="AC43" s="1">
        <f>SUM('UPS RATES'!AC43-'FedEx Rates'!AC42)</f>
        <v>40.17</v>
      </c>
    </row>
    <row r="44" spans="1:29" x14ac:dyDescent="0.25">
      <c r="A44">
        <v>42</v>
      </c>
      <c r="B44" s="1">
        <f>SUM('UPS RATES'!B44-'FedEx Rates'!B43)</f>
        <v>4.6400000000000006</v>
      </c>
      <c r="C44" s="1">
        <f>SUM('UPS RATES'!C44-'FedEx Rates'!C43)</f>
        <v>5.6000000000000014</v>
      </c>
      <c r="D44" s="1">
        <f>SUM('UPS RATES'!D44-'FedEx Rates'!D43)</f>
        <v>7.1700000000000017</v>
      </c>
      <c r="E44" s="1">
        <f>SUM('UPS RATES'!E44-'FedEx Rates'!E43)</f>
        <v>10.510000000000005</v>
      </c>
      <c r="F44" s="1">
        <f>SUM('UPS RATES'!F44-'FedEx Rates'!F43)</f>
        <v>16.14</v>
      </c>
      <c r="G44" s="1">
        <f>SUM('UPS RATES'!G44-'FedEx Rates'!G43)</f>
        <v>17.699999999999996</v>
      </c>
      <c r="H44" s="1">
        <f>SUM('UPS RATES'!H44-'FedEx Rates'!H43)</f>
        <v>18.240000000000002</v>
      </c>
      <c r="I44" s="1">
        <f>SUM('UPS RATES'!I44-'FedEx Rates'!I43)</f>
        <v>4.7799999999999994</v>
      </c>
      <c r="J44" s="1">
        <f>SUM('UPS RATES'!J44-'FedEx Rates'!J43)</f>
        <v>6.889999999999997</v>
      </c>
      <c r="K44" s="1">
        <f>SUM('UPS RATES'!K44-'FedEx Rates'!K43)</f>
        <v>8.84</v>
      </c>
      <c r="L44" s="1">
        <f>SUM('UPS RATES'!L44-'FedEx Rates'!L43)</f>
        <v>13.640000000000004</v>
      </c>
      <c r="M44" s="1">
        <f>SUM('UPS RATES'!M44-'FedEx Rates'!M43)</f>
        <v>21.11</v>
      </c>
      <c r="N44" s="1">
        <f>SUM('UPS RATES'!N44-'FedEx Rates'!N43)</f>
        <v>25.169999999999995</v>
      </c>
      <c r="O44" s="1">
        <f>SUM('UPS RATES'!O44-'FedEx Rates'!O43)</f>
        <v>28.019999999999996</v>
      </c>
      <c r="P44" s="1">
        <f>SUM('UPS RATES'!P44-'FedEx Rates'!P43)</f>
        <v>2.1800000000000015</v>
      </c>
      <c r="Q44" s="1">
        <f>SUM('UPS RATES'!Q44-'FedEx Rates'!Q43)</f>
        <v>2.7199999999999989</v>
      </c>
      <c r="R44" s="1">
        <f>SUM('UPS RATES'!R44-'FedEx Rates'!R43)</f>
        <v>3.17</v>
      </c>
      <c r="S44" s="1">
        <f>SUM('UPS RATES'!S44-'FedEx Rates'!S43)</f>
        <v>3.6899999999999995</v>
      </c>
      <c r="T44" s="1">
        <f>SUM('UPS RATES'!T44-'FedEx Rates'!T43)</f>
        <v>4.7699999999999996</v>
      </c>
      <c r="U44" s="1">
        <f>SUM('UPS RATES'!U44-'FedEx Rates'!U43)</f>
        <v>5.6099999999999994</v>
      </c>
      <c r="V44" s="1">
        <f>SUM('UPS RATES'!V44-'FedEx Rates'!V43)</f>
        <v>6.4400000000000013</v>
      </c>
      <c r="W44" s="1">
        <f>SUM('UPS RATES'!W44-'FedEx Rates'!W43)</f>
        <v>11.43</v>
      </c>
      <c r="X44" s="1">
        <f>SUM('UPS RATES'!X44-'FedEx Rates'!X43)</f>
        <v>16.29</v>
      </c>
      <c r="Y44" s="1">
        <f>SUM('UPS RATES'!Y44-'FedEx Rates'!Y43)</f>
        <v>32.599999999999994</v>
      </c>
      <c r="Z44" s="1">
        <f>SUM('UPS RATES'!Z44-'FedEx Rates'!Z43)</f>
        <v>34.94</v>
      </c>
      <c r="AA44" s="1">
        <f>SUM('UPS RATES'!AA44-'FedEx Rates'!AA43)</f>
        <v>36.950000000000003</v>
      </c>
      <c r="AB44" s="1">
        <f>SUM('UPS RATES'!AB44-'FedEx Rates'!AB43)</f>
        <v>38.429999999999993</v>
      </c>
      <c r="AC44" s="1">
        <f>SUM('UPS RATES'!AC44-'FedEx Rates'!AC43)</f>
        <v>40.809999999999995</v>
      </c>
    </row>
    <row r="45" spans="1:29" x14ac:dyDescent="0.25">
      <c r="A45">
        <v>43</v>
      </c>
      <c r="B45" s="1">
        <f>SUM('UPS RATES'!B45-'FedEx Rates'!B44)</f>
        <v>4.7300000000000004</v>
      </c>
      <c r="C45" s="1">
        <f>SUM('UPS RATES'!C45-'FedEx Rates'!C44)</f>
        <v>5.7100000000000009</v>
      </c>
      <c r="D45" s="1">
        <f>SUM('UPS RATES'!D45-'FedEx Rates'!D44)</f>
        <v>7.2900000000000027</v>
      </c>
      <c r="E45" s="1">
        <f>SUM('UPS RATES'!E45-'FedEx Rates'!E44)</f>
        <v>10.68</v>
      </c>
      <c r="F45" s="1">
        <f>SUM('UPS RATES'!F45-'FedEx Rates'!F44)</f>
        <v>16.52000000000001</v>
      </c>
      <c r="G45" s="1">
        <f>SUM('UPS RATES'!G45-'FedEx Rates'!G44)</f>
        <v>18.020000000000003</v>
      </c>
      <c r="H45" s="1">
        <f>SUM('UPS RATES'!H45-'FedEx Rates'!H44)</f>
        <v>18.61999999999999</v>
      </c>
      <c r="I45" s="1">
        <f>SUM('UPS RATES'!I45-'FedEx Rates'!I44)</f>
        <v>4.8999999999999986</v>
      </c>
      <c r="J45" s="1">
        <f>SUM('UPS RATES'!J45-'FedEx Rates'!J44)</f>
        <v>6.9899999999999984</v>
      </c>
      <c r="K45" s="1">
        <f>SUM('UPS RATES'!K45-'FedEx Rates'!K44)</f>
        <v>9.02</v>
      </c>
      <c r="L45" s="1">
        <f>SUM('UPS RATES'!L45-'FedEx Rates'!L44)</f>
        <v>13.869999999999997</v>
      </c>
      <c r="M45" s="1">
        <f>SUM('UPS RATES'!M45-'FedEx Rates'!M44)</f>
        <v>21.53</v>
      </c>
      <c r="N45" s="1">
        <f>SUM('UPS RATES'!N45-'FedEx Rates'!N44)</f>
        <v>25.729999999999997</v>
      </c>
      <c r="O45" s="1">
        <f>SUM('UPS RATES'!O45-'FedEx Rates'!O44)</f>
        <v>28.72</v>
      </c>
      <c r="P45" s="1">
        <f>SUM('UPS RATES'!P45-'FedEx Rates'!P44)</f>
        <v>2.2300000000000004</v>
      </c>
      <c r="Q45" s="1">
        <f>SUM('UPS RATES'!Q45-'FedEx Rates'!Q44)</f>
        <v>2.76</v>
      </c>
      <c r="R45" s="1">
        <f>SUM('UPS RATES'!R45-'FedEx Rates'!R44)</f>
        <v>3.1899999999999995</v>
      </c>
      <c r="S45" s="1">
        <f>SUM('UPS RATES'!S45-'FedEx Rates'!S44)</f>
        <v>3.879999999999999</v>
      </c>
      <c r="T45" s="1">
        <f>SUM('UPS RATES'!T45-'FedEx Rates'!T44)</f>
        <v>4.889999999999997</v>
      </c>
      <c r="U45" s="1">
        <f>SUM('UPS RATES'!U45-'FedEx Rates'!U44)</f>
        <v>5.8100000000000023</v>
      </c>
      <c r="V45" s="1">
        <f>SUM('UPS RATES'!V45-'FedEx Rates'!V44)</f>
        <v>6.6099999999999994</v>
      </c>
      <c r="W45" s="1">
        <f>SUM('UPS RATES'!W45-'FedEx Rates'!W44)</f>
        <v>11.74</v>
      </c>
      <c r="X45" s="1">
        <f>SUM('UPS RATES'!X45-'FedEx Rates'!X44)</f>
        <v>16.560000000000002</v>
      </c>
      <c r="Y45" s="1">
        <f>SUM('UPS RATES'!Y45-'FedEx Rates'!Y44)</f>
        <v>33.440000000000005</v>
      </c>
      <c r="Z45" s="1">
        <f>SUM('UPS RATES'!Z45-'FedEx Rates'!Z44)</f>
        <v>35.879999999999995</v>
      </c>
      <c r="AA45" s="1">
        <f>SUM('UPS RATES'!AA45-'FedEx Rates'!AA44)</f>
        <v>37.629999999999995</v>
      </c>
      <c r="AB45" s="1">
        <f>SUM('UPS RATES'!AB45-'FedEx Rates'!AB44)</f>
        <v>40.049999999999997</v>
      </c>
      <c r="AC45" s="1">
        <f>SUM('UPS RATES'!AC45-'FedEx Rates'!AC44)</f>
        <v>43.100000000000009</v>
      </c>
    </row>
    <row r="46" spans="1:29" x14ac:dyDescent="0.25">
      <c r="A46">
        <v>44</v>
      </c>
      <c r="B46" s="1">
        <f>SUM('UPS RATES'!B46-'FedEx Rates'!B45)</f>
        <v>4.8099999999999987</v>
      </c>
      <c r="C46" s="1">
        <f>SUM('UPS RATES'!C46-'FedEx Rates'!C45)</f>
        <v>5.77</v>
      </c>
      <c r="D46" s="1">
        <f>SUM('UPS RATES'!D46-'FedEx Rates'!D45)</f>
        <v>7.4499999999999993</v>
      </c>
      <c r="E46" s="1">
        <f>SUM('UPS RATES'!E46-'FedEx Rates'!E45)</f>
        <v>10.879999999999995</v>
      </c>
      <c r="F46" s="1">
        <f>SUM('UPS RATES'!F46-'FedEx Rates'!F45)</f>
        <v>16.850000000000001</v>
      </c>
      <c r="G46" s="1">
        <f>SUM('UPS RATES'!G46-'FedEx Rates'!G45)</f>
        <v>18.329999999999998</v>
      </c>
      <c r="H46" s="1">
        <f>SUM('UPS RATES'!H46-'FedEx Rates'!H45)</f>
        <v>18.979999999999997</v>
      </c>
      <c r="I46" s="1">
        <f>SUM('UPS RATES'!I46-'FedEx Rates'!I45)</f>
        <v>4.9700000000000006</v>
      </c>
      <c r="J46" s="1">
        <f>SUM('UPS RATES'!J46-'FedEx Rates'!J45)</f>
        <v>7.23</v>
      </c>
      <c r="K46" s="1">
        <f>SUM('UPS RATES'!K46-'FedEx Rates'!K45)</f>
        <v>9.2900000000000027</v>
      </c>
      <c r="L46" s="1">
        <f>SUM('UPS RATES'!L46-'FedEx Rates'!L45)</f>
        <v>14.18</v>
      </c>
      <c r="M46" s="1">
        <f>SUM('UPS RATES'!M46-'FedEx Rates'!M45)</f>
        <v>21.950000000000003</v>
      </c>
      <c r="N46" s="1">
        <f>SUM('UPS RATES'!N46-'FedEx Rates'!N45)</f>
        <v>26.249999999999993</v>
      </c>
      <c r="O46" s="1">
        <f>SUM('UPS RATES'!O46-'FedEx Rates'!O45)</f>
        <v>28.620000000000005</v>
      </c>
      <c r="P46" s="1">
        <f>SUM('UPS RATES'!P46-'FedEx Rates'!P45)</f>
        <v>2.2599999999999998</v>
      </c>
      <c r="Q46" s="1">
        <f>SUM('UPS RATES'!Q46-'FedEx Rates'!Q45)</f>
        <v>2.8100000000000005</v>
      </c>
      <c r="R46" s="1">
        <f>SUM('UPS RATES'!R46-'FedEx Rates'!R45)</f>
        <v>3.26</v>
      </c>
      <c r="S46" s="1">
        <f>SUM('UPS RATES'!S46-'FedEx Rates'!S45)</f>
        <v>3.9399999999999995</v>
      </c>
      <c r="T46" s="1">
        <f>SUM('UPS RATES'!T46-'FedEx Rates'!T45)</f>
        <v>4.990000000000002</v>
      </c>
      <c r="U46" s="1">
        <f>SUM('UPS RATES'!U46-'FedEx Rates'!U45)</f>
        <v>5.84</v>
      </c>
      <c r="V46" s="1">
        <f>SUM('UPS RATES'!V46-'FedEx Rates'!V45)</f>
        <v>6.68</v>
      </c>
      <c r="W46" s="1">
        <f>SUM('UPS RATES'!W46-'FedEx Rates'!W45)</f>
        <v>12</v>
      </c>
      <c r="X46" s="1">
        <f>SUM('UPS RATES'!X46-'FedEx Rates'!X45)</f>
        <v>17.420000000000002</v>
      </c>
      <c r="Y46" s="1">
        <f>SUM('UPS RATES'!Y46-'FedEx Rates'!Y45)</f>
        <v>34</v>
      </c>
      <c r="Z46" s="1">
        <f>SUM('UPS RATES'!Z46-'FedEx Rates'!Z45)</f>
        <v>36.519999999999996</v>
      </c>
      <c r="AA46" s="1">
        <f>SUM('UPS RATES'!AA46-'FedEx Rates'!AA45)</f>
        <v>38.279999999999994</v>
      </c>
      <c r="AB46" s="1">
        <f>SUM('UPS RATES'!AB46-'FedEx Rates'!AB45)</f>
        <v>40.709999999999994</v>
      </c>
      <c r="AC46" s="1">
        <f>SUM('UPS RATES'!AC46-'FedEx Rates'!AC45)</f>
        <v>43.35</v>
      </c>
    </row>
    <row r="47" spans="1:29" x14ac:dyDescent="0.25">
      <c r="A47">
        <v>45</v>
      </c>
      <c r="B47" s="1">
        <f>SUM('UPS RATES'!B47-'FedEx Rates'!B46)</f>
        <v>4.8299999999999983</v>
      </c>
      <c r="C47" s="1">
        <f>SUM('UPS RATES'!C47-'FedEx Rates'!C46)</f>
        <v>5.9200000000000017</v>
      </c>
      <c r="D47" s="1">
        <f>SUM('UPS RATES'!D47-'FedEx Rates'!D46)</f>
        <v>7.5599999999999987</v>
      </c>
      <c r="E47" s="1">
        <f>SUM('UPS RATES'!E47-'FedEx Rates'!E46)</f>
        <v>11.030000000000001</v>
      </c>
      <c r="F47" s="1">
        <f>SUM('UPS RATES'!F47-'FedEx Rates'!F46)</f>
        <v>17.159999999999997</v>
      </c>
      <c r="G47" s="1">
        <f>SUM('UPS RATES'!G47-'FedEx Rates'!G46)</f>
        <v>18.670000000000002</v>
      </c>
      <c r="H47" s="1">
        <f>SUM('UPS RATES'!H47-'FedEx Rates'!H46)</f>
        <v>19.260000000000005</v>
      </c>
      <c r="I47" s="1">
        <f>SUM('UPS RATES'!I47-'FedEx Rates'!I46)</f>
        <v>5.1799999999999979</v>
      </c>
      <c r="J47" s="1">
        <f>SUM('UPS RATES'!J47-'FedEx Rates'!J46)</f>
        <v>7.4699999999999989</v>
      </c>
      <c r="K47" s="1">
        <f>SUM('UPS RATES'!K47-'FedEx Rates'!K46)</f>
        <v>9.8000000000000007</v>
      </c>
      <c r="L47" s="1">
        <f>SUM('UPS RATES'!L47-'FedEx Rates'!L46)</f>
        <v>14.400000000000002</v>
      </c>
      <c r="M47" s="1">
        <f>SUM('UPS RATES'!M47-'FedEx Rates'!M46)</f>
        <v>22.9</v>
      </c>
      <c r="N47" s="1">
        <f>SUM('UPS RATES'!N47-'FedEx Rates'!N46)</f>
        <v>26.619999999999997</v>
      </c>
      <c r="O47" s="1">
        <f>SUM('UPS RATES'!O47-'FedEx Rates'!O46)</f>
        <v>28.830000000000005</v>
      </c>
      <c r="P47" s="1">
        <f>SUM('UPS RATES'!P47-'FedEx Rates'!P46)</f>
        <v>2.25</v>
      </c>
      <c r="Q47" s="1">
        <f>SUM('UPS RATES'!Q47-'FedEx Rates'!Q46)</f>
        <v>2.8100000000000005</v>
      </c>
      <c r="R47" s="1">
        <f>SUM('UPS RATES'!R47-'FedEx Rates'!R46)</f>
        <v>3.26</v>
      </c>
      <c r="S47" s="1">
        <f>SUM('UPS RATES'!S47-'FedEx Rates'!S46)</f>
        <v>3.9400000000000013</v>
      </c>
      <c r="T47" s="1">
        <f>SUM('UPS RATES'!T47-'FedEx Rates'!T46)</f>
        <v>5.0599999999999987</v>
      </c>
      <c r="U47" s="1">
        <f>SUM('UPS RATES'!U47-'FedEx Rates'!U46)</f>
        <v>6.1199999999999974</v>
      </c>
      <c r="V47" s="1">
        <f>SUM('UPS RATES'!V47-'FedEx Rates'!V46)</f>
        <v>6.73</v>
      </c>
      <c r="W47" s="1">
        <f>SUM('UPS RATES'!W47-'FedEx Rates'!W46)</f>
        <v>12.43</v>
      </c>
      <c r="X47" s="1">
        <f>SUM('UPS RATES'!X47-'FedEx Rates'!X46)</f>
        <v>18.11</v>
      </c>
      <c r="Y47" s="1">
        <f>SUM('UPS RATES'!Y47-'FedEx Rates'!Y46)</f>
        <v>34.489999999999995</v>
      </c>
      <c r="Z47" s="1">
        <f>SUM('UPS RATES'!Z47-'FedEx Rates'!Z46)</f>
        <v>37.229999999999997</v>
      </c>
      <c r="AA47" s="1">
        <f>SUM('UPS RATES'!AA47-'FedEx Rates'!AA46)</f>
        <v>38.35</v>
      </c>
      <c r="AB47" s="1">
        <f>SUM('UPS RATES'!AB47-'FedEx Rates'!AB46)</f>
        <v>41.620000000000005</v>
      </c>
      <c r="AC47" s="1">
        <f>SUM('UPS RATES'!AC47-'FedEx Rates'!AC46)</f>
        <v>43.399999999999991</v>
      </c>
    </row>
    <row r="48" spans="1:29" x14ac:dyDescent="0.25">
      <c r="A48">
        <v>46</v>
      </c>
      <c r="B48" s="1">
        <f>SUM('UPS RATES'!B48-'FedEx Rates'!B47)</f>
        <v>4.9800000000000004</v>
      </c>
      <c r="C48" s="1">
        <f>SUM('UPS RATES'!C48-'FedEx Rates'!C47)</f>
        <v>5.9899999999999984</v>
      </c>
      <c r="D48" s="1">
        <f>SUM('UPS RATES'!D48-'FedEx Rates'!D47)</f>
        <v>7.7100000000000009</v>
      </c>
      <c r="E48" s="1">
        <f>SUM('UPS RATES'!E48-'FedEx Rates'!E47)</f>
        <v>11.14</v>
      </c>
      <c r="F48" s="1">
        <f>SUM('UPS RATES'!F48-'FedEx Rates'!F47)</f>
        <v>17.439999999999998</v>
      </c>
      <c r="G48" s="1">
        <f>SUM('UPS RATES'!G48-'FedEx Rates'!G47)</f>
        <v>18.960000000000008</v>
      </c>
      <c r="H48" s="1">
        <f>SUM('UPS RATES'!H48-'FedEx Rates'!H47)</f>
        <v>19.899999999999999</v>
      </c>
      <c r="I48" s="1">
        <f>SUM('UPS RATES'!I48-'FedEx Rates'!I47)</f>
        <v>5.3600000000000012</v>
      </c>
      <c r="J48" s="1">
        <f>SUM('UPS RATES'!J48-'FedEx Rates'!J47)</f>
        <v>7.7800000000000011</v>
      </c>
      <c r="K48" s="1">
        <f>SUM('UPS RATES'!K48-'FedEx Rates'!K47)</f>
        <v>9.8100000000000023</v>
      </c>
      <c r="L48" s="1">
        <f>SUM('UPS RATES'!L48-'FedEx Rates'!L47)</f>
        <v>14.919999999999998</v>
      </c>
      <c r="M48" s="1">
        <f>SUM('UPS RATES'!M48-'FedEx Rates'!M47)</f>
        <v>23.72</v>
      </c>
      <c r="N48" s="1">
        <f>SUM('UPS RATES'!N48-'FedEx Rates'!N47)</f>
        <v>27.85</v>
      </c>
      <c r="O48" s="1">
        <f>SUM('UPS RATES'!O48-'FedEx Rates'!O47)</f>
        <v>30.430000000000007</v>
      </c>
      <c r="P48" s="1">
        <f>SUM('UPS RATES'!P48-'FedEx Rates'!P47)</f>
        <v>2.33</v>
      </c>
      <c r="Q48" s="1">
        <f>SUM('UPS RATES'!Q48-'FedEx Rates'!Q47)</f>
        <v>2.84</v>
      </c>
      <c r="R48" s="1">
        <f>SUM('UPS RATES'!R48-'FedEx Rates'!R47)</f>
        <v>3.370000000000001</v>
      </c>
      <c r="S48" s="1">
        <f>SUM('UPS RATES'!S48-'FedEx Rates'!S47)</f>
        <v>4.1300000000000008</v>
      </c>
      <c r="T48" s="1">
        <f>SUM('UPS RATES'!T48-'FedEx Rates'!T47)</f>
        <v>5.1899999999999977</v>
      </c>
      <c r="U48" s="1">
        <f>SUM('UPS RATES'!U48-'FedEx Rates'!U47)</f>
        <v>6.18</v>
      </c>
      <c r="V48" s="1">
        <f>SUM('UPS RATES'!V48-'FedEx Rates'!V47)</f>
        <v>6.8999999999999986</v>
      </c>
      <c r="W48" s="1">
        <f>SUM('UPS RATES'!W48-'FedEx Rates'!W47)</f>
        <v>12.670000000000002</v>
      </c>
      <c r="X48" s="1">
        <f>SUM('UPS RATES'!X48-'FedEx Rates'!X47)</f>
        <v>18.170000000000002</v>
      </c>
      <c r="Y48" s="1">
        <f>SUM('UPS RATES'!Y48-'FedEx Rates'!Y47)</f>
        <v>35.050000000000004</v>
      </c>
      <c r="Z48" s="1">
        <f>SUM('UPS RATES'!Z48-'FedEx Rates'!Z47)</f>
        <v>37.88000000000001</v>
      </c>
      <c r="AA48" s="1">
        <f>SUM('UPS RATES'!AA48-'FedEx Rates'!AA47)</f>
        <v>39.47999999999999</v>
      </c>
      <c r="AB48" s="1">
        <f>SUM('UPS RATES'!AB48-'FedEx Rates'!AB47)</f>
        <v>42.089999999999996</v>
      </c>
      <c r="AC48" s="1">
        <f>SUM('UPS RATES'!AC48-'FedEx Rates'!AC47)</f>
        <v>45.13</v>
      </c>
    </row>
    <row r="49" spans="1:29" x14ac:dyDescent="0.25">
      <c r="A49">
        <v>47</v>
      </c>
      <c r="B49" s="1">
        <f>SUM('UPS RATES'!B49-'FedEx Rates'!B48)</f>
        <v>4.99</v>
      </c>
      <c r="C49" s="1">
        <f>SUM('UPS RATES'!C49-'FedEx Rates'!C48)</f>
        <v>6</v>
      </c>
      <c r="D49" s="1">
        <f>SUM('UPS RATES'!D49-'FedEx Rates'!D48)</f>
        <v>7.8400000000000034</v>
      </c>
      <c r="E49" s="1">
        <f>SUM('UPS RATES'!E49-'FedEx Rates'!E48)</f>
        <v>11.229999999999997</v>
      </c>
      <c r="F49" s="1">
        <f>SUM('UPS RATES'!F49-'FedEx Rates'!F48)</f>
        <v>17.47</v>
      </c>
      <c r="G49" s="1">
        <f>SUM('UPS RATES'!G49-'FedEx Rates'!G48)</f>
        <v>19</v>
      </c>
      <c r="H49" s="1">
        <f>SUM('UPS RATES'!H49-'FedEx Rates'!H48)</f>
        <v>20.550000000000004</v>
      </c>
      <c r="I49" s="1">
        <f>SUM('UPS RATES'!I49-'FedEx Rates'!I48)</f>
        <v>5.3800000000000008</v>
      </c>
      <c r="J49" s="1">
        <f>SUM('UPS RATES'!J49-'FedEx Rates'!J48)</f>
        <v>7.7899999999999991</v>
      </c>
      <c r="K49" s="1">
        <f>SUM('UPS RATES'!K49-'FedEx Rates'!K48)</f>
        <v>9.8700000000000045</v>
      </c>
      <c r="L49" s="1">
        <f>SUM('UPS RATES'!L49-'FedEx Rates'!L48)</f>
        <v>14.999999999999996</v>
      </c>
      <c r="M49" s="1">
        <f>SUM('UPS RATES'!M49-'FedEx Rates'!M48)</f>
        <v>24.419999999999995</v>
      </c>
      <c r="N49" s="1">
        <f>SUM('UPS RATES'!N49-'FedEx Rates'!N48)</f>
        <v>27.740000000000002</v>
      </c>
      <c r="O49" s="1">
        <f>SUM('UPS RATES'!O49-'FedEx Rates'!O48)</f>
        <v>30.61</v>
      </c>
      <c r="P49" s="1">
        <f>SUM('UPS RATES'!P49-'FedEx Rates'!P48)</f>
        <v>2.3499999999999996</v>
      </c>
      <c r="Q49" s="1">
        <f>SUM('UPS RATES'!Q49-'FedEx Rates'!Q48)</f>
        <v>2.9000000000000004</v>
      </c>
      <c r="R49" s="1">
        <f>SUM('UPS RATES'!R49-'FedEx Rates'!R48)</f>
        <v>3.42</v>
      </c>
      <c r="S49" s="1">
        <f>SUM('UPS RATES'!S49-'FedEx Rates'!S48)</f>
        <v>4.1500000000000004</v>
      </c>
      <c r="T49" s="1">
        <f>SUM('UPS RATES'!T49-'FedEx Rates'!T48)</f>
        <v>5.2600000000000016</v>
      </c>
      <c r="U49" s="1">
        <f>SUM('UPS RATES'!U49-'FedEx Rates'!U48)</f>
        <v>6.2899999999999991</v>
      </c>
      <c r="V49" s="1">
        <f>SUM('UPS RATES'!V49-'FedEx Rates'!V48)</f>
        <v>7.02</v>
      </c>
      <c r="W49" s="1">
        <f>SUM('UPS RATES'!W49-'FedEx Rates'!W48)</f>
        <v>12.870000000000001</v>
      </c>
      <c r="X49" s="1">
        <f>SUM('UPS RATES'!X49-'FedEx Rates'!X48)</f>
        <v>18.440000000000001</v>
      </c>
      <c r="Y49" s="1">
        <f>SUM('UPS RATES'!Y49-'FedEx Rates'!Y48)</f>
        <v>35.109999999999992</v>
      </c>
      <c r="Z49" s="1">
        <f>SUM('UPS RATES'!Z49-'FedEx Rates'!Z48)</f>
        <v>38.029999999999994</v>
      </c>
      <c r="AA49" s="1">
        <f>SUM('UPS RATES'!AA49-'FedEx Rates'!AA48)</f>
        <v>39.83</v>
      </c>
      <c r="AB49" s="1">
        <f>SUM('UPS RATES'!AB49-'FedEx Rates'!AB48)</f>
        <v>42.220000000000006</v>
      </c>
      <c r="AC49" s="1">
        <f>SUM('UPS RATES'!AC49-'FedEx Rates'!AC48)</f>
        <v>45.429999999999993</v>
      </c>
    </row>
    <row r="50" spans="1:29" x14ac:dyDescent="0.25">
      <c r="A50">
        <v>48</v>
      </c>
      <c r="B50" s="1">
        <f>SUM('UPS RATES'!B50-'FedEx Rates'!B49)</f>
        <v>5.1000000000000014</v>
      </c>
      <c r="C50" s="1">
        <f>SUM('UPS RATES'!C50-'FedEx Rates'!C49)</f>
        <v>6.240000000000002</v>
      </c>
      <c r="D50" s="1">
        <f>SUM('UPS RATES'!D50-'FedEx Rates'!D49)</f>
        <v>7.980000000000004</v>
      </c>
      <c r="E50" s="1">
        <f>SUM('UPS RATES'!E50-'FedEx Rates'!E49)</f>
        <v>11.329999999999998</v>
      </c>
      <c r="F50" s="1">
        <f>SUM('UPS RATES'!F50-'FedEx Rates'!F49)</f>
        <v>18.100000000000001</v>
      </c>
      <c r="G50" s="1">
        <f>SUM('UPS RATES'!G50-'FedEx Rates'!G49)</f>
        <v>19.990000000000002</v>
      </c>
      <c r="H50" s="1">
        <f>SUM('UPS RATES'!H50-'FedEx Rates'!H49)</f>
        <v>20.720000000000006</v>
      </c>
      <c r="I50" s="1">
        <f>SUM('UPS RATES'!I50-'FedEx Rates'!I49)</f>
        <v>5.3699999999999992</v>
      </c>
      <c r="J50" s="1">
        <f>SUM('UPS RATES'!J50-'FedEx Rates'!J49)</f>
        <v>8.2200000000000024</v>
      </c>
      <c r="K50" s="1">
        <f>SUM('UPS RATES'!K50-'FedEx Rates'!K49)</f>
        <v>9.9700000000000024</v>
      </c>
      <c r="L50" s="1">
        <f>SUM('UPS RATES'!L50-'FedEx Rates'!L49)</f>
        <v>15.559999999999999</v>
      </c>
      <c r="M50" s="1">
        <f>SUM('UPS RATES'!M50-'FedEx Rates'!M49)</f>
        <v>26.090000000000003</v>
      </c>
      <c r="N50" s="1">
        <f>SUM('UPS RATES'!N50-'FedEx Rates'!N49)</f>
        <v>29.319999999999993</v>
      </c>
      <c r="O50" s="1">
        <f>SUM('UPS RATES'!O50-'FedEx Rates'!O49)</f>
        <v>31.880000000000003</v>
      </c>
      <c r="P50" s="1">
        <f>SUM('UPS RATES'!P50-'FedEx Rates'!P49)</f>
        <v>2.34</v>
      </c>
      <c r="Q50" s="1">
        <f>SUM('UPS RATES'!Q50-'FedEx Rates'!Q49)</f>
        <v>2.8999999999999986</v>
      </c>
      <c r="R50" s="1">
        <f>SUM('UPS RATES'!R50-'FedEx Rates'!R49)</f>
        <v>3.4399999999999995</v>
      </c>
      <c r="S50" s="1">
        <f>SUM('UPS RATES'!S50-'FedEx Rates'!S49)</f>
        <v>4.1999999999999975</v>
      </c>
      <c r="T50" s="1">
        <f>SUM('UPS RATES'!T50-'FedEx Rates'!T49)</f>
        <v>5.34</v>
      </c>
      <c r="U50" s="1">
        <f>SUM('UPS RATES'!U50-'FedEx Rates'!U49)</f>
        <v>6.3599999999999994</v>
      </c>
      <c r="V50" s="1">
        <f>SUM('UPS RATES'!V50-'FedEx Rates'!V49)</f>
        <v>7.1300000000000026</v>
      </c>
      <c r="W50" s="1">
        <f>SUM('UPS RATES'!W50-'FedEx Rates'!W49)</f>
        <v>13.129999999999999</v>
      </c>
      <c r="X50" s="1">
        <f>SUM('UPS RATES'!X50-'FedEx Rates'!X49)</f>
        <v>18.48</v>
      </c>
      <c r="Y50" s="1">
        <f>SUM('UPS RATES'!Y50-'FedEx Rates'!Y49)</f>
        <v>35.260000000000005</v>
      </c>
      <c r="Z50" s="1">
        <f>SUM('UPS RATES'!Z50-'FedEx Rates'!Z49)</f>
        <v>38.590000000000003</v>
      </c>
      <c r="AA50" s="1">
        <f>SUM('UPS RATES'!AA50-'FedEx Rates'!AA49)</f>
        <v>39.879999999999995</v>
      </c>
      <c r="AB50" s="1">
        <f>SUM('UPS RATES'!AB50-'FedEx Rates'!AB49)</f>
        <v>42.99</v>
      </c>
      <c r="AC50" s="1">
        <f>SUM('UPS RATES'!AC50-'FedEx Rates'!AC49)</f>
        <v>45.52000000000001</v>
      </c>
    </row>
    <row r="51" spans="1:29" x14ac:dyDescent="0.25">
      <c r="A51">
        <v>49</v>
      </c>
      <c r="B51" s="1">
        <f>SUM('UPS RATES'!B51-'FedEx Rates'!B50)</f>
        <v>5.120000000000001</v>
      </c>
      <c r="C51" s="1">
        <f>SUM('UPS RATES'!C51-'FedEx Rates'!C50)</f>
        <v>6.27</v>
      </c>
      <c r="D51" s="1">
        <f>SUM('UPS RATES'!D51-'FedEx Rates'!D50)</f>
        <v>8.0000000000000036</v>
      </c>
      <c r="E51" s="1">
        <f>SUM('UPS RATES'!E51-'FedEx Rates'!E50)</f>
        <v>11.300000000000004</v>
      </c>
      <c r="F51" s="1">
        <f>SUM('UPS RATES'!F51-'FedEx Rates'!F50)</f>
        <v>18.409999999999997</v>
      </c>
      <c r="G51" s="1">
        <f>SUM('UPS RATES'!G51-'FedEx Rates'!G50)</f>
        <v>20.100000000000009</v>
      </c>
      <c r="H51" s="1">
        <f>SUM('UPS RATES'!H51-'FedEx Rates'!H50)</f>
        <v>20.729999999999997</v>
      </c>
      <c r="I51" s="1">
        <f>SUM('UPS RATES'!I51-'FedEx Rates'!I50)</f>
        <v>5.48</v>
      </c>
      <c r="J51" s="1">
        <f>SUM('UPS RATES'!J51-'FedEx Rates'!J50)</f>
        <v>8.5599999999999987</v>
      </c>
      <c r="K51" s="1">
        <f>SUM('UPS RATES'!K51-'FedEx Rates'!K50)</f>
        <v>10.46</v>
      </c>
      <c r="L51" s="1">
        <f>SUM('UPS RATES'!L51-'FedEx Rates'!L50)</f>
        <v>15.619999999999997</v>
      </c>
      <c r="M51" s="1">
        <f>SUM('UPS RATES'!M51-'FedEx Rates'!M50)</f>
        <v>26.560000000000002</v>
      </c>
      <c r="N51" s="1">
        <f>SUM('UPS RATES'!N51-'FedEx Rates'!N50)</f>
        <v>30.160000000000004</v>
      </c>
      <c r="O51" s="1">
        <f>SUM('UPS RATES'!O51-'FedEx Rates'!O50)</f>
        <v>32.31</v>
      </c>
      <c r="P51" s="1">
        <f>SUM('UPS RATES'!P51-'FedEx Rates'!P50)</f>
        <v>2.3500000000000014</v>
      </c>
      <c r="Q51" s="1">
        <f>SUM('UPS RATES'!Q51-'FedEx Rates'!Q50)</f>
        <v>2.8999999999999986</v>
      </c>
      <c r="R51" s="1">
        <f>SUM('UPS RATES'!R51-'FedEx Rates'!R50)</f>
        <v>3.4600000000000009</v>
      </c>
      <c r="S51" s="1">
        <f>SUM('UPS RATES'!S51-'FedEx Rates'!S50)</f>
        <v>4.1999999999999975</v>
      </c>
      <c r="T51" s="1">
        <f>SUM('UPS RATES'!T51-'FedEx Rates'!T50)</f>
        <v>5.3800000000000026</v>
      </c>
      <c r="U51" s="1">
        <f>SUM('UPS RATES'!U51-'FedEx Rates'!U50)</f>
        <v>6.48</v>
      </c>
      <c r="V51" s="1">
        <f>SUM('UPS RATES'!V51-'FedEx Rates'!V50)</f>
        <v>7.1699999999999982</v>
      </c>
      <c r="W51" s="1">
        <f>SUM('UPS RATES'!W51-'FedEx Rates'!W50)</f>
        <v>13.120000000000001</v>
      </c>
      <c r="X51" s="1">
        <f>SUM('UPS RATES'!X51-'FedEx Rates'!X50)</f>
        <v>18.490000000000002</v>
      </c>
      <c r="Y51" s="1">
        <f>SUM('UPS RATES'!Y51-'FedEx Rates'!Y50)</f>
        <v>35.260000000000005</v>
      </c>
      <c r="Z51" s="1">
        <f>SUM('UPS RATES'!Z51-'FedEx Rates'!Z50)</f>
        <v>38.57</v>
      </c>
      <c r="AA51" s="1">
        <f>SUM('UPS RATES'!AA51-'FedEx Rates'!AA50)</f>
        <v>39.910000000000004</v>
      </c>
      <c r="AB51" s="1">
        <f>SUM('UPS RATES'!AB51-'FedEx Rates'!AB50)</f>
        <v>42.959999999999994</v>
      </c>
      <c r="AC51" s="1">
        <f>SUM('UPS RATES'!AC51-'FedEx Rates'!AC50)</f>
        <v>45.550000000000004</v>
      </c>
    </row>
    <row r="52" spans="1:29" x14ac:dyDescent="0.25">
      <c r="A52">
        <v>50</v>
      </c>
      <c r="B52" s="1">
        <f>SUM('UPS RATES'!B52-'FedEx Rates'!B51)</f>
        <v>5.129999999999999</v>
      </c>
      <c r="C52" s="1">
        <f>SUM('UPS RATES'!C52-'FedEx Rates'!C51)</f>
        <v>6.2799999999999976</v>
      </c>
      <c r="D52" s="1">
        <f>SUM('UPS RATES'!D52-'FedEx Rates'!D51)</f>
        <v>8.2399999999999984</v>
      </c>
      <c r="E52" s="1">
        <f>SUM('UPS RATES'!E52-'FedEx Rates'!E51)</f>
        <v>11.280000000000001</v>
      </c>
      <c r="F52" s="1">
        <f>SUM('UPS RATES'!F52-'FedEx Rates'!F51)</f>
        <v>18.730000000000004</v>
      </c>
      <c r="G52" s="1">
        <f>SUM('UPS RATES'!G52-'FedEx Rates'!G51)</f>
        <v>20.359999999999992</v>
      </c>
      <c r="H52" s="1">
        <f>SUM('UPS RATES'!H52-'FedEx Rates'!H51)</f>
        <v>20.770000000000003</v>
      </c>
      <c r="I52" s="1">
        <f>SUM('UPS RATES'!I52-'FedEx Rates'!I51)</f>
        <v>5.4699999999999989</v>
      </c>
      <c r="J52" s="1">
        <f>SUM('UPS RATES'!J52-'FedEx Rates'!J51)</f>
        <v>8.57</v>
      </c>
      <c r="K52" s="1">
        <f>SUM('UPS RATES'!K52-'FedEx Rates'!K51)</f>
        <v>10.520000000000003</v>
      </c>
      <c r="L52" s="1">
        <f>SUM('UPS RATES'!L52-'FedEx Rates'!L51)</f>
        <v>15.599999999999998</v>
      </c>
      <c r="M52" s="1">
        <f>SUM('UPS RATES'!M52-'FedEx Rates'!M51)</f>
        <v>26.839999999999996</v>
      </c>
      <c r="N52" s="1">
        <f>SUM('UPS RATES'!N52-'FedEx Rates'!N51)</f>
        <v>30.75</v>
      </c>
      <c r="O52" s="1">
        <f>SUM('UPS RATES'!O52-'FedEx Rates'!O51)</f>
        <v>32.22</v>
      </c>
      <c r="P52" s="1">
        <f>SUM('UPS RATES'!P52-'FedEx Rates'!P51)</f>
        <v>2.34</v>
      </c>
      <c r="Q52" s="1">
        <f>SUM('UPS RATES'!Q52-'FedEx Rates'!Q51)</f>
        <v>2.91</v>
      </c>
      <c r="R52" s="1">
        <f>SUM('UPS RATES'!R52-'FedEx Rates'!R51)</f>
        <v>3.4800000000000004</v>
      </c>
      <c r="S52" s="1">
        <f>SUM('UPS RATES'!S52-'FedEx Rates'!S51)</f>
        <v>4.2100000000000009</v>
      </c>
      <c r="T52" s="1">
        <f>SUM('UPS RATES'!T52-'FedEx Rates'!T51)</f>
        <v>5.3800000000000026</v>
      </c>
      <c r="U52" s="1">
        <f>SUM('UPS RATES'!U52-'FedEx Rates'!U51)</f>
        <v>6.490000000000002</v>
      </c>
      <c r="V52" s="1">
        <f>SUM('UPS RATES'!V52-'FedEx Rates'!V51)</f>
        <v>7.2099999999999973</v>
      </c>
      <c r="W52" s="1">
        <f>SUM('UPS RATES'!W52-'FedEx Rates'!W51)</f>
        <v>13.059999999999999</v>
      </c>
      <c r="X52" s="1">
        <f>SUM('UPS RATES'!X52-'FedEx Rates'!X51)</f>
        <v>18.600000000000001</v>
      </c>
      <c r="Y52" s="1">
        <f>SUM('UPS RATES'!Y52-'FedEx Rates'!Y51)</f>
        <v>35.19</v>
      </c>
      <c r="Z52" s="1">
        <f>SUM('UPS RATES'!Z52-'FedEx Rates'!Z51)</f>
        <v>38.520000000000003</v>
      </c>
      <c r="AA52" s="1">
        <f>SUM('UPS RATES'!AA52-'FedEx Rates'!AA51)</f>
        <v>40.06</v>
      </c>
      <c r="AB52" s="1">
        <f>SUM('UPS RATES'!AB52-'FedEx Rates'!AB51)</f>
        <v>42.980000000000004</v>
      </c>
      <c r="AC52" s="1">
        <f>SUM('UPS RATES'!AC52-'FedEx Rates'!AC51)</f>
        <v>45.680000000000007</v>
      </c>
    </row>
    <row r="53" spans="1:29" x14ac:dyDescent="0.25">
      <c r="A53">
        <v>51</v>
      </c>
      <c r="B53" s="1">
        <f>SUM('UPS RATES'!B53-'FedEx Rates'!B52)</f>
        <v>5.18</v>
      </c>
      <c r="C53" s="1">
        <f>SUM('UPS RATES'!C53-'FedEx Rates'!C52)</f>
        <v>6.3100000000000023</v>
      </c>
      <c r="D53" s="1">
        <f>SUM('UPS RATES'!D53-'FedEx Rates'!D52)</f>
        <v>8.4299999999999962</v>
      </c>
      <c r="E53" s="1">
        <f>SUM('UPS RATES'!E53-'FedEx Rates'!E52)</f>
        <v>11.579999999999998</v>
      </c>
      <c r="F53" s="1">
        <f>SUM('UPS RATES'!F53-'FedEx Rates'!F52)</f>
        <v>19.619999999999997</v>
      </c>
      <c r="G53" s="1">
        <f>SUM('UPS RATES'!G53-'FedEx Rates'!G52)</f>
        <v>20.92</v>
      </c>
      <c r="H53" s="1">
        <f>SUM('UPS RATES'!H53-'FedEx Rates'!H52)</f>
        <v>21.340000000000003</v>
      </c>
      <c r="I53" s="1">
        <f>SUM('UPS RATES'!I53-'FedEx Rates'!I52)</f>
        <v>5.7899999999999991</v>
      </c>
      <c r="J53" s="1">
        <f>SUM('UPS RATES'!J53-'FedEx Rates'!J52)</f>
        <v>7.07</v>
      </c>
      <c r="K53" s="1">
        <f>SUM('UPS RATES'!K53-'FedEx Rates'!K52)</f>
        <v>10.069999999999997</v>
      </c>
      <c r="L53" s="1">
        <f>SUM('UPS RATES'!L53-'FedEx Rates'!L52)</f>
        <v>16.119999999999997</v>
      </c>
      <c r="M53" s="1">
        <f>SUM('UPS RATES'!M53-'FedEx Rates'!M52)</f>
        <v>28.54</v>
      </c>
      <c r="N53" s="1">
        <f>SUM('UPS RATES'!N53-'FedEx Rates'!N52)</f>
        <v>30.58</v>
      </c>
      <c r="O53" s="1">
        <f>SUM('UPS RATES'!O53-'FedEx Rates'!O52)</f>
        <v>31.770000000000003</v>
      </c>
      <c r="P53" s="1">
        <f>SUM('UPS RATES'!P53-'FedEx Rates'!P52)</f>
        <v>2.3699999999999992</v>
      </c>
      <c r="Q53" s="1">
        <f>SUM('UPS RATES'!Q53-'FedEx Rates'!Q52)</f>
        <v>2.91</v>
      </c>
      <c r="R53" s="1">
        <f>SUM('UPS RATES'!R53-'FedEx Rates'!R52)</f>
        <v>3.4999999999999982</v>
      </c>
      <c r="S53" s="1">
        <f>SUM('UPS RATES'!S53-'FedEx Rates'!S52)</f>
        <v>4.24</v>
      </c>
      <c r="T53" s="1">
        <f>SUM('UPS RATES'!T53-'FedEx Rates'!T52)</f>
        <v>5.3599999999999994</v>
      </c>
      <c r="U53" s="1">
        <f>SUM('UPS RATES'!U53-'FedEx Rates'!U52)</f>
        <v>6.4499999999999993</v>
      </c>
      <c r="V53" s="1">
        <f>SUM('UPS RATES'!V53-'FedEx Rates'!V52)</f>
        <v>7.25</v>
      </c>
      <c r="W53" s="1">
        <f>SUM('UPS RATES'!W53-'FedEx Rates'!W52)</f>
        <v>14.429999999999998</v>
      </c>
      <c r="X53" s="1">
        <f>SUM('UPS RATES'!X53-'FedEx Rates'!X52)</f>
        <v>20.279999999999998</v>
      </c>
      <c r="Y53" s="1">
        <f>SUM('UPS RATES'!Y53-'FedEx Rates'!Y52)</f>
        <v>37.339999999999996</v>
      </c>
      <c r="Z53" s="1">
        <f>SUM('UPS RATES'!Z53-'FedEx Rates'!Z52)</f>
        <v>41.56</v>
      </c>
      <c r="AA53" s="1">
        <f>SUM('UPS RATES'!AA53-'FedEx Rates'!AA52)</f>
        <v>42.4</v>
      </c>
      <c r="AB53" s="1">
        <f>SUM('UPS RATES'!AB53-'FedEx Rates'!AB52)</f>
        <v>45.88</v>
      </c>
      <c r="AC53" s="1">
        <f>SUM('UPS RATES'!AC53-'FedEx Rates'!AC52)</f>
        <v>47.400000000000006</v>
      </c>
    </row>
    <row r="54" spans="1:29" x14ac:dyDescent="0.25">
      <c r="A54">
        <v>52</v>
      </c>
      <c r="B54" s="1">
        <f>SUM('UPS RATES'!B54-'FedEx Rates'!B53)</f>
        <v>5.5399999999999991</v>
      </c>
      <c r="C54" s="1">
        <f>SUM('UPS RATES'!C54-'FedEx Rates'!C53)</f>
        <v>6.6499999999999986</v>
      </c>
      <c r="D54" s="1">
        <f>SUM('UPS RATES'!D54-'FedEx Rates'!D53)</f>
        <v>8.6900000000000048</v>
      </c>
      <c r="E54" s="1">
        <f>SUM('UPS RATES'!E54-'FedEx Rates'!E53)</f>
        <v>12.219999999999999</v>
      </c>
      <c r="F54" s="1">
        <f>SUM('UPS RATES'!F54-'FedEx Rates'!F53)</f>
        <v>19.919999999999995</v>
      </c>
      <c r="G54" s="1">
        <f>SUM('UPS RATES'!G54-'FedEx Rates'!G53)</f>
        <v>21.519999999999996</v>
      </c>
      <c r="H54" s="1">
        <f>SUM('UPS RATES'!H54-'FedEx Rates'!H53)</f>
        <v>22.939999999999998</v>
      </c>
      <c r="I54" s="1">
        <f>SUM('UPS RATES'!I54-'FedEx Rates'!I53)</f>
        <v>6.120000000000001</v>
      </c>
      <c r="J54" s="1">
        <f>SUM('UPS RATES'!J54-'FedEx Rates'!J53)</f>
        <v>8.6000000000000014</v>
      </c>
      <c r="K54" s="1">
        <f>SUM('UPS RATES'!K54-'FedEx Rates'!K53)</f>
        <v>10.119999999999997</v>
      </c>
      <c r="L54" s="1">
        <f>SUM('UPS RATES'!L54-'FedEx Rates'!L53)</f>
        <v>16.82</v>
      </c>
      <c r="M54" s="1">
        <f>SUM('UPS RATES'!M54-'FedEx Rates'!M53)</f>
        <v>24.889999999999993</v>
      </c>
      <c r="N54" s="1">
        <f>SUM('UPS RATES'!N54-'FedEx Rates'!N53)</f>
        <v>30.529999999999994</v>
      </c>
      <c r="O54" s="1">
        <f>SUM('UPS RATES'!O54-'FedEx Rates'!O53)</f>
        <v>32.229999999999997</v>
      </c>
      <c r="P54" s="1">
        <f>SUM('UPS RATES'!P54-'FedEx Rates'!P53)</f>
        <v>2.379999999999999</v>
      </c>
      <c r="Q54" s="1">
        <f>SUM('UPS RATES'!Q54-'FedEx Rates'!Q53)</f>
        <v>2.91</v>
      </c>
      <c r="R54" s="1">
        <f>SUM('UPS RATES'!R54-'FedEx Rates'!R53)</f>
        <v>3.5</v>
      </c>
      <c r="S54" s="1">
        <f>SUM('UPS RATES'!S54-'FedEx Rates'!S53)</f>
        <v>4.2499999999999982</v>
      </c>
      <c r="T54" s="1">
        <f>SUM('UPS RATES'!T54-'FedEx Rates'!T53)</f>
        <v>5.3500000000000014</v>
      </c>
      <c r="U54" s="1">
        <f>SUM('UPS RATES'!U54-'FedEx Rates'!U53)</f>
        <v>6.4600000000000009</v>
      </c>
      <c r="V54" s="1">
        <f>SUM('UPS RATES'!V54-'FedEx Rates'!V53)</f>
        <v>7.25</v>
      </c>
      <c r="W54" s="1">
        <f>SUM('UPS RATES'!W54-'FedEx Rates'!W53)</f>
        <v>14.659999999999998</v>
      </c>
      <c r="X54" s="1">
        <f>SUM('UPS RATES'!X54-'FedEx Rates'!X53)</f>
        <v>21.33</v>
      </c>
      <c r="Y54" s="1">
        <f>SUM('UPS RATES'!Y54-'FedEx Rates'!Y53)</f>
        <v>40.009999999999991</v>
      </c>
      <c r="Z54" s="1">
        <f>SUM('UPS RATES'!Z54-'FedEx Rates'!Z53)</f>
        <v>42.37</v>
      </c>
      <c r="AA54" s="1">
        <f>SUM('UPS RATES'!AA54-'FedEx Rates'!AA53)</f>
        <v>43.959999999999994</v>
      </c>
      <c r="AB54" s="1">
        <f>SUM('UPS RATES'!AB54-'FedEx Rates'!AB53)</f>
        <v>47.67</v>
      </c>
      <c r="AC54" s="1">
        <f>SUM('UPS RATES'!AC54-'FedEx Rates'!AC53)</f>
        <v>50.010000000000005</v>
      </c>
    </row>
    <row r="55" spans="1:29" x14ac:dyDescent="0.25">
      <c r="A55">
        <v>53</v>
      </c>
      <c r="B55" s="1">
        <f>SUM('UPS RATES'!B55-'FedEx Rates'!B54)</f>
        <v>5.66</v>
      </c>
      <c r="C55" s="1">
        <f>SUM('UPS RATES'!C55-'FedEx Rates'!C54)</f>
        <v>6.7799999999999976</v>
      </c>
      <c r="D55" s="1">
        <f>SUM('UPS RATES'!D55-'FedEx Rates'!D54)</f>
        <v>8.8100000000000023</v>
      </c>
      <c r="E55" s="1">
        <f>SUM('UPS RATES'!E55-'FedEx Rates'!E54)</f>
        <v>12.309999999999995</v>
      </c>
      <c r="F55" s="1">
        <f>SUM('UPS RATES'!F55-'FedEx Rates'!F54)</f>
        <v>19.939999999999998</v>
      </c>
      <c r="G55" s="1">
        <f>SUM('UPS RATES'!G55-'FedEx Rates'!G54)</f>
        <v>22.39</v>
      </c>
      <c r="H55" s="1">
        <f>SUM('UPS RATES'!H55-'FedEx Rates'!H54)</f>
        <v>23.089999999999989</v>
      </c>
      <c r="I55" s="1">
        <f>SUM('UPS RATES'!I55-'FedEx Rates'!I54)</f>
        <v>5.759999999999998</v>
      </c>
      <c r="J55" s="1">
        <f>SUM('UPS RATES'!J55-'FedEx Rates'!J54)</f>
        <v>8.09</v>
      </c>
      <c r="K55" s="1">
        <f>SUM('UPS RATES'!K55-'FedEx Rates'!K54)</f>
        <v>10.34</v>
      </c>
      <c r="L55" s="1">
        <f>SUM('UPS RATES'!L55-'FedEx Rates'!L54)</f>
        <v>15.659999999999997</v>
      </c>
      <c r="M55" s="1">
        <f>SUM('UPS RATES'!M55-'FedEx Rates'!M54)</f>
        <v>25.57</v>
      </c>
      <c r="N55" s="1">
        <f>SUM('UPS RATES'!N55-'FedEx Rates'!N54)</f>
        <v>32.35</v>
      </c>
      <c r="O55" s="1">
        <f>SUM('UPS RATES'!O55-'FedEx Rates'!O54)</f>
        <v>33</v>
      </c>
      <c r="P55" s="1">
        <f>SUM('UPS RATES'!P55-'FedEx Rates'!P54)</f>
        <v>2.3699999999999992</v>
      </c>
      <c r="Q55" s="1">
        <f>SUM('UPS RATES'!Q55-'FedEx Rates'!Q54)</f>
        <v>2.9399999999999995</v>
      </c>
      <c r="R55" s="1">
        <f>SUM('UPS RATES'!R55-'FedEx Rates'!R54)</f>
        <v>3.5100000000000016</v>
      </c>
      <c r="S55" s="1">
        <f>SUM('UPS RATES'!S55-'FedEx Rates'!S54)</f>
        <v>4.2099999999999991</v>
      </c>
      <c r="T55" s="1">
        <f>SUM('UPS RATES'!T55-'FedEx Rates'!T54)</f>
        <v>5.3599999999999994</v>
      </c>
      <c r="U55" s="1">
        <f>SUM('UPS RATES'!U55-'FedEx Rates'!U54)</f>
        <v>6.4599999999999973</v>
      </c>
      <c r="V55" s="1">
        <f>SUM('UPS RATES'!V55-'FedEx Rates'!V54)</f>
        <v>7.3299999999999983</v>
      </c>
      <c r="W55" s="1">
        <f>SUM('UPS RATES'!W55-'FedEx Rates'!W54)</f>
        <v>14.809999999999999</v>
      </c>
      <c r="X55" s="1">
        <f>SUM('UPS RATES'!X55-'FedEx Rates'!X54)</f>
        <v>21.45</v>
      </c>
      <c r="Y55" s="1">
        <f>SUM('UPS RATES'!Y55-'FedEx Rates'!Y54)</f>
        <v>40.28</v>
      </c>
      <c r="Z55" s="1">
        <f>SUM('UPS RATES'!Z55-'FedEx Rates'!Z54)</f>
        <v>43.41</v>
      </c>
      <c r="AA55" s="1">
        <f>SUM('UPS RATES'!AA55-'FedEx Rates'!AA54)</f>
        <v>44.110000000000007</v>
      </c>
      <c r="AB55" s="1">
        <f>SUM('UPS RATES'!AB55-'FedEx Rates'!AB54)</f>
        <v>50.040000000000006</v>
      </c>
      <c r="AC55" s="1">
        <f>SUM('UPS RATES'!AC55-'FedEx Rates'!AC54)</f>
        <v>51.04</v>
      </c>
    </row>
    <row r="56" spans="1:29" x14ac:dyDescent="0.25">
      <c r="A56">
        <v>54</v>
      </c>
      <c r="B56" s="1">
        <f>SUM('UPS RATES'!B56-'FedEx Rates'!B55)</f>
        <v>5.7399999999999984</v>
      </c>
      <c r="C56" s="1">
        <f>SUM('UPS RATES'!C56-'FedEx Rates'!C55)</f>
        <v>6.8599999999999994</v>
      </c>
      <c r="D56" s="1">
        <f>SUM('UPS RATES'!D56-'FedEx Rates'!D55)</f>
        <v>8.9600000000000009</v>
      </c>
      <c r="E56" s="1">
        <f>SUM('UPS RATES'!E56-'FedEx Rates'!E55)</f>
        <v>12.340000000000003</v>
      </c>
      <c r="F56" s="1">
        <f>SUM('UPS RATES'!F56-'FedEx Rates'!F55)</f>
        <v>20</v>
      </c>
      <c r="G56" s="1">
        <f>SUM('UPS RATES'!G56-'FedEx Rates'!G55)</f>
        <v>22.67</v>
      </c>
      <c r="H56" s="1">
        <f>SUM('UPS RATES'!H56-'FedEx Rates'!H55)</f>
        <v>23.11</v>
      </c>
      <c r="I56" s="1">
        <f>SUM('UPS RATES'!I56-'FedEx Rates'!I55)</f>
        <v>5.9499999999999993</v>
      </c>
      <c r="J56" s="1">
        <f>SUM('UPS RATES'!J56-'FedEx Rates'!J55)</f>
        <v>8.2100000000000009</v>
      </c>
      <c r="K56" s="1">
        <f>SUM('UPS RATES'!K56-'FedEx Rates'!K55)</f>
        <v>11</v>
      </c>
      <c r="L56" s="1">
        <f>SUM('UPS RATES'!L56-'FedEx Rates'!L55)</f>
        <v>15.939999999999998</v>
      </c>
      <c r="M56" s="1">
        <f>SUM('UPS RATES'!M56-'FedEx Rates'!M55)</f>
        <v>26.53</v>
      </c>
      <c r="N56" s="1">
        <f>SUM('UPS RATES'!N56-'FedEx Rates'!N55)</f>
        <v>31.939999999999998</v>
      </c>
      <c r="O56" s="1">
        <f>SUM('UPS RATES'!O56-'FedEx Rates'!O55)</f>
        <v>34.54</v>
      </c>
      <c r="P56" s="1">
        <f>SUM('UPS RATES'!P56-'FedEx Rates'!P55)</f>
        <v>2.3699999999999992</v>
      </c>
      <c r="Q56" s="1">
        <f>SUM('UPS RATES'!Q56-'FedEx Rates'!Q55)</f>
        <v>2.9599999999999991</v>
      </c>
      <c r="R56" s="1">
        <f>SUM('UPS RATES'!R56-'FedEx Rates'!R55)</f>
        <v>3.5199999999999996</v>
      </c>
      <c r="S56" s="1">
        <f>SUM('UPS RATES'!S56-'FedEx Rates'!S55)</f>
        <v>4.2199999999999989</v>
      </c>
      <c r="T56" s="1">
        <f>SUM('UPS RATES'!T56-'FedEx Rates'!T55)</f>
        <v>5.3599999999999994</v>
      </c>
      <c r="U56" s="1">
        <f>SUM('UPS RATES'!U56-'FedEx Rates'!U55)</f>
        <v>6.4699999999999989</v>
      </c>
      <c r="V56" s="1">
        <f>SUM('UPS RATES'!V56-'FedEx Rates'!V55)</f>
        <v>7.34</v>
      </c>
      <c r="W56" s="1">
        <f>SUM('UPS RATES'!W56-'FedEx Rates'!W55)</f>
        <v>14.850000000000001</v>
      </c>
      <c r="X56" s="1">
        <f>SUM('UPS RATES'!X56-'FedEx Rates'!X55)</f>
        <v>21.490000000000002</v>
      </c>
      <c r="Y56" s="1">
        <f>SUM('UPS RATES'!Y56-'FedEx Rates'!Y55)</f>
        <v>40.31</v>
      </c>
      <c r="Z56" s="1">
        <f>SUM('UPS RATES'!Z56-'FedEx Rates'!Z55)</f>
        <v>44.120000000000005</v>
      </c>
      <c r="AA56" s="1">
        <f>SUM('UPS RATES'!AA56-'FedEx Rates'!AA55)</f>
        <v>44.16</v>
      </c>
      <c r="AB56" s="1">
        <f>SUM('UPS RATES'!AB56-'FedEx Rates'!AB55)</f>
        <v>50.27</v>
      </c>
      <c r="AC56" s="1">
        <f>SUM('UPS RATES'!AC56-'FedEx Rates'!AC55)</f>
        <v>51.150000000000006</v>
      </c>
    </row>
    <row r="57" spans="1:29" x14ac:dyDescent="0.25">
      <c r="A57">
        <v>55</v>
      </c>
      <c r="B57" s="1">
        <f>SUM('UPS RATES'!B57-'FedEx Rates'!B56)</f>
        <v>5.84</v>
      </c>
      <c r="C57" s="1">
        <f>SUM('UPS RATES'!C57-'FedEx Rates'!C56)</f>
        <v>6.8999999999999986</v>
      </c>
      <c r="D57" s="1">
        <f>SUM('UPS RATES'!D57-'FedEx Rates'!D56)</f>
        <v>9.0300000000000011</v>
      </c>
      <c r="E57" s="1">
        <f>SUM('UPS RATES'!E57-'FedEx Rates'!E56)</f>
        <v>12.36</v>
      </c>
      <c r="F57" s="1">
        <f>SUM('UPS RATES'!F57-'FedEx Rates'!F56)</f>
        <v>20.840000000000003</v>
      </c>
      <c r="G57" s="1">
        <f>SUM('UPS RATES'!G57-'FedEx Rates'!G56)</f>
        <v>22.700000000000003</v>
      </c>
      <c r="H57" s="1">
        <f>SUM('UPS RATES'!H57-'FedEx Rates'!H56)</f>
        <v>23.150000000000006</v>
      </c>
      <c r="I57" s="1">
        <f>SUM('UPS RATES'!I57-'FedEx Rates'!I56)</f>
        <v>6.02</v>
      </c>
      <c r="J57" s="1">
        <f>SUM('UPS RATES'!J57-'FedEx Rates'!J56)</f>
        <v>8.6899999999999977</v>
      </c>
      <c r="K57" s="1">
        <f>SUM('UPS RATES'!K57-'FedEx Rates'!K56)</f>
        <v>10.709999999999997</v>
      </c>
      <c r="L57" s="1">
        <f>SUM('UPS RATES'!L57-'FedEx Rates'!L56)</f>
        <v>16.329999999999998</v>
      </c>
      <c r="M57" s="1">
        <f>SUM('UPS RATES'!M57-'FedEx Rates'!M56)</f>
        <v>27.560000000000002</v>
      </c>
      <c r="N57" s="1">
        <f>SUM('UPS RATES'!N57-'FedEx Rates'!N56)</f>
        <v>33.28</v>
      </c>
      <c r="O57" s="1">
        <f>SUM('UPS RATES'!O57-'FedEx Rates'!O56)</f>
        <v>34.480000000000004</v>
      </c>
      <c r="P57" s="1">
        <f>SUM('UPS RATES'!P57-'FedEx Rates'!P56)</f>
        <v>2.379999999999999</v>
      </c>
      <c r="Q57" s="1">
        <f>SUM('UPS RATES'!Q57-'FedEx Rates'!Q56)</f>
        <v>2.9700000000000006</v>
      </c>
      <c r="R57" s="1">
        <f>SUM('UPS RATES'!R57-'FedEx Rates'!R56)</f>
        <v>3.5300000000000011</v>
      </c>
      <c r="S57" s="1">
        <f>SUM('UPS RATES'!S57-'FedEx Rates'!S56)</f>
        <v>4.3099999999999987</v>
      </c>
      <c r="T57" s="1">
        <f>SUM('UPS RATES'!T57-'FedEx Rates'!T56)</f>
        <v>5.379999999999999</v>
      </c>
      <c r="U57" s="1">
        <f>SUM('UPS RATES'!U57-'FedEx Rates'!U56)</f>
        <v>6.4599999999999973</v>
      </c>
      <c r="V57" s="1">
        <f>SUM('UPS RATES'!V57-'FedEx Rates'!V56)</f>
        <v>7.370000000000001</v>
      </c>
      <c r="W57" s="1">
        <f>SUM('UPS RATES'!W57-'FedEx Rates'!W56)</f>
        <v>14.91</v>
      </c>
      <c r="X57" s="1">
        <f>SUM('UPS RATES'!X57-'FedEx Rates'!X56)</f>
        <v>21.87</v>
      </c>
      <c r="Y57" s="1">
        <f>SUM('UPS RATES'!Y57-'FedEx Rates'!Y56)</f>
        <v>40.610000000000007</v>
      </c>
      <c r="Z57" s="1">
        <f>SUM('UPS RATES'!Z57-'FedEx Rates'!Z56)</f>
        <v>44.219999999999992</v>
      </c>
      <c r="AA57" s="1">
        <f>SUM('UPS RATES'!AA57-'FedEx Rates'!AA56)</f>
        <v>44.27</v>
      </c>
      <c r="AB57" s="1">
        <f>SUM('UPS RATES'!AB57-'FedEx Rates'!AB56)</f>
        <v>50.249999999999993</v>
      </c>
      <c r="AC57" s="1">
        <f>SUM('UPS RATES'!AC57-'FedEx Rates'!AC56)</f>
        <v>51.19</v>
      </c>
    </row>
    <row r="58" spans="1:29" x14ac:dyDescent="0.25">
      <c r="A58">
        <v>56</v>
      </c>
      <c r="B58" s="1">
        <f>SUM('UPS RATES'!B58-'FedEx Rates'!B57)</f>
        <v>5.879999999999999</v>
      </c>
      <c r="C58" s="1">
        <f>SUM('UPS RATES'!C58-'FedEx Rates'!C57)</f>
        <v>6.91</v>
      </c>
      <c r="D58" s="1">
        <f>SUM('UPS RATES'!D58-'FedEx Rates'!D57)</f>
        <v>9.0599999999999987</v>
      </c>
      <c r="E58" s="1">
        <f>SUM('UPS RATES'!E58-'FedEx Rates'!E57)</f>
        <v>12.409999999999997</v>
      </c>
      <c r="F58" s="1">
        <f>SUM('UPS RATES'!F58-'FedEx Rates'!F57)</f>
        <v>20.939999999999998</v>
      </c>
      <c r="G58" s="1">
        <f>SUM('UPS RATES'!G58-'FedEx Rates'!G57)</f>
        <v>22.730000000000004</v>
      </c>
      <c r="H58" s="1">
        <f>SUM('UPS RATES'!H58-'FedEx Rates'!H57)</f>
        <v>23.17</v>
      </c>
      <c r="I58" s="1">
        <f>SUM('UPS RATES'!I58-'FedEx Rates'!I57)</f>
        <v>6.2800000000000011</v>
      </c>
      <c r="J58" s="1">
        <f>SUM('UPS RATES'!J58-'FedEx Rates'!J57)</f>
        <v>8.7099999999999973</v>
      </c>
      <c r="K58" s="1">
        <f>SUM('UPS RATES'!K58-'FedEx Rates'!K57)</f>
        <v>11.18</v>
      </c>
      <c r="L58" s="1">
        <f>SUM('UPS RATES'!L58-'FedEx Rates'!L57)</f>
        <v>16.490000000000002</v>
      </c>
      <c r="M58" s="1">
        <f>SUM('UPS RATES'!M58-'FedEx Rates'!M57)</f>
        <v>25.339999999999996</v>
      </c>
      <c r="N58" s="1">
        <f>SUM('UPS RATES'!N58-'FedEx Rates'!N57)</f>
        <v>34.540000000000006</v>
      </c>
      <c r="O58" s="1">
        <f>SUM('UPS RATES'!O58-'FedEx Rates'!O57)</f>
        <v>34.540000000000006</v>
      </c>
      <c r="P58" s="1">
        <f>SUM('UPS RATES'!P58-'FedEx Rates'!P57)</f>
        <v>2.379999999999999</v>
      </c>
      <c r="Q58" s="1">
        <f>SUM('UPS RATES'!Q58-'FedEx Rates'!Q57)</f>
        <v>2.99</v>
      </c>
      <c r="R58" s="1">
        <f>SUM('UPS RATES'!R58-'FedEx Rates'!R57)</f>
        <v>3.5400000000000009</v>
      </c>
      <c r="S58" s="1">
        <f>SUM('UPS RATES'!S58-'FedEx Rates'!S57)</f>
        <v>4.32</v>
      </c>
      <c r="T58" s="1">
        <f>SUM('UPS RATES'!T58-'FedEx Rates'!T57)</f>
        <v>5.3800000000000026</v>
      </c>
      <c r="U58" s="1">
        <f>SUM('UPS RATES'!U58-'FedEx Rates'!U57)</f>
        <v>6.48</v>
      </c>
      <c r="V58" s="1">
        <f>SUM('UPS RATES'!V58-'FedEx Rates'!V57)</f>
        <v>7.4099999999999966</v>
      </c>
      <c r="W58" s="1">
        <f>SUM('UPS RATES'!W58-'FedEx Rates'!W57)</f>
        <v>15.989999999999998</v>
      </c>
      <c r="X58" s="1">
        <f>SUM('UPS RATES'!X58-'FedEx Rates'!X57)</f>
        <v>23.09</v>
      </c>
      <c r="Y58" s="1">
        <f>SUM('UPS RATES'!Y58-'FedEx Rates'!Y57)</f>
        <v>40.649999999999991</v>
      </c>
      <c r="Z58" s="1">
        <f>SUM('UPS RATES'!Z58-'FedEx Rates'!Z57)</f>
        <v>44.580000000000005</v>
      </c>
      <c r="AA58" s="1">
        <f>SUM('UPS RATES'!AA58-'FedEx Rates'!AA57)</f>
        <v>45.480000000000004</v>
      </c>
      <c r="AB58" s="1">
        <f>SUM('UPS RATES'!AB58-'FedEx Rates'!AB57)</f>
        <v>50.21</v>
      </c>
      <c r="AC58" s="1">
        <f>SUM('UPS RATES'!AC58-'FedEx Rates'!AC57)</f>
        <v>51.23</v>
      </c>
    </row>
    <row r="59" spans="1:29" x14ac:dyDescent="0.25">
      <c r="A59">
        <v>57</v>
      </c>
      <c r="B59" s="1">
        <f>SUM('UPS RATES'!B59-'FedEx Rates'!B58)</f>
        <v>5.91</v>
      </c>
      <c r="C59" s="1">
        <f>SUM('UPS RATES'!C59-'FedEx Rates'!C58)</f>
        <v>7.2199999999999989</v>
      </c>
      <c r="D59" s="1">
        <f>SUM('UPS RATES'!D59-'FedEx Rates'!D58)</f>
        <v>9.34</v>
      </c>
      <c r="E59" s="1">
        <f>SUM('UPS RATES'!E59-'FedEx Rates'!E58)</f>
        <v>13.11</v>
      </c>
      <c r="F59" s="1">
        <f>SUM('UPS RATES'!F59-'FedEx Rates'!F58)</f>
        <v>21.61999999999999</v>
      </c>
      <c r="G59" s="1">
        <f>SUM('UPS RATES'!G59-'FedEx Rates'!G58)</f>
        <v>23.200000000000003</v>
      </c>
      <c r="H59" s="1">
        <f>SUM('UPS RATES'!H59-'FedEx Rates'!H58)</f>
        <v>23.649999999999991</v>
      </c>
      <c r="I59" s="1">
        <f>SUM('UPS RATES'!I59-'FedEx Rates'!I58)</f>
        <v>6.2899999999999991</v>
      </c>
      <c r="J59" s="1">
        <f>SUM('UPS RATES'!J59-'FedEx Rates'!J58)</f>
        <v>8.89</v>
      </c>
      <c r="K59" s="1">
        <f>SUM('UPS RATES'!K59-'FedEx Rates'!K58)</f>
        <v>11.170000000000002</v>
      </c>
      <c r="L59" s="1">
        <f>SUM('UPS RATES'!L59-'FedEx Rates'!L58)</f>
        <v>16.729999999999997</v>
      </c>
      <c r="M59" s="1">
        <f>SUM('UPS RATES'!M59-'FedEx Rates'!M58)</f>
        <v>26.100000000000009</v>
      </c>
      <c r="N59" s="1">
        <f>SUM('UPS RATES'!N59-'FedEx Rates'!N58)</f>
        <v>32.33</v>
      </c>
      <c r="O59" s="1">
        <f>SUM('UPS RATES'!O59-'FedEx Rates'!O58)</f>
        <v>33.719999999999992</v>
      </c>
      <c r="P59" s="1">
        <f>SUM('UPS RATES'!P59-'FedEx Rates'!P58)</f>
        <v>2.42</v>
      </c>
      <c r="Q59" s="1">
        <f>SUM('UPS RATES'!Q59-'FedEx Rates'!Q58)</f>
        <v>2.9799999999999986</v>
      </c>
      <c r="R59" s="1">
        <f>SUM('UPS RATES'!R59-'FedEx Rates'!R58)</f>
        <v>3.5700000000000021</v>
      </c>
      <c r="S59" s="1">
        <f>SUM('UPS RATES'!S59-'FedEx Rates'!S58)</f>
        <v>4.4400000000000013</v>
      </c>
      <c r="T59" s="1">
        <f>SUM('UPS RATES'!T59-'FedEx Rates'!T58)</f>
        <v>5.41</v>
      </c>
      <c r="U59" s="1">
        <f>SUM('UPS RATES'!U59-'FedEx Rates'!U58)</f>
        <v>6.5</v>
      </c>
      <c r="V59" s="1">
        <f>SUM('UPS RATES'!V59-'FedEx Rates'!V58)</f>
        <v>7.4999999999999964</v>
      </c>
      <c r="W59" s="1">
        <f>SUM('UPS RATES'!W59-'FedEx Rates'!W58)</f>
        <v>16.13</v>
      </c>
      <c r="X59" s="1">
        <f>SUM('UPS RATES'!X59-'FedEx Rates'!X58)</f>
        <v>23.319999999999997</v>
      </c>
      <c r="Y59" s="1">
        <f>SUM('UPS RATES'!Y59-'FedEx Rates'!Y58)</f>
        <v>40.719999999999992</v>
      </c>
      <c r="Z59" s="1">
        <f>SUM('UPS RATES'!Z59-'FedEx Rates'!Z58)</f>
        <v>44.709999999999994</v>
      </c>
      <c r="AA59" s="1">
        <f>SUM('UPS RATES'!AA59-'FedEx Rates'!AA58)</f>
        <v>45.69</v>
      </c>
      <c r="AB59" s="1">
        <f>SUM('UPS RATES'!AB59-'FedEx Rates'!AB58)</f>
        <v>50.27</v>
      </c>
      <c r="AC59" s="1">
        <f>SUM('UPS RATES'!AC59-'FedEx Rates'!AC58)</f>
        <v>51.269999999999996</v>
      </c>
    </row>
    <row r="60" spans="1:29" x14ac:dyDescent="0.25">
      <c r="A60">
        <v>58</v>
      </c>
      <c r="B60" s="1">
        <f>SUM('UPS RATES'!B60-'FedEx Rates'!B59)</f>
        <v>5.9499999999999993</v>
      </c>
      <c r="C60" s="1">
        <f>SUM('UPS RATES'!C60-'FedEx Rates'!C59)</f>
        <v>7.25</v>
      </c>
      <c r="D60" s="1">
        <f>SUM('UPS RATES'!D60-'FedEx Rates'!D59)</f>
        <v>9.3699999999999974</v>
      </c>
      <c r="E60" s="1">
        <f>SUM('UPS RATES'!E60-'FedEx Rates'!E59)</f>
        <v>13.169999999999995</v>
      </c>
      <c r="F60" s="1">
        <f>SUM('UPS RATES'!F60-'FedEx Rates'!F59)</f>
        <v>22.53</v>
      </c>
      <c r="G60" s="1">
        <f>SUM('UPS RATES'!G60-'FedEx Rates'!G59)</f>
        <v>23.240000000000009</v>
      </c>
      <c r="H60" s="1">
        <f>SUM('UPS RATES'!H60-'FedEx Rates'!H59)</f>
        <v>23.689999999999998</v>
      </c>
      <c r="I60" s="1">
        <f>SUM('UPS RATES'!I60-'FedEx Rates'!I59)</f>
        <v>6.3599999999999994</v>
      </c>
      <c r="J60" s="1">
        <f>SUM('UPS RATES'!J60-'FedEx Rates'!J59)</f>
        <v>9.0799999999999983</v>
      </c>
      <c r="K60" s="1">
        <f>SUM('UPS RATES'!K60-'FedEx Rates'!K59)</f>
        <v>11.549999999999997</v>
      </c>
      <c r="L60" s="1">
        <f>SUM('UPS RATES'!L60-'FedEx Rates'!L59)</f>
        <v>17</v>
      </c>
      <c r="M60" s="1">
        <f>SUM('UPS RATES'!M60-'FedEx Rates'!M59)</f>
        <v>26.17</v>
      </c>
      <c r="N60" s="1">
        <f>SUM('UPS RATES'!N60-'FedEx Rates'!N59)</f>
        <v>32.589999999999996</v>
      </c>
      <c r="O60" s="1">
        <f>SUM('UPS RATES'!O60-'FedEx Rates'!O59)</f>
        <v>34.29</v>
      </c>
      <c r="P60" s="1">
        <f>SUM('UPS RATES'!P60-'FedEx Rates'!P59)</f>
        <v>2.41</v>
      </c>
      <c r="Q60" s="1">
        <f>SUM('UPS RATES'!Q60-'FedEx Rates'!Q59)</f>
        <v>2.99</v>
      </c>
      <c r="R60" s="1">
        <f>SUM('UPS RATES'!R60-'FedEx Rates'!R59)</f>
        <v>3.5600000000000005</v>
      </c>
      <c r="S60" s="1">
        <f>SUM('UPS RATES'!S60-'FedEx Rates'!S59)</f>
        <v>4.4600000000000009</v>
      </c>
      <c r="T60" s="1">
        <f>SUM('UPS RATES'!T60-'FedEx Rates'!T59)</f>
        <v>5.3999999999999986</v>
      </c>
      <c r="U60" s="1">
        <f>SUM('UPS RATES'!U60-'FedEx Rates'!U59)</f>
        <v>6.5300000000000011</v>
      </c>
      <c r="V60" s="1">
        <f>SUM('UPS RATES'!V60-'FedEx Rates'!V59)</f>
        <v>7.5600000000000023</v>
      </c>
      <c r="W60" s="1">
        <f>SUM('UPS RATES'!W60-'FedEx Rates'!W59)</f>
        <v>16.18</v>
      </c>
      <c r="X60" s="1">
        <f>SUM('UPS RATES'!X60-'FedEx Rates'!X59)</f>
        <v>23.42</v>
      </c>
      <c r="Y60" s="1">
        <f>SUM('UPS RATES'!Y60-'FedEx Rates'!Y59)</f>
        <v>40.78</v>
      </c>
      <c r="Z60" s="1">
        <f>SUM('UPS RATES'!Z60-'FedEx Rates'!Z59)</f>
        <v>44.739999999999995</v>
      </c>
      <c r="AA60" s="1">
        <f>SUM('UPS RATES'!AA60-'FedEx Rates'!AA59)</f>
        <v>46.62</v>
      </c>
      <c r="AB60" s="1">
        <f>SUM('UPS RATES'!AB60-'FedEx Rates'!AB59)</f>
        <v>50.41</v>
      </c>
      <c r="AC60" s="1">
        <f>SUM('UPS RATES'!AC60-'FedEx Rates'!AC59)</f>
        <v>51.41</v>
      </c>
    </row>
    <row r="61" spans="1:29" x14ac:dyDescent="0.25">
      <c r="A61">
        <v>59</v>
      </c>
      <c r="B61" s="1">
        <f>SUM('UPS RATES'!B61-'FedEx Rates'!B60)</f>
        <v>5.9699999999999989</v>
      </c>
      <c r="C61" s="1">
        <f>SUM('UPS RATES'!C61-'FedEx Rates'!C60)</f>
        <v>7.2900000000000027</v>
      </c>
      <c r="D61" s="1">
        <f>SUM('UPS RATES'!D61-'FedEx Rates'!D60)</f>
        <v>9.6999999999999993</v>
      </c>
      <c r="E61" s="1">
        <f>SUM('UPS RATES'!E61-'FedEx Rates'!E60)</f>
        <v>13.21</v>
      </c>
      <c r="F61" s="1">
        <f>SUM('UPS RATES'!F61-'FedEx Rates'!F60)</f>
        <v>23.069999999999993</v>
      </c>
      <c r="G61" s="1">
        <f>SUM('UPS RATES'!G61-'FedEx Rates'!G60)</f>
        <v>23.53</v>
      </c>
      <c r="H61" s="1">
        <f>SUM('UPS RATES'!H61-'FedEx Rates'!H60)</f>
        <v>24</v>
      </c>
      <c r="I61" s="1">
        <f>SUM('UPS RATES'!I61-'FedEx Rates'!I60)</f>
        <v>6.379999999999999</v>
      </c>
      <c r="J61" s="1">
        <f>SUM('UPS RATES'!J61-'FedEx Rates'!J60)</f>
        <v>9.2800000000000011</v>
      </c>
      <c r="K61" s="1">
        <f>SUM('UPS RATES'!K61-'FedEx Rates'!K60)</f>
        <v>12.030000000000001</v>
      </c>
      <c r="L61" s="1">
        <f>SUM('UPS RATES'!L61-'FedEx Rates'!L60)</f>
        <v>17.270000000000003</v>
      </c>
      <c r="M61" s="1">
        <f>SUM('UPS RATES'!M61-'FedEx Rates'!M60)</f>
        <v>26.889999999999993</v>
      </c>
      <c r="N61" s="1">
        <f>SUM('UPS RATES'!N61-'FedEx Rates'!N60)</f>
        <v>33.190000000000005</v>
      </c>
      <c r="O61" s="1">
        <f>SUM('UPS RATES'!O61-'FedEx Rates'!O60)</f>
        <v>34.88000000000001</v>
      </c>
      <c r="P61" s="1">
        <f>SUM('UPS RATES'!P61-'FedEx Rates'!P60)</f>
        <v>2.4499999999999993</v>
      </c>
      <c r="Q61" s="1">
        <f>SUM('UPS RATES'!Q61-'FedEx Rates'!Q60)</f>
        <v>2.99</v>
      </c>
      <c r="R61" s="1">
        <f>SUM('UPS RATES'!R61-'FedEx Rates'!R60)</f>
        <v>3.5800000000000018</v>
      </c>
      <c r="S61" s="1">
        <f>SUM('UPS RATES'!S61-'FedEx Rates'!S60)</f>
        <v>4.4500000000000028</v>
      </c>
      <c r="T61" s="1">
        <f>SUM('UPS RATES'!T61-'FedEx Rates'!T60)</f>
        <v>5.41</v>
      </c>
      <c r="U61" s="1">
        <f>SUM('UPS RATES'!U61-'FedEx Rates'!U60)</f>
        <v>6.5499999999999972</v>
      </c>
      <c r="V61" s="1">
        <f>SUM('UPS RATES'!V61-'FedEx Rates'!V60)</f>
        <v>7.6799999999999962</v>
      </c>
      <c r="W61" s="1">
        <f>SUM('UPS RATES'!W61-'FedEx Rates'!W60)</f>
        <v>16.21</v>
      </c>
      <c r="X61" s="1">
        <f>SUM('UPS RATES'!X61-'FedEx Rates'!X60)</f>
        <v>23.459999999999997</v>
      </c>
      <c r="Y61" s="1">
        <f>SUM('UPS RATES'!Y61-'FedEx Rates'!Y60)</f>
        <v>41.749999999999993</v>
      </c>
      <c r="Z61" s="1">
        <f>SUM('UPS RATES'!Z61-'FedEx Rates'!Z60)</f>
        <v>45.420000000000009</v>
      </c>
      <c r="AA61" s="1">
        <f>SUM('UPS RATES'!AA61-'FedEx Rates'!AA60)</f>
        <v>46.720000000000006</v>
      </c>
      <c r="AB61" s="1">
        <f>SUM('UPS RATES'!AB61-'FedEx Rates'!AB60)</f>
        <v>50.71</v>
      </c>
      <c r="AC61" s="1">
        <f>SUM('UPS RATES'!AC61-'FedEx Rates'!AC60)</f>
        <v>54.139999999999993</v>
      </c>
    </row>
    <row r="62" spans="1:29" x14ac:dyDescent="0.25">
      <c r="A62">
        <v>60</v>
      </c>
      <c r="B62" s="1">
        <f>SUM('UPS RATES'!B62-'FedEx Rates'!B61)</f>
        <v>6</v>
      </c>
      <c r="C62" s="1">
        <f>SUM('UPS RATES'!C62-'FedEx Rates'!C61)</f>
        <v>7.3100000000000023</v>
      </c>
      <c r="D62" s="1">
        <f>SUM('UPS RATES'!D62-'FedEx Rates'!D61)</f>
        <v>9.7399999999999984</v>
      </c>
      <c r="E62" s="1">
        <f>SUM('UPS RATES'!E62-'FedEx Rates'!E61)</f>
        <v>13.57</v>
      </c>
      <c r="F62" s="1">
        <f>SUM('UPS RATES'!F62-'FedEx Rates'!F61)</f>
        <v>22.47</v>
      </c>
      <c r="G62" s="1">
        <f>SUM('UPS RATES'!G62-'FedEx Rates'!G61)</f>
        <v>24.060000000000002</v>
      </c>
      <c r="H62" s="1">
        <f>SUM('UPS RATES'!H62-'FedEx Rates'!H61)</f>
        <v>24.53</v>
      </c>
      <c r="I62" s="1">
        <f>SUM('UPS RATES'!I62-'FedEx Rates'!I61)</f>
        <v>6.870000000000001</v>
      </c>
      <c r="J62" s="1">
        <f>SUM('UPS RATES'!J62-'FedEx Rates'!J61)</f>
        <v>9.66</v>
      </c>
      <c r="K62" s="1">
        <f>SUM('UPS RATES'!K62-'FedEx Rates'!K61)</f>
        <v>12.18</v>
      </c>
      <c r="L62" s="1">
        <f>SUM('UPS RATES'!L62-'FedEx Rates'!L61)</f>
        <v>17.239999999999995</v>
      </c>
      <c r="M62" s="1">
        <f>SUM('UPS RATES'!M62-'FedEx Rates'!M61)</f>
        <v>28.21</v>
      </c>
      <c r="N62" s="1">
        <f>SUM('UPS RATES'!N62-'FedEx Rates'!N61)</f>
        <v>33.61</v>
      </c>
      <c r="O62" s="1">
        <f>SUM('UPS RATES'!O62-'FedEx Rates'!O61)</f>
        <v>35.510000000000005</v>
      </c>
      <c r="P62" s="1">
        <f>SUM('UPS RATES'!P62-'FedEx Rates'!P61)</f>
        <v>2.4900000000000002</v>
      </c>
      <c r="Q62" s="1">
        <f>SUM('UPS RATES'!Q62-'FedEx Rates'!Q61)</f>
        <v>3.0999999999999996</v>
      </c>
      <c r="R62" s="1">
        <f>SUM('UPS RATES'!R62-'FedEx Rates'!R61)</f>
        <v>3.6399999999999988</v>
      </c>
      <c r="S62" s="1">
        <f>SUM('UPS RATES'!S62-'FedEx Rates'!S61)</f>
        <v>4.6000000000000014</v>
      </c>
      <c r="T62" s="1">
        <f>SUM('UPS RATES'!T62-'FedEx Rates'!T61)</f>
        <v>5.5</v>
      </c>
      <c r="U62" s="1">
        <f>SUM('UPS RATES'!U62-'FedEx Rates'!U61)</f>
        <v>6.48</v>
      </c>
      <c r="V62" s="1">
        <f>SUM('UPS RATES'!V62-'FedEx Rates'!V61)</f>
        <v>7.7299999999999969</v>
      </c>
      <c r="W62" s="1">
        <f>SUM('UPS RATES'!W62-'FedEx Rates'!W61)</f>
        <v>16.259999999999998</v>
      </c>
      <c r="X62" s="1">
        <f>SUM('UPS RATES'!X62-'FedEx Rates'!X61)</f>
        <v>23.51</v>
      </c>
      <c r="Y62" s="1">
        <f>SUM('UPS RATES'!Y62-'FedEx Rates'!Y61)</f>
        <v>41.850000000000009</v>
      </c>
      <c r="Z62" s="1">
        <f>SUM('UPS RATES'!Z62-'FedEx Rates'!Z61)</f>
        <v>45.49</v>
      </c>
      <c r="AA62" s="1">
        <f>SUM('UPS RATES'!AA62-'FedEx Rates'!AA61)</f>
        <v>46.81</v>
      </c>
      <c r="AB62" s="1">
        <f>SUM('UPS RATES'!AB62-'FedEx Rates'!AB61)</f>
        <v>54.36</v>
      </c>
      <c r="AC62" s="1">
        <f>SUM('UPS RATES'!AC62-'FedEx Rates'!AC61)</f>
        <v>54.41</v>
      </c>
    </row>
    <row r="63" spans="1:29" x14ac:dyDescent="0.25">
      <c r="A63">
        <v>61</v>
      </c>
      <c r="B63" s="1">
        <f>SUM('UPS RATES'!B63-'FedEx Rates'!B62)</f>
        <v>6.02</v>
      </c>
      <c r="C63" s="1">
        <f>SUM('UPS RATES'!C63-'FedEx Rates'!C62)</f>
        <v>7.34</v>
      </c>
      <c r="D63" s="1">
        <f>SUM('UPS RATES'!D63-'FedEx Rates'!D62)</f>
        <v>9.7899999999999956</v>
      </c>
      <c r="E63" s="1">
        <f>SUM('UPS RATES'!E63-'FedEx Rates'!E62)</f>
        <v>13.599999999999994</v>
      </c>
      <c r="F63" s="1">
        <f>SUM('UPS RATES'!F63-'FedEx Rates'!F62)</f>
        <v>22.799999999999997</v>
      </c>
      <c r="G63" s="1">
        <f>SUM('UPS RATES'!G63-'FedEx Rates'!G62)</f>
        <v>24.25</v>
      </c>
      <c r="H63" s="1">
        <f>SUM('UPS RATES'!H63-'FedEx Rates'!H62)</f>
        <v>24.740000000000009</v>
      </c>
      <c r="I63" s="1">
        <f>SUM('UPS RATES'!I63-'FedEx Rates'!I62)</f>
        <v>6.43</v>
      </c>
      <c r="J63" s="1">
        <f>SUM('UPS RATES'!J63-'FedEx Rates'!J62)</f>
        <v>9.0499999999999972</v>
      </c>
      <c r="K63" s="1">
        <f>SUM('UPS RATES'!K63-'FedEx Rates'!K62)</f>
        <v>11.64</v>
      </c>
      <c r="L63" s="1">
        <f>SUM('UPS RATES'!L63-'FedEx Rates'!L62)</f>
        <v>17.880000000000003</v>
      </c>
      <c r="M63" s="1">
        <f>SUM('UPS RATES'!M63-'FedEx Rates'!M62)</f>
        <v>29.650000000000006</v>
      </c>
      <c r="N63" s="1">
        <f>SUM('UPS RATES'!N63-'FedEx Rates'!N62)</f>
        <v>34.24</v>
      </c>
      <c r="O63" s="1">
        <f>SUM('UPS RATES'!O63-'FedEx Rates'!O62)</f>
        <v>36.159999999999997</v>
      </c>
      <c r="P63" s="1">
        <f>SUM('UPS RATES'!P63-'FedEx Rates'!P62)</f>
        <v>2.5</v>
      </c>
      <c r="Q63" s="1">
        <f>SUM('UPS RATES'!Q63-'FedEx Rates'!Q62)</f>
        <v>3.1100000000000012</v>
      </c>
      <c r="R63" s="1">
        <f>SUM('UPS RATES'!R63-'FedEx Rates'!R62)</f>
        <v>3.6499999999999986</v>
      </c>
      <c r="S63" s="1">
        <f>SUM('UPS RATES'!S63-'FedEx Rates'!S62)</f>
        <v>4.629999999999999</v>
      </c>
      <c r="T63" s="1">
        <f>SUM('UPS RATES'!T63-'FedEx Rates'!T62)</f>
        <v>5.509999999999998</v>
      </c>
      <c r="U63" s="1">
        <f>SUM('UPS RATES'!U63-'FedEx Rates'!U62)</f>
        <v>6.48</v>
      </c>
      <c r="V63" s="1">
        <f>SUM('UPS RATES'!V63-'FedEx Rates'!V62)</f>
        <v>7.9600000000000009</v>
      </c>
      <c r="W63" s="1">
        <f>SUM('UPS RATES'!W63-'FedEx Rates'!W62)</f>
        <v>17.11</v>
      </c>
      <c r="X63" s="1">
        <f>SUM('UPS RATES'!X63-'FedEx Rates'!X62)</f>
        <v>24.339999999999996</v>
      </c>
      <c r="Y63" s="1">
        <f>SUM('UPS RATES'!Y63-'FedEx Rates'!Y62)</f>
        <v>43.52</v>
      </c>
      <c r="Z63" s="1">
        <f>SUM('UPS RATES'!Z63-'FedEx Rates'!Z62)</f>
        <v>46.809999999999995</v>
      </c>
      <c r="AA63" s="1">
        <f>SUM('UPS RATES'!AA63-'FedEx Rates'!AA62)</f>
        <v>48.72</v>
      </c>
      <c r="AB63" s="1">
        <f>SUM('UPS RATES'!AB63-'FedEx Rates'!AB62)</f>
        <v>55.010000000000005</v>
      </c>
      <c r="AC63" s="1">
        <f>SUM('UPS RATES'!AC63-'FedEx Rates'!AC62)</f>
        <v>56.109999999999992</v>
      </c>
    </row>
    <row r="64" spans="1:29" x14ac:dyDescent="0.25">
      <c r="A64">
        <v>62</v>
      </c>
      <c r="B64" s="1">
        <f>SUM('UPS RATES'!B64-'FedEx Rates'!B63)</f>
        <v>6.0500000000000007</v>
      </c>
      <c r="C64" s="1">
        <f>SUM('UPS RATES'!C64-'FedEx Rates'!C63)</f>
        <v>7.379999999999999</v>
      </c>
      <c r="D64" s="1">
        <f>SUM('UPS RATES'!D64-'FedEx Rates'!D63)</f>
        <v>9.7999999999999972</v>
      </c>
      <c r="E64" s="1">
        <f>SUM('UPS RATES'!E64-'FedEx Rates'!E63)</f>
        <v>13.64</v>
      </c>
      <c r="F64" s="1">
        <f>SUM('UPS RATES'!F64-'FedEx Rates'!F63)</f>
        <v>22.850000000000009</v>
      </c>
      <c r="G64" s="1">
        <f>SUM('UPS RATES'!G64-'FedEx Rates'!G63)</f>
        <v>24.290000000000006</v>
      </c>
      <c r="H64" s="1">
        <f>SUM('UPS RATES'!H64-'FedEx Rates'!H63)</f>
        <v>24.78</v>
      </c>
      <c r="I64" s="1">
        <f>SUM('UPS RATES'!I64-'FedEx Rates'!I63)</f>
        <v>6.1400000000000006</v>
      </c>
      <c r="J64" s="1">
        <f>SUM('UPS RATES'!J64-'FedEx Rates'!J63)</f>
        <v>9.4699999999999989</v>
      </c>
      <c r="K64" s="1">
        <f>SUM('UPS RATES'!K64-'FedEx Rates'!K63)</f>
        <v>11.699999999999996</v>
      </c>
      <c r="L64" s="1">
        <f>SUM('UPS RATES'!L64-'FedEx Rates'!L63)</f>
        <v>18.129999999999995</v>
      </c>
      <c r="M64" s="1">
        <f>SUM('UPS RATES'!M64-'FedEx Rates'!M63)</f>
        <v>28.61999999999999</v>
      </c>
      <c r="N64" s="1">
        <f>SUM('UPS RATES'!N64-'FedEx Rates'!N63)</f>
        <v>34.839999999999996</v>
      </c>
      <c r="O64" s="1">
        <f>SUM('UPS RATES'!O64-'FedEx Rates'!O63)</f>
        <v>37.629999999999995</v>
      </c>
      <c r="P64" s="1">
        <f>SUM('UPS RATES'!P64-'FedEx Rates'!P63)</f>
        <v>2.59</v>
      </c>
      <c r="Q64" s="1">
        <f>SUM('UPS RATES'!Q64-'FedEx Rates'!Q63)</f>
        <v>3.33</v>
      </c>
      <c r="R64" s="1">
        <f>SUM('UPS RATES'!R64-'FedEx Rates'!R63)</f>
        <v>3.740000000000002</v>
      </c>
      <c r="S64" s="1">
        <f>SUM('UPS RATES'!S64-'FedEx Rates'!S63)</f>
        <v>4.7600000000000016</v>
      </c>
      <c r="T64" s="1">
        <f>SUM('UPS RATES'!T64-'FedEx Rates'!T63)</f>
        <v>5.59</v>
      </c>
      <c r="U64" s="1">
        <f>SUM('UPS RATES'!U64-'FedEx Rates'!U63)</f>
        <v>6.59</v>
      </c>
      <c r="V64" s="1">
        <f>SUM('UPS RATES'!V64-'FedEx Rates'!V63)</f>
        <v>7.82</v>
      </c>
      <c r="W64" s="1">
        <f>SUM('UPS RATES'!W64-'FedEx Rates'!W63)</f>
        <v>17.32</v>
      </c>
      <c r="X64" s="1">
        <f>SUM('UPS RATES'!X64-'FedEx Rates'!X63)</f>
        <v>25.099999999999998</v>
      </c>
      <c r="Y64" s="1">
        <f>SUM('UPS RATES'!Y64-'FedEx Rates'!Y63)</f>
        <v>44.2</v>
      </c>
      <c r="Z64" s="1">
        <f>SUM('UPS RATES'!Z64-'FedEx Rates'!Z63)</f>
        <v>47.39</v>
      </c>
      <c r="AA64" s="1">
        <f>SUM('UPS RATES'!AA64-'FedEx Rates'!AA63)</f>
        <v>48.92</v>
      </c>
      <c r="AB64" s="1">
        <f>SUM('UPS RATES'!AB64-'FedEx Rates'!AB63)</f>
        <v>55.79</v>
      </c>
      <c r="AC64" s="1">
        <f>SUM('UPS RATES'!AC64-'FedEx Rates'!AC63)</f>
        <v>57.46</v>
      </c>
    </row>
    <row r="65" spans="1:29" x14ac:dyDescent="0.25">
      <c r="A65">
        <v>63</v>
      </c>
      <c r="B65" s="1">
        <f>SUM('UPS RATES'!B65-'FedEx Rates'!B64)</f>
        <v>6.0800000000000018</v>
      </c>
      <c r="C65" s="1">
        <f>SUM('UPS RATES'!C65-'FedEx Rates'!C64)</f>
        <v>7.3999999999999986</v>
      </c>
      <c r="D65" s="1">
        <f>SUM('UPS RATES'!D65-'FedEx Rates'!D64)</f>
        <v>9.8300000000000018</v>
      </c>
      <c r="E65" s="1">
        <f>SUM('UPS RATES'!E65-'FedEx Rates'!E64)</f>
        <v>13.920000000000002</v>
      </c>
      <c r="F65" s="1">
        <f>SUM('UPS RATES'!F65-'FedEx Rates'!F64)</f>
        <v>24.36</v>
      </c>
      <c r="G65" s="1">
        <f>SUM('UPS RATES'!G65-'FedEx Rates'!G64)</f>
        <v>25.150000000000006</v>
      </c>
      <c r="H65" s="1">
        <f>SUM('UPS RATES'!H65-'FedEx Rates'!H64)</f>
        <v>25.659999999999997</v>
      </c>
      <c r="I65" s="1">
        <f>SUM('UPS RATES'!I65-'FedEx Rates'!I64)</f>
        <v>5.9400000000000013</v>
      </c>
      <c r="J65" s="1">
        <f>SUM('UPS RATES'!J65-'FedEx Rates'!J64)</f>
        <v>9.5299999999999976</v>
      </c>
      <c r="K65" s="1">
        <f>SUM('UPS RATES'!K65-'FedEx Rates'!K64)</f>
        <v>12.139999999999997</v>
      </c>
      <c r="L65" s="1">
        <f>SUM('UPS RATES'!L65-'FedEx Rates'!L64)</f>
        <v>18.330000000000005</v>
      </c>
      <c r="M65" s="1">
        <f>SUM('UPS RATES'!M65-'FedEx Rates'!M64)</f>
        <v>28.130000000000003</v>
      </c>
      <c r="N65" s="1">
        <f>SUM('UPS RATES'!N65-'FedEx Rates'!N64)</f>
        <v>35.400000000000006</v>
      </c>
      <c r="O65" s="1">
        <f>SUM('UPS RATES'!O65-'FedEx Rates'!O64)</f>
        <v>37.259999999999991</v>
      </c>
      <c r="P65" s="1">
        <f>SUM('UPS RATES'!P65-'FedEx Rates'!P64)</f>
        <v>2.5999999999999996</v>
      </c>
      <c r="Q65" s="1">
        <f>SUM('UPS RATES'!Q65-'FedEx Rates'!Q64)</f>
        <v>3.34</v>
      </c>
      <c r="R65" s="1">
        <f>SUM('UPS RATES'!R65-'FedEx Rates'!R64)</f>
        <v>3.7700000000000014</v>
      </c>
      <c r="S65" s="1">
        <f>SUM('UPS RATES'!S65-'FedEx Rates'!S64)</f>
        <v>4.7699999999999996</v>
      </c>
      <c r="T65" s="1">
        <f>SUM('UPS RATES'!T65-'FedEx Rates'!T64)</f>
        <v>5.629999999999999</v>
      </c>
      <c r="U65" s="1">
        <f>SUM('UPS RATES'!U65-'FedEx Rates'!U64)</f>
        <v>6.6499999999999986</v>
      </c>
      <c r="V65" s="1">
        <f>SUM('UPS RATES'!V65-'FedEx Rates'!V64)</f>
        <v>7.879999999999999</v>
      </c>
      <c r="W65" s="1">
        <f>SUM('UPS RATES'!W65-'FedEx Rates'!W64)</f>
        <v>17.360000000000003</v>
      </c>
      <c r="X65" s="1">
        <f>SUM('UPS RATES'!X65-'FedEx Rates'!X64)</f>
        <v>25.169999999999998</v>
      </c>
      <c r="Y65" s="1">
        <f>SUM('UPS RATES'!Y65-'FedEx Rates'!Y64)</f>
        <v>44.59</v>
      </c>
      <c r="Z65" s="1">
        <f>SUM('UPS RATES'!Z65-'FedEx Rates'!Z64)</f>
        <v>47.459999999999994</v>
      </c>
      <c r="AA65" s="1">
        <f>SUM('UPS RATES'!AA65-'FedEx Rates'!AA64)</f>
        <v>49.14</v>
      </c>
      <c r="AB65" s="1">
        <f>SUM('UPS RATES'!AB65-'FedEx Rates'!AB64)</f>
        <v>56.589999999999996</v>
      </c>
      <c r="AC65" s="1">
        <f>SUM('UPS RATES'!AC65-'FedEx Rates'!AC64)</f>
        <v>57.71</v>
      </c>
    </row>
    <row r="66" spans="1:29" x14ac:dyDescent="0.25">
      <c r="A66">
        <v>64</v>
      </c>
      <c r="B66" s="1">
        <f>SUM('UPS RATES'!B66-'FedEx Rates'!B65)</f>
        <v>6.4699999999999989</v>
      </c>
      <c r="C66" s="1">
        <f>SUM('UPS RATES'!C66-'FedEx Rates'!C65)</f>
        <v>7.5500000000000007</v>
      </c>
      <c r="D66" s="1">
        <f>SUM('UPS RATES'!D66-'FedEx Rates'!D65)</f>
        <v>9.8699999999999974</v>
      </c>
      <c r="E66" s="1">
        <f>SUM('UPS RATES'!E66-'FedEx Rates'!E65)</f>
        <v>13.939999999999998</v>
      </c>
      <c r="F66" s="1">
        <f>SUM('UPS RATES'!F66-'FedEx Rates'!F65)</f>
        <v>24.75</v>
      </c>
      <c r="G66" s="1">
        <f>SUM('UPS RATES'!G66-'FedEx Rates'!G65)</f>
        <v>25.25</v>
      </c>
      <c r="H66" s="1">
        <f>SUM('UPS RATES'!H66-'FedEx Rates'!H65)</f>
        <v>25.75</v>
      </c>
      <c r="I66" s="1">
        <f>SUM('UPS RATES'!I66-'FedEx Rates'!I65)</f>
        <v>6.32</v>
      </c>
      <c r="J66" s="1">
        <f>SUM('UPS RATES'!J66-'FedEx Rates'!J65)</f>
        <v>9.7800000000000011</v>
      </c>
      <c r="K66" s="1">
        <f>SUM('UPS RATES'!K66-'FedEx Rates'!K65)</f>
        <v>12.5</v>
      </c>
      <c r="L66" s="1">
        <f>SUM('UPS RATES'!L66-'FedEx Rates'!L65)</f>
        <v>18.75</v>
      </c>
      <c r="M66" s="1">
        <f>SUM('UPS RATES'!M66-'FedEx Rates'!M65)</f>
        <v>28.930000000000007</v>
      </c>
      <c r="N66" s="1">
        <f>SUM('UPS RATES'!N66-'FedEx Rates'!N65)</f>
        <v>36.269999999999996</v>
      </c>
      <c r="O66" s="1">
        <f>SUM('UPS RATES'!O66-'FedEx Rates'!O65)</f>
        <v>37.849999999999994</v>
      </c>
      <c r="P66" s="1">
        <f>SUM('UPS RATES'!P66-'FedEx Rates'!P65)</f>
        <v>2.66</v>
      </c>
      <c r="Q66" s="1">
        <f>SUM('UPS RATES'!Q66-'FedEx Rates'!Q65)</f>
        <v>3.34</v>
      </c>
      <c r="R66" s="1">
        <f>SUM('UPS RATES'!R66-'FedEx Rates'!R65)</f>
        <v>3.84</v>
      </c>
      <c r="S66" s="1">
        <f>SUM('UPS RATES'!S66-'FedEx Rates'!S65)</f>
        <v>4.7699999999999996</v>
      </c>
      <c r="T66" s="1">
        <f>SUM('UPS RATES'!T66-'FedEx Rates'!T65)</f>
        <v>5.6700000000000017</v>
      </c>
      <c r="U66" s="1">
        <f>SUM('UPS RATES'!U66-'FedEx Rates'!U65)</f>
        <v>6.639999999999997</v>
      </c>
      <c r="V66" s="1">
        <f>SUM('UPS RATES'!V66-'FedEx Rates'!V65)</f>
        <v>7.9199999999999982</v>
      </c>
      <c r="W66" s="1">
        <f>SUM('UPS RATES'!W66-'FedEx Rates'!W65)</f>
        <v>18.230000000000004</v>
      </c>
      <c r="X66" s="1">
        <f>SUM('UPS RATES'!X66-'FedEx Rates'!X65)</f>
        <v>25.979999999999997</v>
      </c>
      <c r="Y66" s="1">
        <f>SUM('UPS RATES'!Y66-'FedEx Rates'!Y65)</f>
        <v>44.63</v>
      </c>
      <c r="Z66" s="1">
        <f>SUM('UPS RATES'!Z66-'FedEx Rates'!Z65)</f>
        <v>48.79</v>
      </c>
      <c r="AA66" s="1">
        <f>SUM('UPS RATES'!AA66-'FedEx Rates'!AA65)</f>
        <v>50.650000000000006</v>
      </c>
      <c r="AB66" s="1">
        <f>SUM('UPS RATES'!AB66-'FedEx Rates'!AB65)</f>
        <v>57.61</v>
      </c>
      <c r="AC66" s="1">
        <f>SUM('UPS RATES'!AC66-'FedEx Rates'!AC65)</f>
        <v>59.859999999999992</v>
      </c>
    </row>
    <row r="67" spans="1:29" x14ac:dyDescent="0.25">
      <c r="A67">
        <v>65</v>
      </c>
      <c r="B67" s="1">
        <f>SUM('UPS RATES'!B67-'FedEx Rates'!B66)</f>
        <v>6.6999999999999993</v>
      </c>
      <c r="C67" s="1">
        <f>SUM('UPS RATES'!C67-'FedEx Rates'!C66)</f>
        <v>7.7399999999999984</v>
      </c>
      <c r="D67" s="1">
        <f>SUM('UPS RATES'!D67-'FedEx Rates'!D66)</f>
        <v>9.889999999999997</v>
      </c>
      <c r="E67" s="1">
        <f>SUM('UPS RATES'!E67-'FedEx Rates'!E66)</f>
        <v>14.329999999999998</v>
      </c>
      <c r="F67" s="1">
        <f>SUM('UPS RATES'!F67-'FedEx Rates'!F66)</f>
        <v>24.78</v>
      </c>
      <c r="G67" s="1">
        <f>SUM('UPS RATES'!G67-'FedEx Rates'!G66)</f>
        <v>25.27000000000001</v>
      </c>
      <c r="H67" s="1">
        <f>SUM('UPS RATES'!H67-'FedEx Rates'!H66)</f>
        <v>25.78</v>
      </c>
      <c r="I67" s="1">
        <f>SUM('UPS RATES'!I67-'FedEx Rates'!I66)</f>
        <v>6.3800000000000026</v>
      </c>
      <c r="J67" s="1">
        <f>SUM('UPS RATES'!J67-'FedEx Rates'!J66)</f>
        <v>9.59</v>
      </c>
      <c r="K67" s="1">
        <f>SUM('UPS RATES'!K67-'FedEx Rates'!K66)</f>
        <v>11.77</v>
      </c>
      <c r="L67" s="1">
        <f>SUM('UPS RATES'!L67-'FedEx Rates'!L66)</f>
        <v>18.580000000000005</v>
      </c>
      <c r="M67" s="1">
        <f>SUM('UPS RATES'!M67-'FedEx Rates'!M66)</f>
        <v>30.159999999999997</v>
      </c>
      <c r="N67" s="1">
        <f>SUM('UPS RATES'!N67-'FedEx Rates'!N66)</f>
        <v>36.450000000000003</v>
      </c>
      <c r="O67" s="1">
        <f>SUM('UPS RATES'!O67-'FedEx Rates'!O66)</f>
        <v>38.739999999999995</v>
      </c>
      <c r="P67" s="1">
        <f>SUM('UPS RATES'!P67-'FedEx Rates'!P66)</f>
        <v>2.6999999999999993</v>
      </c>
      <c r="Q67" s="1">
        <f>SUM('UPS RATES'!Q67-'FedEx Rates'!Q66)</f>
        <v>3.4299999999999997</v>
      </c>
      <c r="R67" s="1">
        <f>SUM('UPS RATES'!R67-'FedEx Rates'!R66)</f>
        <v>3.8499999999999979</v>
      </c>
      <c r="S67" s="1">
        <f>SUM('UPS RATES'!S67-'FedEx Rates'!S66)</f>
        <v>4.7799999999999976</v>
      </c>
      <c r="T67" s="1">
        <f>SUM('UPS RATES'!T67-'FedEx Rates'!T66)</f>
        <v>5.6999999999999993</v>
      </c>
      <c r="U67" s="1">
        <f>SUM('UPS RATES'!U67-'FedEx Rates'!U66)</f>
        <v>6.66</v>
      </c>
      <c r="V67" s="1">
        <f>SUM('UPS RATES'!V67-'FedEx Rates'!V66)</f>
        <v>7.9399999999999977</v>
      </c>
      <c r="W67" s="1">
        <f>SUM('UPS RATES'!W67-'FedEx Rates'!W66)</f>
        <v>18.319999999999997</v>
      </c>
      <c r="X67" s="1">
        <f>SUM('UPS RATES'!X67-'FedEx Rates'!X66)</f>
        <v>26.140000000000004</v>
      </c>
      <c r="Y67" s="1">
        <f>SUM('UPS RATES'!Y67-'FedEx Rates'!Y66)</f>
        <v>45.01</v>
      </c>
      <c r="Z67" s="1">
        <f>SUM('UPS RATES'!Z67-'FedEx Rates'!Z66)</f>
        <v>49.32</v>
      </c>
      <c r="AA67" s="1">
        <f>SUM('UPS RATES'!AA67-'FedEx Rates'!AA66)</f>
        <v>50.969999999999992</v>
      </c>
      <c r="AB67" s="1">
        <f>SUM('UPS RATES'!AB67-'FedEx Rates'!AB66)</f>
        <v>58.499999999999993</v>
      </c>
      <c r="AC67" s="1">
        <f>SUM('UPS RATES'!AC67-'FedEx Rates'!AC66)</f>
        <v>60.530000000000008</v>
      </c>
    </row>
    <row r="68" spans="1:29" x14ac:dyDescent="0.25">
      <c r="A68">
        <v>66</v>
      </c>
      <c r="B68" s="1">
        <f>SUM('UPS RATES'!B68-'FedEx Rates'!B67)</f>
        <v>6.740000000000002</v>
      </c>
      <c r="C68" s="1">
        <f>SUM('UPS RATES'!C68-'FedEx Rates'!C67)</f>
        <v>7.769999999999996</v>
      </c>
      <c r="D68" s="1">
        <f>SUM('UPS RATES'!D68-'FedEx Rates'!D67)</f>
        <v>10</v>
      </c>
      <c r="E68" s="1">
        <f>SUM('UPS RATES'!E68-'FedEx Rates'!E67)</f>
        <v>14.350000000000001</v>
      </c>
      <c r="F68" s="1">
        <f>SUM('UPS RATES'!F68-'FedEx Rates'!F67)</f>
        <v>24.819999999999993</v>
      </c>
      <c r="G68" s="1">
        <f>SUM('UPS RATES'!G68-'FedEx Rates'!G67)</f>
        <v>25.310000000000002</v>
      </c>
      <c r="H68" s="1">
        <f>SUM('UPS RATES'!H68-'FedEx Rates'!H67)</f>
        <v>25.819999999999993</v>
      </c>
      <c r="I68" s="1">
        <f>SUM('UPS RATES'!I68-'FedEx Rates'!I67)</f>
        <v>7.1199999999999974</v>
      </c>
      <c r="J68" s="1">
        <f>SUM('UPS RATES'!J68-'FedEx Rates'!J67)</f>
        <v>9.7800000000000011</v>
      </c>
      <c r="K68" s="1">
        <f>SUM('UPS RATES'!K68-'FedEx Rates'!K67)</f>
        <v>12.339999999999996</v>
      </c>
      <c r="L68" s="1">
        <f>SUM('UPS RATES'!L68-'FedEx Rates'!L67)</f>
        <v>19.71</v>
      </c>
      <c r="M68" s="1">
        <f>SUM('UPS RATES'!M68-'FedEx Rates'!M67)</f>
        <v>30.72</v>
      </c>
      <c r="N68" s="1">
        <f>SUM('UPS RATES'!N68-'FedEx Rates'!N67)</f>
        <v>37.239999999999995</v>
      </c>
      <c r="O68" s="1">
        <f>SUM('UPS RATES'!O68-'FedEx Rates'!O67)</f>
        <v>39.549999999999997</v>
      </c>
      <c r="P68" s="1">
        <f>SUM('UPS RATES'!P68-'FedEx Rates'!P67)</f>
        <v>2.7100000000000009</v>
      </c>
      <c r="Q68" s="1">
        <f>SUM('UPS RATES'!Q68-'FedEx Rates'!Q67)</f>
        <v>3.4699999999999989</v>
      </c>
      <c r="R68" s="1">
        <f>SUM('UPS RATES'!R68-'FedEx Rates'!R67)</f>
        <v>3.8399999999999981</v>
      </c>
      <c r="S68" s="1">
        <f>SUM('UPS RATES'!S68-'FedEx Rates'!S67)</f>
        <v>4.7999999999999972</v>
      </c>
      <c r="T68" s="1">
        <f>SUM('UPS RATES'!T68-'FedEx Rates'!T67)</f>
        <v>5.7199999999999989</v>
      </c>
      <c r="U68" s="1">
        <f>SUM('UPS RATES'!U68-'FedEx Rates'!U67)</f>
        <v>6.6900000000000013</v>
      </c>
      <c r="V68" s="1">
        <f>SUM('UPS RATES'!V68-'FedEx Rates'!V67)</f>
        <v>7.9700000000000024</v>
      </c>
      <c r="W68" s="1">
        <f>SUM('UPS RATES'!W68-'FedEx Rates'!W67)</f>
        <v>18.37</v>
      </c>
      <c r="X68" s="1">
        <f>SUM('UPS RATES'!X68-'FedEx Rates'!X67)</f>
        <v>26.210000000000004</v>
      </c>
      <c r="Y68" s="1">
        <f>SUM('UPS RATES'!Y68-'FedEx Rates'!Y67)</f>
        <v>46.890000000000008</v>
      </c>
      <c r="Z68" s="1">
        <f>SUM('UPS RATES'!Z68-'FedEx Rates'!Z67)</f>
        <v>50.860000000000007</v>
      </c>
      <c r="AA68" s="1">
        <f>SUM('UPS RATES'!AA68-'FedEx Rates'!AA67)</f>
        <v>52.54</v>
      </c>
      <c r="AB68" s="1">
        <f>SUM('UPS RATES'!AB68-'FedEx Rates'!AB67)</f>
        <v>58.59</v>
      </c>
      <c r="AC68" s="1">
        <f>SUM('UPS RATES'!AC68-'FedEx Rates'!AC67)</f>
        <v>60.660000000000004</v>
      </c>
    </row>
    <row r="69" spans="1:29" x14ac:dyDescent="0.25">
      <c r="A69">
        <v>67</v>
      </c>
      <c r="B69" s="1">
        <f>SUM('UPS RATES'!B69-'FedEx Rates'!B68)</f>
        <v>6.7600000000000016</v>
      </c>
      <c r="C69" s="1">
        <f>SUM('UPS RATES'!C69-'FedEx Rates'!C68)</f>
        <v>7.9300000000000033</v>
      </c>
      <c r="D69" s="1">
        <f>SUM('UPS RATES'!D69-'FedEx Rates'!D68)</f>
        <v>10.030000000000001</v>
      </c>
      <c r="E69" s="1">
        <f>SUM('UPS RATES'!E69-'FedEx Rates'!E68)</f>
        <v>14.379999999999995</v>
      </c>
      <c r="F69" s="1">
        <f>SUM('UPS RATES'!F69-'FedEx Rates'!F68)</f>
        <v>24.849999999999994</v>
      </c>
      <c r="G69" s="1">
        <f>SUM('UPS RATES'!G69-'FedEx Rates'!G68)</f>
        <v>25.339999999999989</v>
      </c>
      <c r="H69" s="1">
        <f>SUM('UPS RATES'!H69-'FedEx Rates'!H68)</f>
        <v>25.849999999999994</v>
      </c>
      <c r="I69" s="1">
        <f>SUM('UPS RATES'!I69-'FedEx Rates'!I68)</f>
        <v>7.07</v>
      </c>
      <c r="J69" s="1">
        <f>SUM('UPS RATES'!J69-'FedEx Rates'!J68)</f>
        <v>9.889999999999997</v>
      </c>
      <c r="K69" s="1">
        <f>SUM('UPS RATES'!K69-'FedEx Rates'!K68)</f>
        <v>12.829999999999998</v>
      </c>
      <c r="L69" s="1">
        <f>SUM('UPS RATES'!L69-'FedEx Rates'!L68)</f>
        <v>20.519999999999996</v>
      </c>
      <c r="M69" s="1">
        <f>SUM('UPS RATES'!M69-'FedEx Rates'!M68)</f>
        <v>31.890000000000008</v>
      </c>
      <c r="N69" s="1">
        <f>SUM('UPS RATES'!N69-'FedEx Rates'!N68)</f>
        <v>38.69</v>
      </c>
      <c r="O69" s="1">
        <f>SUM('UPS RATES'!O69-'FedEx Rates'!O68)</f>
        <v>39.67</v>
      </c>
      <c r="P69" s="1">
        <f>SUM('UPS RATES'!P69-'FedEx Rates'!P68)</f>
        <v>2.7000000000000011</v>
      </c>
      <c r="Q69" s="1">
        <f>SUM('UPS RATES'!Q69-'FedEx Rates'!Q68)</f>
        <v>3.4799999999999986</v>
      </c>
      <c r="R69" s="1">
        <f>SUM('UPS RATES'!R69-'FedEx Rates'!R68)</f>
        <v>3.8499999999999996</v>
      </c>
      <c r="S69" s="1">
        <f>SUM('UPS RATES'!S69-'FedEx Rates'!S68)</f>
        <v>4.8000000000000007</v>
      </c>
      <c r="T69" s="1">
        <f>SUM('UPS RATES'!T69-'FedEx Rates'!T68)</f>
        <v>5.77</v>
      </c>
      <c r="U69" s="1">
        <f>SUM('UPS RATES'!U69-'FedEx Rates'!U68)</f>
        <v>6.7199999999999989</v>
      </c>
      <c r="V69" s="1">
        <f>SUM('UPS RATES'!V69-'FedEx Rates'!V68)</f>
        <v>8.0600000000000023</v>
      </c>
      <c r="W69" s="1">
        <f>SUM('UPS RATES'!W69-'FedEx Rates'!W68)</f>
        <v>18.549999999999997</v>
      </c>
      <c r="X69" s="1">
        <f>SUM('UPS RATES'!X69-'FedEx Rates'!X68)</f>
        <v>27.640000000000004</v>
      </c>
      <c r="Y69" s="1">
        <f>SUM('UPS RATES'!Y69-'FedEx Rates'!Y68)</f>
        <v>47.080000000000005</v>
      </c>
      <c r="Z69" s="1">
        <f>SUM('UPS RATES'!Z69-'FedEx Rates'!Z68)</f>
        <v>51.67</v>
      </c>
      <c r="AA69" s="1">
        <f>SUM('UPS RATES'!AA69-'FedEx Rates'!AA68)</f>
        <v>52.69</v>
      </c>
      <c r="AB69" s="1">
        <f>SUM('UPS RATES'!AB69-'FedEx Rates'!AB68)</f>
        <v>58.64</v>
      </c>
      <c r="AC69" s="1">
        <f>SUM('UPS RATES'!AC69-'FedEx Rates'!AC68)</f>
        <v>60.69</v>
      </c>
    </row>
    <row r="70" spans="1:29" x14ac:dyDescent="0.25">
      <c r="A70">
        <v>68</v>
      </c>
      <c r="B70" s="1">
        <f>SUM('UPS RATES'!B70-'FedEx Rates'!B69)</f>
        <v>6.7900000000000027</v>
      </c>
      <c r="C70" s="1">
        <f>SUM('UPS RATES'!C70-'FedEx Rates'!C69)</f>
        <v>8</v>
      </c>
      <c r="D70" s="1">
        <f>SUM('UPS RATES'!D70-'FedEx Rates'!D69)</f>
        <v>10.299999999999997</v>
      </c>
      <c r="E70" s="1">
        <f>SUM('UPS RATES'!E70-'FedEx Rates'!E69)</f>
        <v>14.410000000000004</v>
      </c>
      <c r="F70" s="1">
        <f>SUM('UPS RATES'!F70-'FedEx Rates'!F69)</f>
        <v>24.870000000000005</v>
      </c>
      <c r="G70" s="1">
        <f>SUM('UPS RATES'!G70-'FedEx Rates'!G69)</f>
        <v>25.36999999999999</v>
      </c>
      <c r="H70" s="1">
        <f>SUM('UPS RATES'!H70-'FedEx Rates'!H69)</f>
        <v>25.86999999999999</v>
      </c>
      <c r="I70" s="1">
        <f>SUM('UPS RATES'!I70-'FedEx Rates'!I69)</f>
        <v>7.0100000000000016</v>
      </c>
      <c r="J70" s="1">
        <f>SUM('UPS RATES'!J70-'FedEx Rates'!J69)</f>
        <v>10.039999999999999</v>
      </c>
      <c r="K70" s="1">
        <f>SUM('UPS RATES'!K70-'FedEx Rates'!K69)</f>
        <v>12.79</v>
      </c>
      <c r="L70" s="1">
        <f>SUM('UPS RATES'!L70-'FedEx Rates'!L69)</f>
        <v>19.770000000000003</v>
      </c>
      <c r="M70" s="1">
        <f>SUM('UPS RATES'!M70-'FedEx Rates'!M69)</f>
        <v>33.050000000000004</v>
      </c>
      <c r="N70" s="1">
        <f>SUM('UPS RATES'!N70-'FedEx Rates'!N69)</f>
        <v>40.03</v>
      </c>
      <c r="O70" s="1">
        <f>SUM('UPS RATES'!O70-'FedEx Rates'!O69)</f>
        <v>41.45</v>
      </c>
      <c r="P70" s="1">
        <f>SUM('UPS RATES'!P70-'FedEx Rates'!P69)</f>
        <v>2.7299999999999986</v>
      </c>
      <c r="Q70" s="1">
        <f>SUM('UPS RATES'!Q70-'FedEx Rates'!Q69)</f>
        <v>3.5300000000000011</v>
      </c>
      <c r="R70" s="1">
        <f>SUM('UPS RATES'!R70-'FedEx Rates'!R69)</f>
        <v>4.0799999999999983</v>
      </c>
      <c r="S70" s="1">
        <f>SUM('UPS RATES'!S70-'FedEx Rates'!S69)</f>
        <v>4.8599999999999994</v>
      </c>
      <c r="T70" s="1">
        <f>SUM('UPS RATES'!T70-'FedEx Rates'!T69)</f>
        <v>5.8499999999999979</v>
      </c>
      <c r="U70" s="1">
        <f>SUM('UPS RATES'!U70-'FedEx Rates'!U69)</f>
        <v>6.82</v>
      </c>
      <c r="V70" s="1">
        <f>SUM('UPS RATES'!V70-'FedEx Rates'!V69)</f>
        <v>8.0900000000000034</v>
      </c>
      <c r="W70" s="1">
        <f>SUM('UPS RATES'!W70-'FedEx Rates'!W69)</f>
        <v>18.950000000000003</v>
      </c>
      <c r="X70" s="1">
        <f>SUM('UPS RATES'!X70-'FedEx Rates'!X69)</f>
        <v>27.799999999999997</v>
      </c>
      <c r="Y70" s="1">
        <f>SUM('UPS RATES'!Y70-'FedEx Rates'!Y69)</f>
        <v>47.120000000000005</v>
      </c>
      <c r="Z70" s="1">
        <f>SUM('UPS RATES'!Z70-'FedEx Rates'!Z69)</f>
        <v>52.370000000000005</v>
      </c>
      <c r="AA70" s="1">
        <f>SUM('UPS RATES'!AA70-'FedEx Rates'!AA69)</f>
        <v>52.74</v>
      </c>
      <c r="AB70" s="1">
        <f>SUM('UPS RATES'!AB70-'FedEx Rates'!AB69)</f>
        <v>58.68</v>
      </c>
      <c r="AC70" s="1">
        <f>SUM('UPS RATES'!AC70-'FedEx Rates'!AC69)</f>
        <v>61.050000000000004</v>
      </c>
    </row>
    <row r="71" spans="1:29" x14ac:dyDescent="0.25">
      <c r="A71">
        <v>69</v>
      </c>
      <c r="B71" s="1">
        <f>SUM('UPS RATES'!B71-'FedEx Rates'!B70)</f>
        <v>6.82</v>
      </c>
      <c r="C71" s="1">
        <f>SUM('UPS RATES'!C71-'FedEx Rates'!C70)</f>
        <v>8.1700000000000017</v>
      </c>
      <c r="D71" s="1">
        <f>SUM('UPS RATES'!D71-'FedEx Rates'!D70)</f>
        <v>10.340000000000003</v>
      </c>
      <c r="E71" s="1">
        <f>SUM('UPS RATES'!E71-'FedEx Rates'!E70)</f>
        <v>14.469999999999999</v>
      </c>
      <c r="F71" s="1">
        <f>SUM('UPS RATES'!F71-'FedEx Rates'!F70)</f>
        <v>24.97</v>
      </c>
      <c r="G71" s="1">
        <f>SUM('UPS RATES'!G71-'FedEx Rates'!G70)</f>
        <v>25.450000000000003</v>
      </c>
      <c r="H71" s="1">
        <f>SUM('UPS RATES'!H71-'FedEx Rates'!H70)</f>
        <v>25.97</v>
      </c>
      <c r="I71" s="1">
        <f>SUM('UPS RATES'!I71-'FedEx Rates'!I70)</f>
        <v>7.0500000000000007</v>
      </c>
      <c r="J71" s="1">
        <f>SUM('UPS RATES'!J71-'FedEx Rates'!J70)</f>
        <v>10.540000000000003</v>
      </c>
      <c r="K71" s="1">
        <f>SUM('UPS RATES'!K71-'FedEx Rates'!K70)</f>
        <v>13.09</v>
      </c>
      <c r="L71" s="1">
        <f>SUM('UPS RATES'!L71-'FedEx Rates'!L70)</f>
        <v>20.28</v>
      </c>
      <c r="M71" s="1">
        <f>SUM('UPS RATES'!M71-'FedEx Rates'!M70)</f>
        <v>33.75</v>
      </c>
      <c r="N71" s="1">
        <f>SUM('UPS RATES'!N71-'FedEx Rates'!N70)</f>
        <v>40.36</v>
      </c>
      <c r="O71" s="1">
        <f>SUM('UPS RATES'!O71-'FedEx Rates'!O70)</f>
        <v>43.269999999999996</v>
      </c>
      <c r="P71" s="1">
        <f>SUM('UPS RATES'!P71-'FedEx Rates'!P70)</f>
        <v>2.7799999999999994</v>
      </c>
      <c r="Q71" s="1">
        <f>SUM('UPS RATES'!Q71-'FedEx Rates'!Q70)</f>
        <v>3.5499999999999989</v>
      </c>
      <c r="R71" s="1">
        <f>SUM('UPS RATES'!R71-'FedEx Rates'!R70)</f>
        <v>4.0799999999999983</v>
      </c>
      <c r="S71" s="1">
        <f>SUM('UPS RATES'!S71-'FedEx Rates'!S70)</f>
        <v>4.9200000000000017</v>
      </c>
      <c r="T71" s="1">
        <f>SUM('UPS RATES'!T71-'FedEx Rates'!T70)</f>
        <v>5.879999999999999</v>
      </c>
      <c r="U71" s="1">
        <f>SUM('UPS RATES'!U71-'FedEx Rates'!U70)</f>
        <v>6.84</v>
      </c>
      <c r="V71" s="1">
        <f>SUM('UPS RATES'!V71-'FedEx Rates'!V70)</f>
        <v>8.09</v>
      </c>
      <c r="W71" s="1">
        <f>SUM('UPS RATES'!W71-'FedEx Rates'!W70)</f>
        <v>18.999999999999996</v>
      </c>
      <c r="X71" s="1">
        <f>SUM('UPS RATES'!X71-'FedEx Rates'!X70)</f>
        <v>27.85</v>
      </c>
      <c r="Y71" s="1">
        <f>SUM('UPS RATES'!Y71-'FedEx Rates'!Y70)</f>
        <v>47.160000000000004</v>
      </c>
      <c r="Z71" s="1">
        <f>SUM('UPS RATES'!Z71-'FedEx Rates'!Z70)</f>
        <v>52.499999999999993</v>
      </c>
      <c r="AA71" s="1">
        <f>SUM('UPS RATES'!AA71-'FedEx Rates'!AA70)</f>
        <v>52.82</v>
      </c>
      <c r="AB71" s="1">
        <f>SUM('UPS RATES'!AB71-'FedEx Rates'!AB70)</f>
        <v>58.72</v>
      </c>
      <c r="AC71" s="1">
        <f>SUM('UPS RATES'!AC71-'FedEx Rates'!AC70)</f>
        <v>62.220000000000006</v>
      </c>
    </row>
    <row r="72" spans="1:29" x14ac:dyDescent="0.25">
      <c r="A72">
        <v>70</v>
      </c>
      <c r="B72" s="1">
        <f>SUM('UPS RATES'!B72-'FedEx Rates'!B71)</f>
        <v>6.8499999999999979</v>
      </c>
      <c r="C72" s="1">
        <f>SUM('UPS RATES'!C72-'FedEx Rates'!C71)</f>
        <v>8.91</v>
      </c>
      <c r="D72" s="1">
        <f>SUM('UPS RATES'!D72-'FedEx Rates'!D71)</f>
        <v>10.699999999999996</v>
      </c>
      <c r="E72" s="1">
        <f>SUM('UPS RATES'!E72-'FedEx Rates'!E71)</f>
        <v>15.700000000000003</v>
      </c>
      <c r="F72" s="1">
        <f>SUM('UPS RATES'!F72-'FedEx Rates'!F71)</f>
        <v>25.399999999999991</v>
      </c>
      <c r="G72" s="1">
        <f>SUM('UPS RATES'!G72-'FedEx Rates'!G71)</f>
        <v>27.11</v>
      </c>
      <c r="H72" s="1">
        <f>SUM('UPS RATES'!H72-'FedEx Rates'!H71)</f>
        <v>27.649999999999991</v>
      </c>
      <c r="I72" s="1">
        <f>SUM('UPS RATES'!I72-'FedEx Rates'!I71)</f>
        <v>6.8499999999999979</v>
      </c>
      <c r="J72" s="1">
        <f>SUM('UPS RATES'!J72-'FedEx Rates'!J71)</f>
        <v>9.9400000000000013</v>
      </c>
      <c r="K72" s="1">
        <f>SUM('UPS RATES'!K72-'FedEx Rates'!K71)</f>
        <v>12.950000000000003</v>
      </c>
      <c r="L72" s="1">
        <f>SUM('UPS RATES'!L72-'FedEx Rates'!L71)</f>
        <v>19.770000000000003</v>
      </c>
      <c r="M72" s="1">
        <f>SUM('UPS RATES'!M72-'FedEx Rates'!M71)</f>
        <v>33.730000000000004</v>
      </c>
      <c r="N72" s="1">
        <f>SUM('UPS RATES'!N72-'FedEx Rates'!N71)</f>
        <v>38.760000000000005</v>
      </c>
      <c r="O72" s="1">
        <f>SUM('UPS RATES'!O72-'FedEx Rates'!O71)</f>
        <v>43.190000000000012</v>
      </c>
      <c r="P72" s="1">
        <f>SUM('UPS RATES'!P72-'FedEx Rates'!P71)</f>
        <v>2.8099999999999987</v>
      </c>
      <c r="Q72" s="1">
        <f>SUM('UPS RATES'!Q72-'FedEx Rates'!Q71)</f>
        <v>3.5999999999999996</v>
      </c>
      <c r="R72" s="1">
        <f>SUM('UPS RATES'!R72-'FedEx Rates'!R71)</f>
        <v>4.1500000000000021</v>
      </c>
      <c r="S72" s="1">
        <f>SUM('UPS RATES'!S72-'FedEx Rates'!S71)</f>
        <v>5.0399999999999991</v>
      </c>
      <c r="T72" s="1">
        <f>SUM('UPS RATES'!T72-'FedEx Rates'!T71)</f>
        <v>6</v>
      </c>
      <c r="U72" s="1">
        <f>SUM('UPS RATES'!U72-'FedEx Rates'!U71)</f>
        <v>6.870000000000001</v>
      </c>
      <c r="V72" s="1">
        <f>SUM('UPS RATES'!V72-'FedEx Rates'!V71)</f>
        <v>8.16</v>
      </c>
      <c r="W72" s="1">
        <f>SUM('UPS RATES'!W72-'FedEx Rates'!W71)</f>
        <v>19.05</v>
      </c>
      <c r="X72" s="1">
        <f>SUM('UPS RATES'!X72-'FedEx Rates'!X71)</f>
        <v>27.9</v>
      </c>
      <c r="Y72" s="1">
        <f>SUM('UPS RATES'!Y72-'FedEx Rates'!Y71)</f>
        <v>47.219999999999992</v>
      </c>
      <c r="Z72" s="1">
        <f>SUM('UPS RATES'!Z72-'FedEx Rates'!Z71)</f>
        <v>52.819999999999993</v>
      </c>
      <c r="AA72" s="1">
        <f>SUM('UPS RATES'!AA72-'FedEx Rates'!AA71)</f>
        <v>52.86</v>
      </c>
      <c r="AB72" s="1">
        <f>SUM('UPS RATES'!AB72-'FedEx Rates'!AB71)</f>
        <v>58.849999999999994</v>
      </c>
      <c r="AC72" s="1">
        <f>SUM('UPS RATES'!AC72-'FedEx Rates'!AC71)</f>
        <v>62.330000000000005</v>
      </c>
    </row>
    <row r="73" spans="1:29" x14ac:dyDescent="0.25">
      <c r="A73">
        <v>71</v>
      </c>
      <c r="B73" s="1">
        <f>SUM('UPS RATES'!B73-'FedEx Rates'!B72)</f>
        <v>7.27</v>
      </c>
      <c r="C73" s="1">
        <f>SUM('UPS RATES'!C73-'FedEx Rates'!C72)</f>
        <v>9.02</v>
      </c>
      <c r="D73" s="1">
        <f>SUM('UPS RATES'!D73-'FedEx Rates'!D72)</f>
        <v>10.61</v>
      </c>
      <c r="E73" s="1">
        <f>SUM('UPS RATES'!E73-'FedEx Rates'!E72)</f>
        <v>15.819999999999993</v>
      </c>
      <c r="F73" s="1">
        <f>SUM('UPS RATES'!F73-'FedEx Rates'!F72)</f>
        <v>25.340000000000003</v>
      </c>
      <c r="G73" s="1">
        <f>SUM('UPS RATES'!G73-'FedEx Rates'!G72)</f>
        <v>27.36999999999999</v>
      </c>
      <c r="H73" s="1">
        <f>SUM('UPS RATES'!H73-'FedEx Rates'!H72)</f>
        <v>27.92</v>
      </c>
      <c r="I73" s="1">
        <f>SUM('UPS RATES'!I73-'FedEx Rates'!I72)</f>
        <v>7.2799999999999976</v>
      </c>
      <c r="J73" s="1">
        <f>SUM('UPS RATES'!J73-'FedEx Rates'!J72)</f>
        <v>10.71</v>
      </c>
      <c r="K73" s="1">
        <f>SUM('UPS RATES'!K73-'FedEx Rates'!K72)</f>
        <v>13.850000000000001</v>
      </c>
      <c r="L73" s="1">
        <f>SUM('UPS RATES'!L73-'FedEx Rates'!L72)</f>
        <v>20.36</v>
      </c>
      <c r="M73" s="1">
        <f>SUM('UPS RATES'!M73-'FedEx Rates'!M72)</f>
        <v>36.5</v>
      </c>
      <c r="N73" s="1">
        <f>SUM('UPS RATES'!N73-'FedEx Rates'!N72)</f>
        <v>39.759999999999991</v>
      </c>
      <c r="O73" s="1">
        <f>SUM('UPS RATES'!O73-'FedEx Rates'!O72)</f>
        <v>42.63000000000001</v>
      </c>
      <c r="P73" s="1">
        <f>SUM('UPS RATES'!P73-'FedEx Rates'!P72)</f>
        <v>2.83</v>
      </c>
      <c r="Q73" s="1">
        <f>SUM('UPS RATES'!Q73-'FedEx Rates'!Q72)</f>
        <v>3.6399999999999988</v>
      </c>
      <c r="R73" s="1">
        <f>SUM('UPS RATES'!R73-'FedEx Rates'!R72)</f>
        <v>4.2699999999999996</v>
      </c>
      <c r="S73" s="1">
        <f>SUM('UPS RATES'!S73-'FedEx Rates'!S72)</f>
        <v>5.16</v>
      </c>
      <c r="T73" s="1">
        <f>SUM('UPS RATES'!T73-'FedEx Rates'!T72)</f>
        <v>6.0800000000000018</v>
      </c>
      <c r="U73" s="1">
        <f>SUM('UPS RATES'!U73-'FedEx Rates'!U72)</f>
        <v>6.9899999999999984</v>
      </c>
      <c r="V73" s="1">
        <f>SUM('UPS RATES'!V73-'FedEx Rates'!V72)</f>
        <v>8.2299999999999969</v>
      </c>
      <c r="W73" s="1">
        <f>SUM('UPS RATES'!W73-'FedEx Rates'!W72)</f>
        <v>19.579999999999998</v>
      </c>
      <c r="X73" s="1">
        <f>SUM('UPS RATES'!X73-'FedEx Rates'!X72)</f>
        <v>27.94</v>
      </c>
      <c r="Y73" s="1">
        <f>SUM('UPS RATES'!Y73-'FedEx Rates'!Y72)</f>
        <v>47.36</v>
      </c>
      <c r="Z73" s="1">
        <f>SUM('UPS RATES'!Z73-'FedEx Rates'!Z72)</f>
        <v>52.910000000000004</v>
      </c>
      <c r="AA73" s="1">
        <f>SUM('UPS RATES'!AA73-'FedEx Rates'!AA72)</f>
        <v>52.97</v>
      </c>
      <c r="AB73" s="1">
        <f>SUM('UPS RATES'!AB73-'FedEx Rates'!AB72)</f>
        <v>61.33</v>
      </c>
      <c r="AC73" s="1">
        <f>SUM('UPS RATES'!AC73-'FedEx Rates'!AC72)</f>
        <v>62.56</v>
      </c>
    </row>
    <row r="74" spans="1:29" x14ac:dyDescent="0.25">
      <c r="A74">
        <v>72</v>
      </c>
      <c r="B74" s="1">
        <f>SUM('UPS RATES'!B74-'FedEx Rates'!B73)</f>
        <v>7.2899999999999991</v>
      </c>
      <c r="C74" s="1">
        <f>SUM('UPS RATES'!C74-'FedEx Rates'!C73)</f>
        <v>9.0499999999999972</v>
      </c>
      <c r="D74" s="1">
        <f>SUM('UPS RATES'!D74-'FedEx Rates'!D73)</f>
        <v>10.54</v>
      </c>
      <c r="E74" s="1">
        <f>SUM('UPS RATES'!E74-'FedEx Rates'!E73)</f>
        <v>15.86</v>
      </c>
      <c r="F74" s="1">
        <f>SUM('UPS RATES'!F74-'FedEx Rates'!F73)</f>
        <v>26.839999999999989</v>
      </c>
      <c r="G74" s="1">
        <f>SUM('UPS RATES'!G74-'FedEx Rates'!G73)</f>
        <v>27.409999999999997</v>
      </c>
      <c r="H74" s="1">
        <f>SUM('UPS RATES'!H74-'FedEx Rates'!H73)</f>
        <v>27.950000000000003</v>
      </c>
      <c r="I74" s="1">
        <f>SUM('UPS RATES'!I74-'FedEx Rates'!I73)</f>
        <v>7.639999999999997</v>
      </c>
      <c r="J74" s="1">
        <f>SUM('UPS RATES'!J74-'FedEx Rates'!J73)</f>
        <v>11.140000000000004</v>
      </c>
      <c r="K74" s="1">
        <f>SUM('UPS RATES'!K74-'FedEx Rates'!K73)</f>
        <v>14.150000000000006</v>
      </c>
      <c r="L74" s="1">
        <f>SUM('UPS RATES'!L74-'FedEx Rates'!L73)</f>
        <v>20.589999999999996</v>
      </c>
      <c r="M74" s="1">
        <f>SUM('UPS RATES'!M74-'FedEx Rates'!M73)</f>
        <v>37.249999999999993</v>
      </c>
      <c r="N74" s="1">
        <f>SUM('UPS RATES'!N74-'FedEx Rates'!N73)</f>
        <v>40.539999999999992</v>
      </c>
      <c r="O74" s="1">
        <f>SUM('UPS RATES'!O74-'FedEx Rates'!O73)</f>
        <v>42.86</v>
      </c>
      <c r="P74" s="1">
        <f>SUM('UPS RATES'!P74-'FedEx Rates'!P73)</f>
        <v>2.91</v>
      </c>
      <c r="Q74" s="1">
        <f>SUM('UPS RATES'!Q74-'FedEx Rates'!Q73)</f>
        <v>3.6399999999999988</v>
      </c>
      <c r="R74" s="1">
        <f>SUM('UPS RATES'!R74-'FedEx Rates'!R73)</f>
        <v>4.3499999999999996</v>
      </c>
      <c r="S74" s="1">
        <f>SUM('UPS RATES'!S74-'FedEx Rates'!S73)</f>
        <v>5.1500000000000021</v>
      </c>
      <c r="T74" s="1">
        <f>SUM('UPS RATES'!T74-'FedEx Rates'!T73)</f>
        <v>6.18</v>
      </c>
      <c r="U74" s="1">
        <f>SUM('UPS RATES'!U74-'FedEx Rates'!U73)</f>
        <v>7.2900000000000027</v>
      </c>
      <c r="V74" s="1">
        <f>SUM('UPS RATES'!V74-'FedEx Rates'!V73)</f>
        <v>8.2399999999999984</v>
      </c>
      <c r="W74" s="1">
        <f>SUM('UPS RATES'!W74-'FedEx Rates'!W73)</f>
        <v>19.72</v>
      </c>
      <c r="X74" s="1">
        <f>SUM('UPS RATES'!X74-'FedEx Rates'!X73)</f>
        <v>28.759999999999998</v>
      </c>
      <c r="Y74" s="1">
        <f>SUM('UPS RATES'!Y74-'FedEx Rates'!Y73)</f>
        <v>50.42</v>
      </c>
      <c r="Z74" s="1">
        <f>SUM('UPS RATES'!Z74-'FedEx Rates'!Z73)</f>
        <v>54.699999999999996</v>
      </c>
      <c r="AA74" s="1">
        <f>SUM('UPS RATES'!AA74-'FedEx Rates'!AA73)</f>
        <v>54.75</v>
      </c>
      <c r="AB74" s="1">
        <f>SUM('UPS RATES'!AB74-'FedEx Rates'!AB73)</f>
        <v>64.010000000000005</v>
      </c>
      <c r="AC74" s="1">
        <f>SUM('UPS RATES'!AC74-'FedEx Rates'!AC73)</f>
        <v>67.069999999999993</v>
      </c>
    </row>
    <row r="75" spans="1:29" x14ac:dyDescent="0.25">
      <c r="A75">
        <v>73</v>
      </c>
      <c r="B75" s="1">
        <f>SUM('UPS RATES'!B75-'FedEx Rates'!B74)</f>
        <v>7.3300000000000018</v>
      </c>
      <c r="C75" s="1">
        <f>SUM('UPS RATES'!C75-'FedEx Rates'!C74)</f>
        <v>9.0800000000000018</v>
      </c>
      <c r="D75" s="1">
        <f>SUM('UPS RATES'!D75-'FedEx Rates'!D74)</f>
        <v>10.590000000000003</v>
      </c>
      <c r="E75" s="1">
        <f>SUM('UPS RATES'!E75-'FedEx Rates'!E74)</f>
        <v>16.120000000000005</v>
      </c>
      <c r="F75" s="1">
        <f>SUM('UPS RATES'!F75-'FedEx Rates'!F74)</f>
        <v>26.89</v>
      </c>
      <c r="G75" s="1">
        <f>SUM('UPS RATES'!G75-'FedEx Rates'!G74)</f>
        <v>27.429999999999993</v>
      </c>
      <c r="H75" s="1">
        <f>SUM('UPS RATES'!H75-'FedEx Rates'!H74)</f>
        <v>27.980000000000004</v>
      </c>
      <c r="I75" s="1">
        <f>SUM('UPS RATES'!I75-'FedEx Rates'!I74)</f>
        <v>8.4499999999999993</v>
      </c>
      <c r="J75" s="1">
        <f>SUM('UPS RATES'!J75-'FedEx Rates'!J74)</f>
        <v>11.650000000000002</v>
      </c>
      <c r="K75" s="1">
        <f>SUM('UPS RATES'!K75-'FedEx Rates'!K74)</f>
        <v>14.869999999999997</v>
      </c>
      <c r="L75" s="1">
        <f>SUM('UPS RATES'!L75-'FedEx Rates'!L74)</f>
        <v>21.22</v>
      </c>
      <c r="M75" s="1">
        <f>SUM('UPS RATES'!M75-'FedEx Rates'!M74)</f>
        <v>38.269999999999996</v>
      </c>
      <c r="N75" s="1">
        <f>SUM('UPS RATES'!N75-'FedEx Rates'!N74)</f>
        <v>41.539999999999992</v>
      </c>
      <c r="O75" s="1">
        <f>SUM('UPS RATES'!O75-'FedEx Rates'!O74)</f>
        <v>43.2</v>
      </c>
      <c r="P75" s="1">
        <f>SUM('UPS RATES'!P75-'FedEx Rates'!P74)</f>
        <v>2.9299999999999997</v>
      </c>
      <c r="Q75" s="1">
        <f>SUM('UPS RATES'!Q75-'FedEx Rates'!Q74)</f>
        <v>3.6799999999999997</v>
      </c>
      <c r="R75" s="1">
        <f>SUM('UPS RATES'!R75-'FedEx Rates'!R74)</f>
        <v>4.3499999999999996</v>
      </c>
      <c r="S75" s="1">
        <f>SUM('UPS RATES'!S75-'FedEx Rates'!S74)</f>
        <v>5.2199999999999989</v>
      </c>
      <c r="T75" s="1">
        <f>SUM('UPS RATES'!T75-'FedEx Rates'!T74)</f>
        <v>6.2200000000000024</v>
      </c>
      <c r="U75" s="1">
        <f>SUM('UPS RATES'!U75-'FedEx Rates'!U74)</f>
        <v>7.259999999999998</v>
      </c>
      <c r="V75" s="1">
        <f>SUM('UPS RATES'!V75-'FedEx Rates'!V74)</f>
        <v>8.2499999999999964</v>
      </c>
      <c r="W75" s="1">
        <f>SUM('UPS RATES'!W75-'FedEx Rates'!W74)</f>
        <v>19.760000000000005</v>
      </c>
      <c r="X75" s="1">
        <f>SUM('UPS RATES'!X75-'FedEx Rates'!X74)</f>
        <v>29.370000000000005</v>
      </c>
      <c r="Y75" s="1">
        <f>SUM('UPS RATES'!Y75-'FedEx Rates'!Y74)</f>
        <v>50.72</v>
      </c>
      <c r="Z75" s="1">
        <f>SUM('UPS RATES'!Z75-'FedEx Rates'!Z74)</f>
        <v>54.870000000000005</v>
      </c>
      <c r="AA75" s="1">
        <f>SUM('UPS RATES'!AA75-'FedEx Rates'!AA74)</f>
        <v>54.92</v>
      </c>
      <c r="AB75" s="1">
        <f>SUM('UPS RATES'!AB75-'FedEx Rates'!AB74)</f>
        <v>64.27</v>
      </c>
      <c r="AC75" s="1">
        <f>SUM('UPS RATES'!AC75-'FedEx Rates'!AC74)</f>
        <v>67.52000000000001</v>
      </c>
    </row>
    <row r="76" spans="1:29" x14ac:dyDescent="0.25">
      <c r="A76">
        <v>74</v>
      </c>
      <c r="B76" s="1">
        <f>SUM('UPS RATES'!B76-'FedEx Rates'!B75)</f>
        <v>7.3499999999999979</v>
      </c>
      <c r="C76" s="1">
        <f>SUM('UPS RATES'!C76-'FedEx Rates'!C75)</f>
        <v>9.1000000000000014</v>
      </c>
      <c r="D76" s="1">
        <f>SUM('UPS RATES'!D76-'FedEx Rates'!D75)</f>
        <v>10.61</v>
      </c>
      <c r="E76" s="1">
        <f>SUM('UPS RATES'!E76-'FedEx Rates'!E75)</f>
        <v>16.149999999999991</v>
      </c>
      <c r="F76" s="1">
        <f>SUM('UPS RATES'!F76-'FedEx Rates'!F75)</f>
        <v>26.929999999999993</v>
      </c>
      <c r="G76" s="1">
        <f>SUM('UPS RATES'!G76-'FedEx Rates'!G75)</f>
        <v>27.47999999999999</v>
      </c>
      <c r="H76" s="1">
        <f>SUM('UPS RATES'!H76-'FedEx Rates'!H75)</f>
        <v>28.019999999999996</v>
      </c>
      <c r="I76" s="1">
        <f>SUM('UPS RATES'!I76-'FedEx Rates'!I75)</f>
        <v>8.6199999999999974</v>
      </c>
      <c r="J76" s="1">
        <f>SUM('UPS RATES'!J76-'FedEx Rates'!J75)</f>
        <v>11.939999999999998</v>
      </c>
      <c r="K76" s="1">
        <f>SUM('UPS RATES'!K76-'FedEx Rates'!K75)</f>
        <v>15.410000000000004</v>
      </c>
      <c r="L76" s="1">
        <f>SUM('UPS RATES'!L76-'FedEx Rates'!L75)</f>
        <v>22.110000000000007</v>
      </c>
      <c r="M76" s="1">
        <f>SUM('UPS RATES'!M76-'FedEx Rates'!M75)</f>
        <v>39.739999999999995</v>
      </c>
      <c r="N76" s="1">
        <f>SUM('UPS RATES'!N76-'FedEx Rates'!N75)</f>
        <v>42.099999999999994</v>
      </c>
      <c r="O76" s="1">
        <f>SUM('UPS RATES'!O76-'FedEx Rates'!O75)</f>
        <v>44.519999999999996</v>
      </c>
      <c r="P76" s="1">
        <f>SUM('UPS RATES'!P76-'FedEx Rates'!P75)</f>
        <v>3</v>
      </c>
      <c r="Q76" s="1">
        <f>SUM('UPS RATES'!Q76-'FedEx Rates'!Q75)</f>
        <v>3.67</v>
      </c>
      <c r="R76" s="1">
        <f>SUM('UPS RATES'!R76-'FedEx Rates'!R75)</f>
        <v>4.3500000000000014</v>
      </c>
      <c r="S76" s="1">
        <f>SUM('UPS RATES'!S76-'FedEx Rates'!S75)</f>
        <v>5.23</v>
      </c>
      <c r="T76" s="1">
        <f>SUM('UPS RATES'!T76-'FedEx Rates'!T75)</f>
        <v>6.3500000000000014</v>
      </c>
      <c r="U76" s="1">
        <f>SUM('UPS RATES'!U76-'FedEx Rates'!U75)</f>
        <v>7.3100000000000023</v>
      </c>
      <c r="V76" s="1">
        <f>SUM('UPS RATES'!V76-'FedEx Rates'!V75)</f>
        <v>8.2399999999999984</v>
      </c>
      <c r="W76" s="1">
        <f>SUM('UPS RATES'!W76-'FedEx Rates'!W75)</f>
        <v>19.82</v>
      </c>
      <c r="X76" s="1">
        <f>SUM('UPS RATES'!X76-'FedEx Rates'!X75)</f>
        <v>29.42</v>
      </c>
      <c r="Y76" s="1">
        <f>SUM('UPS RATES'!Y76-'FedEx Rates'!Y75)</f>
        <v>50.779999999999994</v>
      </c>
      <c r="Z76" s="1">
        <f>SUM('UPS RATES'!Z76-'FedEx Rates'!Z75)</f>
        <v>54.91</v>
      </c>
      <c r="AA76" s="1">
        <f>SUM('UPS RATES'!AA76-'FedEx Rates'!AA75)</f>
        <v>54.960000000000008</v>
      </c>
      <c r="AB76" s="1">
        <f>SUM('UPS RATES'!AB76-'FedEx Rates'!AB75)</f>
        <v>64.31</v>
      </c>
      <c r="AC76" s="1">
        <f>SUM('UPS RATES'!AC76-'FedEx Rates'!AC75)</f>
        <v>67.58</v>
      </c>
    </row>
    <row r="77" spans="1:29" x14ac:dyDescent="0.25">
      <c r="A77">
        <v>75</v>
      </c>
      <c r="B77" s="1">
        <f>SUM('UPS RATES'!B77-'FedEx Rates'!B76)</f>
        <v>7.3900000000000006</v>
      </c>
      <c r="C77" s="1">
        <f>SUM('UPS RATES'!C77-'FedEx Rates'!C76)</f>
        <v>9.1699999999999982</v>
      </c>
      <c r="D77" s="1">
        <f>SUM('UPS RATES'!D77-'FedEx Rates'!D76)</f>
        <v>10.670000000000002</v>
      </c>
      <c r="E77" s="1">
        <f>SUM('UPS RATES'!E77-'FedEx Rates'!E76)</f>
        <v>16.469999999999992</v>
      </c>
      <c r="F77" s="1">
        <f>SUM('UPS RATES'!F77-'FedEx Rates'!F76)</f>
        <v>27.679999999999993</v>
      </c>
      <c r="G77" s="1">
        <f>SUM('UPS RATES'!G77-'FedEx Rates'!G76)</f>
        <v>28.239999999999995</v>
      </c>
      <c r="H77" s="1">
        <f>SUM('UPS RATES'!H77-'FedEx Rates'!H76)</f>
        <v>28.800000000000011</v>
      </c>
      <c r="I77" s="1">
        <f>SUM('UPS RATES'!I77-'FedEx Rates'!I76)</f>
        <v>8.57</v>
      </c>
      <c r="J77" s="1">
        <f>SUM('UPS RATES'!J77-'FedEx Rates'!J76)</f>
        <v>11.810000000000002</v>
      </c>
      <c r="K77" s="1">
        <f>SUM('UPS RATES'!K77-'FedEx Rates'!K76)</f>
        <v>15.809999999999995</v>
      </c>
      <c r="L77" s="1">
        <f>SUM('UPS RATES'!L77-'FedEx Rates'!L76)</f>
        <v>22.750000000000007</v>
      </c>
      <c r="M77" s="1">
        <f>SUM('UPS RATES'!M77-'FedEx Rates'!M76)</f>
        <v>40.410000000000004</v>
      </c>
      <c r="N77" s="1">
        <f>SUM('UPS RATES'!N77-'FedEx Rates'!N76)</f>
        <v>41.95</v>
      </c>
      <c r="O77" s="1">
        <f>SUM('UPS RATES'!O77-'FedEx Rates'!O76)</f>
        <v>44.710000000000008</v>
      </c>
      <c r="P77" s="1">
        <f>SUM('UPS RATES'!P77-'FedEx Rates'!P76)</f>
        <v>3.1300000000000008</v>
      </c>
      <c r="Q77" s="1">
        <f>SUM('UPS RATES'!Q77-'FedEx Rates'!Q76)</f>
        <v>3.6899999999999995</v>
      </c>
      <c r="R77" s="1">
        <f>SUM('UPS RATES'!R77-'FedEx Rates'!R76)</f>
        <v>4.3500000000000014</v>
      </c>
      <c r="S77" s="1">
        <f>SUM('UPS RATES'!S77-'FedEx Rates'!S76)</f>
        <v>5.2900000000000027</v>
      </c>
      <c r="T77" s="1">
        <f>SUM('UPS RATES'!T77-'FedEx Rates'!T76)</f>
        <v>6.3599999999999994</v>
      </c>
      <c r="U77" s="1">
        <f>SUM('UPS RATES'!U77-'FedEx Rates'!U76)</f>
        <v>7.379999999999999</v>
      </c>
      <c r="V77" s="1">
        <f>SUM('UPS RATES'!V77-'FedEx Rates'!V76)</f>
        <v>8.2399999999999984</v>
      </c>
      <c r="W77" s="1">
        <f>SUM('UPS RATES'!W77-'FedEx Rates'!W76)</f>
        <v>19.899999999999999</v>
      </c>
      <c r="X77" s="1">
        <f>SUM('UPS RATES'!X77-'FedEx Rates'!X76)</f>
        <v>29.51</v>
      </c>
      <c r="Y77" s="1">
        <f>SUM('UPS RATES'!Y77-'FedEx Rates'!Y76)</f>
        <v>50.860000000000007</v>
      </c>
      <c r="Z77" s="1">
        <f>SUM('UPS RATES'!Z77-'FedEx Rates'!Z76)</f>
        <v>55</v>
      </c>
      <c r="AA77" s="1">
        <f>SUM('UPS RATES'!AA77-'FedEx Rates'!AA76)</f>
        <v>55.059999999999995</v>
      </c>
      <c r="AB77" s="1">
        <f>SUM('UPS RATES'!AB77-'FedEx Rates'!AB76)</f>
        <v>64.389999999999986</v>
      </c>
      <c r="AC77" s="1">
        <f>SUM('UPS RATES'!AC77-'FedEx Rates'!AC76)</f>
        <v>67.66</v>
      </c>
    </row>
    <row r="78" spans="1:29" x14ac:dyDescent="0.25">
      <c r="A78">
        <v>76</v>
      </c>
      <c r="B78" s="1">
        <f>SUM('UPS RATES'!B78-'FedEx Rates'!B77)</f>
        <v>7.5399999999999991</v>
      </c>
      <c r="C78" s="1">
        <f>SUM('UPS RATES'!C78-'FedEx Rates'!C77)</f>
        <v>9.2200000000000024</v>
      </c>
      <c r="D78" s="1">
        <f>SUM('UPS RATES'!D78-'FedEx Rates'!D77)</f>
        <v>10.719999999999999</v>
      </c>
      <c r="E78" s="1">
        <f>SUM('UPS RATES'!E78-'FedEx Rates'!E77)</f>
        <v>16.589999999999996</v>
      </c>
      <c r="F78" s="1">
        <f>SUM('UPS RATES'!F78-'FedEx Rates'!F77)</f>
        <v>28.099999999999994</v>
      </c>
      <c r="G78" s="1">
        <f>SUM('UPS RATES'!G78-'FedEx Rates'!G77)</f>
        <v>28.659999999999997</v>
      </c>
      <c r="H78" s="1">
        <f>SUM('UPS RATES'!H78-'FedEx Rates'!H77)</f>
        <v>29.239999999999995</v>
      </c>
      <c r="I78" s="1">
        <f>SUM('UPS RATES'!I78-'FedEx Rates'!I77)</f>
        <v>8.5</v>
      </c>
      <c r="J78" s="1">
        <f>SUM('UPS RATES'!J78-'FedEx Rates'!J77)</f>
        <v>11.729999999999997</v>
      </c>
      <c r="K78" s="1">
        <f>SUM('UPS RATES'!K78-'FedEx Rates'!K77)</f>
        <v>15.839999999999996</v>
      </c>
      <c r="L78" s="1">
        <f>SUM('UPS RATES'!L78-'FedEx Rates'!L77)</f>
        <v>23.569999999999993</v>
      </c>
      <c r="M78" s="1">
        <f>SUM('UPS RATES'!M78-'FedEx Rates'!M77)</f>
        <v>41.89</v>
      </c>
      <c r="N78" s="1">
        <f>SUM('UPS RATES'!N78-'FedEx Rates'!N77)</f>
        <v>44.400000000000006</v>
      </c>
      <c r="O78" s="1">
        <f>SUM('UPS RATES'!O78-'FedEx Rates'!O77)</f>
        <v>49.28</v>
      </c>
      <c r="P78" s="1">
        <f>SUM('UPS RATES'!P78-'FedEx Rates'!P77)</f>
        <v>3.3599999999999994</v>
      </c>
      <c r="Q78" s="1">
        <f>SUM('UPS RATES'!Q78-'FedEx Rates'!Q77)</f>
        <v>3.8899999999999988</v>
      </c>
      <c r="R78" s="1">
        <f>SUM('UPS RATES'!R78-'FedEx Rates'!R77)</f>
        <v>4.379999999999999</v>
      </c>
      <c r="S78" s="1">
        <f>SUM('UPS RATES'!S78-'FedEx Rates'!S77)</f>
        <v>5.370000000000001</v>
      </c>
      <c r="T78" s="1">
        <f>SUM('UPS RATES'!T78-'FedEx Rates'!T77)</f>
        <v>6.5</v>
      </c>
      <c r="U78" s="1">
        <f>SUM('UPS RATES'!U78-'FedEx Rates'!U77)</f>
        <v>7.5</v>
      </c>
      <c r="V78" s="1">
        <f>SUM('UPS RATES'!V78-'FedEx Rates'!V77)</f>
        <v>8.34</v>
      </c>
      <c r="W78" s="1">
        <f>SUM('UPS RATES'!W78-'FedEx Rates'!W77)</f>
        <v>20.93</v>
      </c>
      <c r="X78" s="1">
        <f>SUM('UPS RATES'!X78-'FedEx Rates'!X77)</f>
        <v>30.330000000000002</v>
      </c>
      <c r="Y78" s="1">
        <f>SUM('UPS RATES'!Y78-'FedEx Rates'!Y77)</f>
        <v>51.140000000000008</v>
      </c>
      <c r="Z78" s="1">
        <f>SUM('UPS RATES'!Z78-'FedEx Rates'!Z77)</f>
        <v>55.480000000000004</v>
      </c>
      <c r="AA78" s="1">
        <f>SUM('UPS RATES'!AA78-'FedEx Rates'!AA77)</f>
        <v>55.530000000000008</v>
      </c>
      <c r="AB78" s="1">
        <f>SUM('UPS RATES'!AB78-'FedEx Rates'!AB77)</f>
        <v>66.099999999999994</v>
      </c>
      <c r="AC78" s="1">
        <f>SUM('UPS RATES'!AC78-'FedEx Rates'!AC77)</f>
        <v>67.739999999999995</v>
      </c>
    </row>
    <row r="79" spans="1:29" x14ac:dyDescent="0.25">
      <c r="A79">
        <v>77</v>
      </c>
      <c r="B79" s="1">
        <f>SUM('UPS RATES'!B79-'FedEx Rates'!B78)</f>
        <v>7.59</v>
      </c>
      <c r="C79" s="1">
        <f>SUM('UPS RATES'!C79-'FedEx Rates'!C78)</f>
        <v>9.2799999999999976</v>
      </c>
      <c r="D79" s="1">
        <f>SUM('UPS RATES'!D79-'FedEx Rates'!D78)</f>
        <v>10.949999999999996</v>
      </c>
      <c r="E79" s="1">
        <f>SUM('UPS RATES'!E79-'FedEx Rates'!E78)</f>
        <v>16.64</v>
      </c>
      <c r="F79" s="1">
        <f>SUM('UPS RATES'!F79-'FedEx Rates'!F78)</f>
        <v>27.840000000000003</v>
      </c>
      <c r="G79" s="1">
        <f>SUM('UPS RATES'!G79-'FedEx Rates'!G78)</f>
        <v>29.549999999999997</v>
      </c>
      <c r="H79" s="1">
        <f>SUM('UPS RATES'!H79-'FedEx Rates'!H78)</f>
        <v>30.14</v>
      </c>
      <c r="I79" s="1">
        <f>SUM('UPS RATES'!I79-'FedEx Rates'!I78)</f>
        <v>9.5599999999999987</v>
      </c>
      <c r="J79" s="1">
        <f>SUM('UPS RATES'!J79-'FedEx Rates'!J78)</f>
        <v>11.8</v>
      </c>
      <c r="K79" s="1">
        <f>SUM('UPS RATES'!K79-'FedEx Rates'!K78)</f>
        <v>16.350000000000001</v>
      </c>
      <c r="L79" s="1">
        <f>SUM('UPS RATES'!L79-'FedEx Rates'!L78)</f>
        <v>24.159999999999997</v>
      </c>
      <c r="M79" s="1">
        <f>SUM('UPS RATES'!M79-'FedEx Rates'!M78)</f>
        <v>42.91</v>
      </c>
      <c r="N79" s="1">
        <f>SUM('UPS RATES'!N79-'FedEx Rates'!N78)</f>
        <v>45.67</v>
      </c>
      <c r="O79" s="1">
        <f>SUM('UPS RATES'!O79-'FedEx Rates'!O78)</f>
        <v>48.86999999999999</v>
      </c>
      <c r="P79" s="1">
        <f>SUM('UPS RATES'!P79-'FedEx Rates'!P78)</f>
        <v>3.4999999999999982</v>
      </c>
      <c r="Q79" s="1">
        <f>SUM('UPS RATES'!Q79-'FedEx Rates'!Q78)</f>
        <v>3.9499999999999993</v>
      </c>
      <c r="R79" s="1">
        <f>SUM('UPS RATES'!R79-'FedEx Rates'!R78)</f>
        <v>4.4499999999999993</v>
      </c>
      <c r="S79" s="1">
        <f>SUM('UPS RATES'!S79-'FedEx Rates'!S78)</f>
        <v>5.4000000000000021</v>
      </c>
      <c r="T79" s="1">
        <f>SUM('UPS RATES'!T79-'FedEx Rates'!T78)</f>
        <v>6.5300000000000011</v>
      </c>
      <c r="U79" s="1">
        <f>SUM('UPS RATES'!U79-'FedEx Rates'!U78)</f>
        <v>7.7100000000000009</v>
      </c>
      <c r="V79" s="1">
        <f>SUM('UPS RATES'!V79-'FedEx Rates'!V78)</f>
        <v>8.3500000000000014</v>
      </c>
      <c r="W79" s="1">
        <f>SUM('UPS RATES'!W79-'FedEx Rates'!W78)</f>
        <v>21.03</v>
      </c>
      <c r="X79" s="1">
        <f>SUM('UPS RATES'!X79-'FedEx Rates'!X78)</f>
        <v>31.360000000000003</v>
      </c>
      <c r="Y79" s="1">
        <f>SUM('UPS RATES'!Y79-'FedEx Rates'!Y78)</f>
        <v>51.339999999999996</v>
      </c>
      <c r="Z79" s="1">
        <f>SUM('UPS RATES'!Z79-'FedEx Rates'!Z78)</f>
        <v>57.25</v>
      </c>
      <c r="AA79" s="1">
        <f>SUM('UPS RATES'!AA79-'FedEx Rates'!AA78)</f>
        <v>57.77</v>
      </c>
      <c r="AB79" s="1">
        <f>SUM('UPS RATES'!AB79-'FedEx Rates'!AB78)</f>
        <v>66.27</v>
      </c>
      <c r="AC79" s="1">
        <f>SUM('UPS RATES'!AC79-'FedEx Rates'!AC78)</f>
        <v>67.820000000000007</v>
      </c>
    </row>
    <row r="80" spans="1:29" x14ac:dyDescent="0.25">
      <c r="A80">
        <v>78</v>
      </c>
      <c r="B80" s="1">
        <f>SUM('UPS RATES'!B80-'FedEx Rates'!B79)</f>
        <v>7.6500000000000021</v>
      </c>
      <c r="C80" s="1">
        <f>SUM('UPS RATES'!C80-'FedEx Rates'!C79)</f>
        <v>9.3300000000000018</v>
      </c>
      <c r="D80" s="1">
        <f>SUM('UPS RATES'!D80-'FedEx Rates'!D79)</f>
        <v>11.149999999999999</v>
      </c>
      <c r="E80" s="1">
        <f>SUM('UPS RATES'!E80-'FedEx Rates'!E79)</f>
        <v>17.450000000000003</v>
      </c>
      <c r="F80" s="1">
        <f>SUM('UPS RATES'!F80-'FedEx Rates'!F79)</f>
        <v>27.900000000000006</v>
      </c>
      <c r="G80" s="1">
        <f>SUM('UPS RATES'!G80-'FedEx Rates'!G79)</f>
        <v>28.879999999999995</v>
      </c>
      <c r="H80" s="1">
        <f>SUM('UPS RATES'!H80-'FedEx Rates'!H79)</f>
        <v>32.290000000000006</v>
      </c>
      <c r="I80" s="1">
        <f>SUM('UPS RATES'!I80-'FedEx Rates'!I79)</f>
        <v>9.4199999999999982</v>
      </c>
      <c r="J80" s="1">
        <f>SUM('UPS RATES'!J80-'FedEx Rates'!J79)</f>
        <v>11.68</v>
      </c>
      <c r="K80" s="1">
        <f>SUM('UPS RATES'!K80-'FedEx Rates'!K79)</f>
        <v>16.68</v>
      </c>
      <c r="L80" s="1">
        <f>SUM('UPS RATES'!L80-'FedEx Rates'!L79)</f>
        <v>24.480000000000004</v>
      </c>
      <c r="M80" s="1">
        <f>SUM('UPS RATES'!M80-'FedEx Rates'!M79)</f>
        <v>42.78</v>
      </c>
      <c r="N80" s="1">
        <f>SUM('UPS RATES'!N80-'FedEx Rates'!N79)</f>
        <v>47.45</v>
      </c>
      <c r="O80" s="1">
        <f>SUM('UPS RATES'!O80-'FedEx Rates'!O79)</f>
        <v>48.509999999999991</v>
      </c>
      <c r="P80" s="1">
        <f>SUM('UPS RATES'!P80-'FedEx Rates'!P79)</f>
        <v>3.509999999999998</v>
      </c>
      <c r="Q80" s="1">
        <f>SUM('UPS RATES'!Q80-'FedEx Rates'!Q79)</f>
        <v>4.0899999999999981</v>
      </c>
      <c r="R80" s="1">
        <f>SUM('UPS RATES'!R80-'FedEx Rates'!R79)</f>
        <v>4.57</v>
      </c>
      <c r="S80" s="1">
        <f>SUM('UPS RATES'!S80-'FedEx Rates'!S79)</f>
        <v>5.4600000000000009</v>
      </c>
      <c r="T80" s="1">
        <f>SUM('UPS RATES'!T80-'FedEx Rates'!T79)</f>
        <v>6.57</v>
      </c>
      <c r="U80" s="1">
        <f>SUM('UPS RATES'!U80-'FedEx Rates'!U79)</f>
        <v>7.7600000000000016</v>
      </c>
      <c r="V80" s="1">
        <f>SUM('UPS RATES'!V80-'FedEx Rates'!V79)</f>
        <v>8.3500000000000014</v>
      </c>
      <c r="W80" s="1">
        <f>SUM('UPS RATES'!W80-'FedEx Rates'!W79)</f>
        <v>21.12</v>
      </c>
      <c r="X80" s="1">
        <f>SUM('UPS RATES'!X80-'FedEx Rates'!X79)</f>
        <v>31.449999999999996</v>
      </c>
      <c r="Y80" s="1">
        <f>SUM('UPS RATES'!Y80-'FedEx Rates'!Y79)</f>
        <v>53.219999999999992</v>
      </c>
      <c r="Z80" s="1">
        <f>SUM('UPS RATES'!Z80-'FedEx Rates'!Z79)</f>
        <v>57.489999999999995</v>
      </c>
      <c r="AA80" s="1">
        <f>SUM('UPS RATES'!AA80-'FedEx Rates'!AA79)</f>
        <v>59.279999999999994</v>
      </c>
      <c r="AB80" s="1">
        <f>SUM('UPS RATES'!AB80-'FedEx Rates'!AB79)</f>
        <v>67.619999999999976</v>
      </c>
      <c r="AC80" s="1">
        <f>SUM('UPS RATES'!AC80-'FedEx Rates'!AC79)</f>
        <v>67.91</v>
      </c>
    </row>
    <row r="81" spans="1:29" x14ac:dyDescent="0.25">
      <c r="A81">
        <v>79</v>
      </c>
      <c r="B81" s="1">
        <f>SUM('UPS RATES'!B81-'FedEx Rates'!B80)</f>
        <v>7.6999999999999993</v>
      </c>
      <c r="C81" s="1">
        <f>SUM('UPS RATES'!C81-'FedEx Rates'!C80)</f>
        <v>9.39</v>
      </c>
      <c r="D81" s="1">
        <f>SUM('UPS RATES'!D81-'FedEx Rates'!D80)</f>
        <v>11.21</v>
      </c>
      <c r="E81" s="1">
        <f>SUM('UPS RATES'!E81-'FedEx Rates'!E80)</f>
        <v>17.520000000000003</v>
      </c>
      <c r="F81" s="1">
        <f>SUM('UPS RATES'!F81-'FedEx Rates'!F80)</f>
        <v>28.03</v>
      </c>
      <c r="G81" s="1">
        <f>SUM('UPS RATES'!G81-'FedEx Rates'!G80)</f>
        <v>31.879999999999995</v>
      </c>
      <c r="H81" s="1">
        <f>SUM('UPS RATES'!H81-'FedEx Rates'!H80)</f>
        <v>32.510000000000005</v>
      </c>
      <c r="I81" s="1">
        <f>SUM('UPS RATES'!I81-'FedEx Rates'!I80)</f>
        <v>9.59</v>
      </c>
      <c r="J81" s="1">
        <f>SUM('UPS RATES'!J81-'FedEx Rates'!J80)</f>
        <v>12.04</v>
      </c>
      <c r="K81" s="1">
        <f>SUM('UPS RATES'!K81-'FedEx Rates'!K80)</f>
        <v>16.57</v>
      </c>
      <c r="L81" s="1">
        <f>SUM('UPS RATES'!L81-'FedEx Rates'!L80)</f>
        <v>24.68</v>
      </c>
      <c r="M81" s="1">
        <f>SUM('UPS RATES'!M81-'FedEx Rates'!M80)</f>
        <v>42.93</v>
      </c>
      <c r="N81" s="1">
        <f>SUM('UPS RATES'!N81-'FedEx Rates'!N80)</f>
        <v>47.739999999999995</v>
      </c>
      <c r="O81" s="1">
        <f>SUM('UPS RATES'!O81-'FedEx Rates'!O80)</f>
        <v>47.739999999999995</v>
      </c>
      <c r="P81" s="1">
        <f>SUM('UPS RATES'!P81-'FedEx Rates'!P80)</f>
        <v>3.6699999999999982</v>
      </c>
      <c r="Q81" s="1">
        <f>SUM('UPS RATES'!Q81-'FedEx Rates'!Q80)</f>
        <v>4.2600000000000016</v>
      </c>
      <c r="R81" s="1">
        <f>SUM('UPS RATES'!R81-'FedEx Rates'!R80)</f>
        <v>4.6699999999999982</v>
      </c>
      <c r="S81" s="1">
        <f>SUM('UPS RATES'!S81-'FedEx Rates'!S80)</f>
        <v>5.5500000000000007</v>
      </c>
      <c r="T81" s="1">
        <f>SUM('UPS RATES'!T81-'FedEx Rates'!T80)</f>
        <v>6.7100000000000009</v>
      </c>
      <c r="U81" s="1">
        <f>SUM('UPS RATES'!U81-'FedEx Rates'!U80)</f>
        <v>7.8800000000000026</v>
      </c>
      <c r="V81" s="1">
        <f>SUM('UPS RATES'!V81-'FedEx Rates'!V80)</f>
        <v>8.4599999999999973</v>
      </c>
      <c r="W81" s="1">
        <f>SUM('UPS RATES'!W81-'FedEx Rates'!W80)</f>
        <v>21.22</v>
      </c>
      <c r="X81" s="1">
        <f>SUM('UPS RATES'!X81-'FedEx Rates'!X80)</f>
        <v>31.54</v>
      </c>
      <c r="Y81" s="1">
        <f>SUM('UPS RATES'!Y81-'FedEx Rates'!Y80)</f>
        <v>53.400000000000006</v>
      </c>
      <c r="Z81" s="1">
        <f>SUM('UPS RATES'!Z81-'FedEx Rates'!Z80)</f>
        <v>58.35</v>
      </c>
      <c r="AA81" s="1">
        <f>SUM('UPS RATES'!AA81-'FedEx Rates'!AA80)</f>
        <v>60.150000000000006</v>
      </c>
      <c r="AB81" s="1">
        <f>SUM('UPS RATES'!AB81-'FedEx Rates'!AB80)</f>
        <v>68.78</v>
      </c>
      <c r="AC81" s="1">
        <f>SUM('UPS RATES'!AC81-'FedEx Rates'!AC80)</f>
        <v>68.839999999999989</v>
      </c>
    </row>
    <row r="82" spans="1:29" x14ac:dyDescent="0.25">
      <c r="A82">
        <v>80</v>
      </c>
      <c r="B82" s="1">
        <f>SUM('UPS RATES'!B82-'FedEx Rates'!B81)</f>
        <v>7.7500000000000036</v>
      </c>
      <c r="C82" s="1">
        <f>SUM('UPS RATES'!C82-'FedEx Rates'!C81)</f>
        <v>9.4400000000000048</v>
      </c>
      <c r="D82" s="1">
        <f>SUM('UPS RATES'!D82-'FedEx Rates'!D81)</f>
        <v>11.260000000000005</v>
      </c>
      <c r="E82" s="1">
        <f>SUM('UPS RATES'!E82-'FedEx Rates'!E81)</f>
        <v>17.579999999999998</v>
      </c>
      <c r="F82" s="1">
        <f>SUM('UPS RATES'!F82-'FedEx Rates'!F81)</f>
        <v>29.560000000000002</v>
      </c>
      <c r="G82" s="1">
        <f>SUM('UPS RATES'!G82-'FedEx Rates'!G81)</f>
        <v>32.090000000000003</v>
      </c>
      <c r="H82" s="1">
        <f>SUM('UPS RATES'!H82-'FedEx Rates'!H81)</f>
        <v>32.72999999999999</v>
      </c>
      <c r="I82" s="1">
        <f>SUM('UPS RATES'!I82-'FedEx Rates'!I81)</f>
        <v>9.4500000000000028</v>
      </c>
      <c r="J82" s="1">
        <f>SUM('UPS RATES'!J82-'FedEx Rates'!J81)</f>
        <v>12.379999999999999</v>
      </c>
      <c r="K82" s="1">
        <f>SUM('UPS RATES'!K82-'FedEx Rates'!K81)</f>
        <v>16.909999999999997</v>
      </c>
      <c r="L82" s="1">
        <f>SUM('UPS RATES'!L82-'FedEx Rates'!L81)</f>
        <v>24.519999999999996</v>
      </c>
      <c r="M82" s="1">
        <f>SUM('UPS RATES'!M82-'FedEx Rates'!M81)</f>
        <v>42.779999999999994</v>
      </c>
      <c r="N82" s="1">
        <f>SUM('UPS RATES'!N82-'FedEx Rates'!N81)</f>
        <v>47.97</v>
      </c>
      <c r="O82" s="1">
        <f>SUM('UPS RATES'!O82-'FedEx Rates'!O81)</f>
        <v>47.570000000000007</v>
      </c>
      <c r="P82" s="1">
        <f>SUM('UPS RATES'!P82-'FedEx Rates'!P81)</f>
        <v>3.76</v>
      </c>
      <c r="Q82" s="1">
        <f>SUM('UPS RATES'!Q82-'FedEx Rates'!Q81)</f>
        <v>4.3499999999999996</v>
      </c>
      <c r="R82" s="1">
        <f>SUM('UPS RATES'!R82-'FedEx Rates'!R81)</f>
        <v>4.7100000000000009</v>
      </c>
      <c r="S82" s="1">
        <f>SUM('UPS RATES'!S82-'FedEx Rates'!S81)</f>
        <v>5.68</v>
      </c>
      <c r="T82" s="1">
        <f>SUM('UPS RATES'!T82-'FedEx Rates'!T81)</f>
        <v>6.82</v>
      </c>
      <c r="U82" s="1">
        <f>SUM('UPS RATES'!U82-'FedEx Rates'!U81)</f>
        <v>8</v>
      </c>
      <c r="V82" s="1">
        <f>SUM('UPS RATES'!V82-'FedEx Rates'!V81)</f>
        <v>8.5200000000000031</v>
      </c>
      <c r="W82" s="1">
        <f>SUM('UPS RATES'!W82-'FedEx Rates'!W81)</f>
        <v>21.31</v>
      </c>
      <c r="X82" s="1">
        <f>SUM('UPS RATES'!X82-'FedEx Rates'!X81)</f>
        <v>31.64</v>
      </c>
      <c r="Y82" s="1">
        <f>SUM('UPS RATES'!Y82-'FedEx Rates'!Y81)</f>
        <v>53.499999999999993</v>
      </c>
      <c r="Z82" s="1">
        <f>SUM('UPS RATES'!Z82-'FedEx Rates'!Z81)</f>
        <v>58.54</v>
      </c>
      <c r="AA82" s="1">
        <f>SUM('UPS RATES'!AA82-'FedEx Rates'!AA81)</f>
        <v>60.320000000000007</v>
      </c>
      <c r="AB82" s="1">
        <f>SUM('UPS RATES'!AB82-'FedEx Rates'!AB81)</f>
        <v>69.070000000000007</v>
      </c>
      <c r="AC82" s="1">
        <f>SUM('UPS RATES'!AC82-'FedEx Rates'!AC81)</f>
        <v>69.13</v>
      </c>
    </row>
    <row r="83" spans="1:29" x14ac:dyDescent="0.25">
      <c r="A83">
        <v>81</v>
      </c>
      <c r="B83" s="1">
        <f>SUM('UPS RATES'!B83-'FedEx Rates'!B82)</f>
        <v>8.019999999999996</v>
      </c>
      <c r="C83" s="1">
        <f>SUM('UPS RATES'!C83-'FedEx Rates'!C82)</f>
        <v>9.4899999999999984</v>
      </c>
      <c r="D83" s="1">
        <f>SUM('UPS RATES'!D83-'FedEx Rates'!D82)</f>
        <v>11.32</v>
      </c>
      <c r="E83" s="1">
        <f>SUM('UPS RATES'!E83-'FedEx Rates'!E82)</f>
        <v>17.639999999999993</v>
      </c>
      <c r="F83" s="1">
        <f>SUM('UPS RATES'!F83-'FedEx Rates'!F82)</f>
        <v>29.72</v>
      </c>
      <c r="G83" s="1">
        <f>SUM('UPS RATES'!G83-'FedEx Rates'!G82)</f>
        <v>32.150000000000006</v>
      </c>
      <c r="H83" s="1">
        <f>SUM('UPS RATES'!H83-'FedEx Rates'!H82)</f>
        <v>32.79000000000002</v>
      </c>
      <c r="I83" s="1">
        <f>SUM('UPS RATES'!I83-'FedEx Rates'!I82)</f>
        <v>9.43</v>
      </c>
      <c r="J83" s="1">
        <f>SUM('UPS RATES'!J83-'FedEx Rates'!J82)</f>
        <v>12.55</v>
      </c>
      <c r="K83" s="1">
        <f>SUM('UPS RATES'!K83-'FedEx Rates'!K82)</f>
        <v>17.019999999999996</v>
      </c>
      <c r="L83" s="1">
        <f>SUM('UPS RATES'!L83-'FedEx Rates'!L82)</f>
        <v>25.000000000000007</v>
      </c>
      <c r="M83" s="1">
        <f>SUM('UPS RATES'!M83-'FedEx Rates'!M82)</f>
        <v>42.23</v>
      </c>
      <c r="N83" s="1">
        <f>SUM('UPS RATES'!N83-'FedEx Rates'!N82)</f>
        <v>47.94</v>
      </c>
      <c r="O83" s="1">
        <f>SUM('UPS RATES'!O83-'FedEx Rates'!O82)</f>
        <v>48.129999999999995</v>
      </c>
      <c r="P83" s="1">
        <f>SUM('UPS RATES'!P83-'FedEx Rates'!P82)</f>
        <v>3.8500000000000014</v>
      </c>
      <c r="Q83" s="1">
        <f>SUM('UPS RATES'!Q83-'FedEx Rates'!Q82)</f>
        <v>4.3899999999999988</v>
      </c>
      <c r="R83" s="1">
        <f>SUM('UPS RATES'!R83-'FedEx Rates'!R82)</f>
        <v>4.8300000000000018</v>
      </c>
      <c r="S83" s="1">
        <f>SUM('UPS RATES'!S83-'FedEx Rates'!S82)</f>
        <v>5.7199999999999989</v>
      </c>
      <c r="T83" s="1">
        <f>SUM('UPS RATES'!T83-'FedEx Rates'!T82)</f>
        <v>6.91</v>
      </c>
      <c r="U83" s="1">
        <f>SUM('UPS RATES'!U83-'FedEx Rates'!U82)</f>
        <v>8.0399999999999991</v>
      </c>
      <c r="V83" s="1">
        <f>SUM('UPS RATES'!V83-'FedEx Rates'!V82)</f>
        <v>8.5500000000000007</v>
      </c>
      <c r="W83" s="1">
        <f>SUM('UPS RATES'!W83-'FedEx Rates'!W82)</f>
        <v>22.459999999999997</v>
      </c>
      <c r="X83" s="1">
        <f>SUM('UPS RATES'!X83-'FedEx Rates'!X82)</f>
        <v>32.339999999999996</v>
      </c>
      <c r="Y83" s="1">
        <f>SUM('UPS RATES'!Y83-'FedEx Rates'!Y82)</f>
        <v>55.070000000000007</v>
      </c>
      <c r="Z83" s="1">
        <f>SUM('UPS RATES'!Z83-'FedEx Rates'!Z82)</f>
        <v>62.12</v>
      </c>
      <c r="AA83" s="1">
        <f>SUM('UPS RATES'!AA83-'FedEx Rates'!AA82)</f>
        <v>63.530000000000008</v>
      </c>
      <c r="AB83" s="1">
        <f>SUM('UPS RATES'!AB83-'FedEx Rates'!AB82)</f>
        <v>70.819999999999993</v>
      </c>
      <c r="AC83" s="1">
        <f>SUM('UPS RATES'!AC83-'FedEx Rates'!AC82)</f>
        <v>71.040000000000006</v>
      </c>
    </row>
    <row r="84" spans="1:29" x14ac:dyDescent="0.25">
      <c r="A84">
        <v>82</v>
      </c>
      <c r="B84" s="1">
        <f>SUM('UPS RATES'!B84-'FedEx Rates'!B83)</f>
        <v>8.110000000000003</v>
      </c>
      <c r="C84" s="1">
        <f>SUM('UPS RATES'!C84-'FedEx Rates'!C83)</f>
        <v>9.5300000000000011</v>
      </c>
      <c r="D84" s="1">
        <f>SUM('UPS RATES'!D84-'FedEx Rates'!D83)</f>
        <v>11.850000000000001</v>
      </c>
      <c r="E84" s="1">
        <f>SUM('UPS RATES'!E84-'FedEx Rates'!E83)</f>
        <v>17.689999999999998</v>
      </c>
      <c r="F84" s="1">
        <f>SUM('UPS RATES'!F84-'FedEx Rates'!F83)</f>
        <v>29.78</v>
      </c>
      <c r="G84" s="1">
        <f>SUM('UPS RATES'!G84-'FedEx Rates'!G83)</f>
        <v>32.200000000000003</v>
      </c>
      <c r="H84" s="1">
        <f>SUM('UPS RATES'!H84-'FedEx Rates'!H83)</f>
        <v>32.840000000000003</v>
      </c>
      <c r="I84" s="1">
        <f>SUM('UPS RATES'!I84-'FedEx Rates'!I83)</f>
        <v>8.89</v>
      </c>
      <c r="J84" s="1">
        <f>SUM('UPS RATES'!J84-'FedEx Rates'!J83)</f>
        <v>12.099999999999998</v>
      </c>
      <c r="K84" s="1">
        <f>SUM('UPS RATES'!K84-'FedEx Rates'!K83)</f>
        <v>16.490000000000002</v>
      </c>
      <c r="L84" s="1">
        <f>SUM('UPS RATES'!L84-'FedEx Rates'!L83)</f>
        <v>22.810000000000002</v>
      </c>
      <c r="M84" s="1">
        <f>SUM('UPS RATES'!M84-'FedEx Rates'!M83)</f>
        <v>44.15</v>
      </c>
      <c r="N84" s="1">
        <f>SUM('UPS RATES'!N84-'FedEx Rates'!N83)</f>
        <v>45.490000000000009</v>
      </c>
      <c r="O84" s="1">
        <f>SUM('UPS RATES'!O84-'FedEx Rates'!O83)</f>
        <v>49.240000000000009</v>
      </c>
      <c r="P84" s="1">
        <f>SUM('UPS RATES'!P84-'FedEx Rates'!P83)</f>
        <v>3.9700000000000024</v>
      </c>
      <c r="Q84" s="1">
        <f>SUM('UPS RATES'!Q84-'FedEx Rates'!Q83)</f>
        <v>4.490000000000002</v>
      </c>
      <c r="R84" s="1">
        <f>SUM('UPS RATES'!R84-'FedEx Rates'!R83)</f>
        <v>5.0399999999999991</v>
      </c>
      <c r="S84" s="1">
        <f>SUM('UPS RATES'!S84-'FedEx Rates'!S83)</f>
        <v>5.84</v>
      </c>
      <c r="T84" s="1">
        <f>SUM('UPS RATES'!T84-'FedEx Rates'!T83)</f>
        <v>6.93</v>
      </c>
      <c r="U84" s="1">
        <f>SUM('UPS RATES'!U84-'FedEx Rates'!U83)</f>
        <v>8.240000000000002</v>
      </c>
      <c r="V84" s="1">
        <f>SUM('UPS RATES'!V84-'FedEx Rates'!V83)</f>
        <v>8.6900000000000013</v>
      </c>
      <c r="W84" s="1">
        <f>SUM('UPS RATES'!W84-'FedEx Rates'!W83)</f>
        <v>22.570000000000004</v>
      </c>
      <c r="X84" s="1">
        <f>SUM('UPS RATES'!X84-'FedEx Rates'!X83)</f>
        <v>32.429999999999993</v>
      </c>
      <c r="Y84" s="1">
        <f>SUM('UPS RATES'!Y84-'FedEx Rates'!Y83)</f>
        <v>55.36999999999999</v>
      </c>
      <c r="Z84" s="1">
        <f>SUM('UPS RATES'!Z84-'FedEx Rates'!Z83)</f>
        <v>62.47</v>
      </c>
      <c r="AA84" s="1">
        <f>SUM('UPS RATES'!AA84-'FedEx Rates'!AA83)</f>
        <v>63.849999999999994</v>
      </c>
      <c r="AB84" s="1">
        <f>SUM('UPS RATES'!AB84-'FedEx Rates'!AB83)</f>
        <v>70.98</v>
      </c>
      <c r="AC84" s="1">
        <f>SUM('UPS RATES'!AC84-'FedEx Rates'!AC83)</f>
        <v>71.220000000000013</v>
      </c>
    </row>
    <row r="85" spans="1:29" x14ac:dyDescent="0.25">
      <c r="A85">
        <v>83</v>
      </c>
      <c r="B85" s="1">
        <f>SUM('UPS RATES'!B85-'FedEx Rates'!B84)</f>
        <v>8.2199999999999953</v>
      </c>
      <c r="C85" s="1">
        <f>SUM('UPS RATES'!C85-'FedEx Rates'!C84)</f>
        <v>9.6900000000000013</v>
      </c>
      <c r="D85" s="1">
        <f>SUM('UPS RATES'!D85-'FedEx Rates'!D84)</f>
        <v>11.910000000000004</v>
      </c>
      <c r="E85" s="1">
        <f>SUM('UPS RATES'!E85-'FedEx Rates'!E84)</f>
        <v>17.739999999999995</v>
      </c>
      <c r="F85" s="1">
        <f>SUM('UPS RATES'!F85-'FedEx Rates'!F84)</f>
        <v>30.239999999999995</v>
      </c>
      <c r="G85" s="1">
        <f>SUM('UPS RATES'!G85-'FedEx Rates'!G84)</f>
        <v>32.259999999999991</v>
      </c>
      <c r="H85" s="1">
        <f>SUM('UPS RATES'!H85-'FedEx Rates'!H84)</f>
        <v>32.900000000000006</v>
      </c>
      <c r="I85" s="1">
        <f>SUM('UPS RATES'!I85-'FedEx Rates'!I84)</f>
        <v>9.1999999999999957</v>
      </c>
      <c r="J85" s="1">
        <f>SUM('UPS RATES'!J85-'FedEx Rates'!J84)</f>
        <v>12.370000000000001</v>
      </c>
      <c r="K85" s="1">
        <f>SUM('UPS RATES'!K85-'FedEx Rates'!K84)</f>
        <v>16.339999999999996</v>
      </c>
      <c r="L85" s="1">
        <f>SUM('UPS RATES'!L85-'FedEx Rates'!L84)</f>
        <v>23.100000000000009</v>
      </c>
      <c r="M85" s="1">
        <f>SUM('UPS RATES'!M85-'FedEx Rates'!M84)</f>
        <v>40.64</v>
      </c>
      <c r="N85" s="1">
        <f>SUM('UPS RATES'!N85-'FedEx Rates'!N84)</f>
        <v>45.240000000000009</v>
      </c>
      <c r="O85" s="1">
        <f>SUM('UPS RATES'!O85-'FedEx Rates'!O84)</f>
        <v>48.650000000000006</v>
      </c>
      <c r="P85" s="1">
        <f>SUM('UPS RATES'!P85-'FedEx Rates'!P84)</f>
        <v>3.9800000000000004</v>
      </c>
      <c r="Q85" s="1">
        <f>SUM('UPS RATES'!Q85-'FedEx Rates'!Q84)</f>
        <v>4.490000000000002</v>
      </c>
      <c r="R85" s="1">
        <f>SUM('UPS RATES'!R85-'FedEx Rates'!R84)</f>
        <v>5.0500000000000007</v>
      </c>
      <c r="S85" s="1">
        <f>SUM('UPS RATES'!S85-'FedEx Rates'!S84)</f>
        <v>5.8599999999999994</v>
      </c>
      <c r="T85" s="1">
        <f>SUM('UPS RATES'!T85-'FedEx Rates'!T84)</f>
        <v>6.9500000000000028</v>
      </c>
      <c r="U85" s="1">
        <f>SUM('UPS RATES'!U85-'FedEx Rates'!U84)</f>
        <v>8.25</v>
      </c>
      <c r="V85" s="1">
        <f>SUM('UPS RATES'!V85-'FedEx Rates'!V84)</f>
        <v>8.8300000000000018</v>
      </c>
      <c r="W85" s="1">
        <f>SUM('UPS RATES'!W85-'FedEx Rates'!W84)</f>
        <v>22.660000000000004</v>
      </c>
      <c r="X85" s="1">
        <f>SUM('UPS RATES'!X85-'FedEx Rates'!X84)</f>
        <v>32.53</v>
      </c>
      <c r="Y85" s="1">
        <f>SUM('UPS RATES'!Y85-'FedEx Rates'!Y84)</f>
        <v>55.449999999999996</v>
      </c>
      <c r="Z85" s="1">
        <f>SUM('UPS RATES'!Z85-'FedEx Rates'!Z84)</f>
        <v>62.559999999999995</v>
      </c>
      <c r="AA85" s="1">
        <f>SUM('UPS RATES'!AA85-'FedEx Rates'!AA84)</f>
        <v>63.94</v>
      </c>
      <c r="AB85" s="1">
        <f>SUM('UPS RATES'!AB85-'FedEx Rates'!AB84)</f>
        <v>71.080000000000013</v>
      </c>
      <c r="AC85" s="1">
        <f>SUM('UPS RATES'!AC85-'FedEx Rates'!AC84)</f>
        <v>71.309999999999988</v>
      </c>
    </row>
    <row r="86" spans="1:29" x14ac:dyDescent="0.25">
      <c r="A86">
        <v>84</v>
      </c>
      <c r="B86" s="1">
        <f>SUM('UPS RATES'!B86-'FedEx Rates'!B85)</f>
        <v>8.2800000000000011</v>
      </c>
      <c r="C86" s="1">
        <f>SUM('UPS RATES'!C86-'FedEx Rates'!C85)</f>
        <v>9.7399999999999984</v>
      </c>
      <c r="D86" s="1">
        <f>SUM('UPS RATES'!D86-'FedEx Rates'!D85)</f>
        <v>12.080000000000005</v>
      </c>
      <c r="E86" s="1">
        <f>SUM('UPS RATES'!E86-'FedEx Rates'!E85)</f>
        <v>17.800000000000004</v>
      </c>
      <c r="F86" s="1">
        <f>SUM('UPS RATES'!F86-'FedEx Rates'!F85)</f>
        <v>30.569999999999993</v>
      </c>
      <c r="G86" s="1">
        <f>SUM('UPS RATES'!G86-'FedEx Rates'!G85)</f>
        <v>32.81</v>
      </c>
      <c r="H86" s="1">
        <f>SUM('UPS RATES'!H86-'FedEx Rates'!H85)</f>
        <v>33.449999999999989</v>
      </c>
      <c r="I86" s="1">
        <f>SUM('UPS RATES'!I86-'FedEx Rates'!I85)</f>
        <v>9.370000000000001</v>
      </c>
      <c r="J86" s="1">
        <f>SUM('UPS RATES'!J86-'FedEx Rates'!J85)</f>
        <v>13.529999999999998</v>
      </c>
      <c r="K86" s="1">
        <f>SUM('UPS RATES'!K86-'FedEx Rates'!K85)</f>
        <v>15.810000000000002</v>
      </c>
      <c r="L86" s="1">
        <f>SUM('UPS RATES'!L86-'FedEx Rates'!L85)</f>
        <v>23.83</v>
      </c>
      <c r="M86" s="1">
        <f>SUM('UPS RATES'!M86-'FedEx Rates'!M85)</f>
        <v>40.42</v>
      </c>
      <c r="N86" s="1">
        <f>SUM('UPS RATES'!N86-'FedEx Rates'!N85)</f>
        <v>45.320000000000007</v>
      </c>
      <c r="O86" s="1">
        <f>SUM('UPS RATES'!O86-'FedEx Rates'!O85)</f>
        <v>49.740000000000009</v>
      </c>
      <c r="P86" s="1">
        <f>SUM('UPS RATES'!P86-'FedEx Rates'!P85)</f>
        <v>4.1400000000000023</v>
      </c>
      <c r="Q86" s="1">
        <f>SUM('UPS RATES'!Q86-'FedEx Rates'!Q85)</f>
        <v>4.68</v>
      </c>
      <c r="R86" s="1">
        <f>SUM('UPS RATES'!R86-'FedEx Rates'!R85)</f>
        <v>5.1899999999999977</v>
      </c>
      <c r="S86" s="1">
        <f>SUM('UPS RATES'!S86-'FedEx Rates'!S85)</f>
        <v>5.9200000000000017</v>
      </c>
      <c r="T86" s="1">
        <f>SUM('UPS RATES'!T86-'FedEx Rates'!T85)</f>
        <v>7.120000000000001</v>
      </c>
      <c r="U86" s="1">
        <f>SUM('UPS RATES'!U86-'FedEx Rates'!U85)</f>
        <v>8.3499999999999979</v>
      </c>
      <c r="V86" s="1">
        <f>SUM('UPS RATES'!V86-'FedEx Rates'!V85)</f>
        <v>8.6300000000000026</v>
      </c>
      <c r="W86" s="1">
        <f>SUM('UPS RATES'!W86-'FedEx Rates'!W85)</f>
        <v>22.76</v>
      </c>
      <c r="X86" s="1">
        <f>SUM('UPS RATES'!X86-'FedEx Rates'!X85)</f>
        <v>32.629999999999995</v>
      </c>
      <c r="Y86" s="1">
        <f>SUM('UPS RATES'!Y86-'FedEx Rates'!Y85)</f>
        <v>55.550000000000004</v>
      </c>
      <c r="Z86" s="1">
        <f>SUM('UPS RATES'!Z86-'FedEx Rates'!Z85)</f>
        <v>62.66</v>
      </c>
      <c r="AA86" s="1">
        <f>SUM('UPS RATES'!AA86-'FedEx Rates'!AA85)</f>
        <v>64.02000000000001</v>
      </c>
      <c r="AB86" s="1">
        <f>SUM('UPS RATES'!AB86-'FedEx Rates'!AB85)</f>
        <v>72.510000000000005</v>
      </c>
      <c r="AC86" s="1">
        <f>SUM('UPS RATES'!AC86-'FedEx Rates'!AC85)</f>
        <v>72.839999999999989</v>
      </c>
    </row>
    <row r="87" spans="1:29" x14ac:dyDescent="0.25">
      <c r="A87">
        <v>85</v>
      </c>
      <c r="B87" s="1">
        <f>SUM('UPS RATES'!B87-'FedEx Rates'!B86)</f>
        <v>8.6499999999999986</v>
      </c>
      <c r="C87" s="1">
        <f>SUM('UPS RATES'!C87-'FedEx Rates'!C86)</f>
        <v>9.9599999999999973</v>
      </c>
      <c r="D87" s="1">
        <f>SUM('UPS RATES'!D87-'FedEx Rates'!D86)</f>
        <v>12.200000000000003</v>
      </c>
      <c r="E87" s="1">
        <f>SUM('UPS RATES'!E87-'FedEx Rates'!E86)</f>
        <v>18.54</v>
      </c>
      <c r="F87" s="1">
        <f>SUM('UPS RATES'!F87-'FedEx Rates'!F86)</f>
        <v>30.63000000000001</v>
      </c>
      <c r="G87" s="1">
        <f>SUM('UPS RATES'!G87-'FedEx Rates'!G86)</f>
        <v>32.849999999999994</v>
      </c>
      <c r="H87" s="1">
        <f>SUM('UPS RATES'!H87-'FedEx Rates'!H86)</f>
        <v>33.510000000000005</v>
      </c>
      <c r="I87" s="1">
        <f>SUM('UPS RATES'!I87-'FedEx Rates'!I86)</f>
        <v>9.3499999999999979</v>
      </c>
      <c r="J87" s="1">
        <f>SUM('UPS RATES'!J87-'FedEx Rates'!J86)</f>
        <v>12.850000000000001</v>
      </c>
      <c r="K87" s="1">
        <f>SUM('UPS RATES'!K87-'FedEx Rates'!K86)</f>
        <v>14.64</v>
      </c>
      <c r="L87" s="1">
        <f>SUM('UPS RATES'!L87-'FedEx Rates'!L86)</f>
        <v>23.659999999999997</v>
      </c>
      <c r="M87" s="1">
        <f>SUM('UPS RATES'!M87-'FedEx Rates'!M86)</f>
        <v>43.649999999999991</v>
      </c>
      <c r="N87" s="1">
        <f>SUM('UPS RATES'!N87-'FedEx Rates'!N86)</f>
        <v>48.44</v>
      </c>
      <c r="O87" s="1">
        <f>SUM('UPS RATES'!O87-'FedEx Rates'!O86)</f>
        <v>48.569999999999993</v>
      </c>
      <c r="P87" s="1">
        <f>SUM('UPS RATES'!P87-'FedEx Rates'!P86)</f>
        <v>4.2500000000000018</v>
      </c>
      <c r="Q87" s="1">
        <f>SUM('UPS RATES'!Q87-'FedEx Rates'!Q86)</f>
        <v>4.6699999999999982</v>
      </c>
      <c r="R87" s="1">
        <f>SUM('UPS RATES'!R87-'FedEx Rates'!R86)</f>
        <v>5.1899999999999977</v>
      </c>
      <c r="S87" s="1">
        <f>SUM('UPS RATES'!S87-'FedEx Rates'!S86)</f>
        <v>6.0100000000000016</v>
      </c>
      <c r="T87" s="1">
        <f>SUM('UPS RATES'!T87-'FedEx Rates'!T86)</f>
        <v>7.1600000000000037</v>
      </c>
      <c r="U87" s="1">
        <f>SUM('UPS RATES'!U87-'FedEx Rates'!U86)</f>
        <v>8.4300000000000033</v>
      </c>
      <c r="V87" s="1">
        <f>SUM('UPS RATES'!V87-'FedEx Rates'!V86)</f>
        <v>8.7200000000000024</v>
      </c>
      <c r="W87" s="1">
        <f>SUM('UPS RATES'!W87-'FedEx Rates'!W86)</f>
        <v>22.85</v>
      </c>
      <c r="X87" s="1">
        <f>SUM('UPS RATES'!X87-'FedEx Rates'!X86)</f>
        <v>32.709999999999994</v>
      </c>
      <c r="Y87" s="1">
        <f>SUM('UPS RATES'!Y87-'FedEx Rates'!Y86)</f>
        <v>55.64</v>
      </c>
      <c r="Z87" s="1">
        <f>SUM('UPS RATES'!Z87-'FedEx Rates'!Z86)</f>
        <v>62.750000000000007</v>
      </c>
      <c r="AA87" s="1">
        <f>SUM('UPS RATES'!AA87-'FedEx Rates'!AA86)</f>
        <v>64.11</v>
      </c>
      <c r="AB87" s="1">
        <f>SUM('UPS RATES'!AB87-'FedEx Rates'!AB86)</f>
        <v>72.399999999999991</v>
      </c>
      <c r="AC87" s="1">
        <f>SUM('UPS RATES'!AC87-'FedEx Rates'!AC86)</f>
        <v>73.03</v>
      </c>
    </row>
    <row r="88" spans="1:29" x14ac:dyDescent="0.25">
      <c r="A88">
        <v>86</v>
      </c>
      <c r="B88" s="1">
        <f>SUM('UPS RATES'!B88-'FedEx Rates'!B87)</f>
        <v>8.7099999999999973</v>
      </c>
      <c r="C88" s="1">
        <f>SUM('UPS RATES'!C88-'FedEx Rates'!C87)</f>
        <v>10.269999999999996</v>
      </c>
      <c r="D88" s="1">
        <f>SUM('UPS RATES'!D88-'FedEx Rates'!D87)</f>
        <v>12.25</v>
      </c>
      <c r="E88" s="1">
        <f>SUM('UPS RATES'!E88-'FedEx Rates'!E87)</f>
        <v>18.599999999999994</v>
      </c>
      <c r="F88" s="1">
        <f>SUM('UPS RATES'!F88-'FedEx Rates'!F87)</f>
        <v>30.679999999999993</v>
      </c>
      <c r="G88" s="1">
        <f>SUM('UPS RATES'!G88-'FedEx Rates'!G87)</f>
        <v>32.909999999999997</v>
      </c>
      <c r="H88" s="1">
        <f>SUM('UPS RATES'!H88-'FedEx Rates'!H87)</f>
        <v>33.580000000000013</v>
      </c>
      <c r="I88" s="1">
        <f>SUM('UPS RATES'!I88-'FedEx Rates'!I87)</f>
        <v>10.689999999999998</v>
      </c>
      <c r="J88" s="1">
        <f>SUM('UPS RATES'!J88-'FedEx Rates'!J87)</f>
        <v>13.23</v>
      </c>
      <c r="K88" s="1">
        <f>SUM('UPS RATES'!K88-'FedEx Rates'!K87)</f>
        <v>15.590000000000003</v>
      </c>
      <c r="L88" s="1">
        <f>SUM('UPS RATES'!L88-'FedEx Rates'!L87)</f>
        <v>24.160000000000004</v>
      </c>
      <c r="M88" s="1">
        <f>SUM('UPS RATES'!M88-'FedEx Rates'!M87)</f>
        <v>45.070000000000007</v>
      </c>
      <c r="N88" s="1">
        <f>SUM('UPS RATES'!N88-'FedEx Rates'!N87)</f>
        <v>49.500000000000014</v>
      </c>
      <c r="O88" s="1">
        <f>SUM('UPS RATES'!O88-'FedEx Rates'!O87)</f>
        <v>50.029999999999987</v>
      </c>
      <c r="P88" s="1">
        <f>SUM('UPS RATES'!P88-'FedEx Rates'!P87)</f>
        <v>4.3999999999999986</v>
      </c>
      <c r="Q88" s="1">
        <f>SUM('UPS RATES'!Q88-'FedEx Rates'!Q87)</f>
        <v>4.9399999999999977</v>
      </c>
      <c r="R88" s="1">
        <f>SUM('UPS RATES'!R88-'FedEx Rates'!R87)</f>
        <v>5.3999999999999986</v>
      </c>
      <c r="S88" s="1">
        <f>SUM('UPS RATES'!S88-'FedEx Rates'!S87)</f>
        <v>6.129999999999999</v>
      </c>
      <c r="T88" s="1">
        <f>SUM('UPS RATES'!T88-'FedEx Rates'!T87)</f>
        <v>7.32</v>
      </c>
      <c r="U88" s="1">
        <f>SUM('UPS RATES'!U88-'FedEx Rates'!U87)</f>
        <v>8.6800000000000033</v>
      </c>
      <c r="V88" s="1">
        <f>SUM('UPS RATES'!V88-'FedEx Rates'!V87)</f>
        <v>8.9899999999999949</v>
      </c>
      <c r="W88" s="1">
        <f>SUM('UPS RATES'!W88-'FedEx Rates'!W87)</f>
        <v>23.64</v>
      </c>
      <c r="X88" s="1">
        <f>SUM('UPS RATES'!X88-'FedEx Rates'!X87)</f>
        <v>33.68</v>
      </c>
      <c r="Y88" s="1">
        <f>SUM('UPS RATES'!Y88-'FedEx Rates'!Y87)</f>
        <v>55.800000000000004</v>
      </c>
      <c r="Z88" s="1">
        <f>SUM('UPS RATES'!Z88-'FedEx Rates'!Z87)</f>
        <v>64.06</v>
      </c>
      <c r="AA88" s="1">
        <f>SUM('UPS RATES'!AA88-'FedEx Rates'!AA87)</f>
        <v>64.23</v>
      </c>
      <c r="AB88" s="1">
        <f>SUM('UPS RATES'!AB88-'FedEx Rates'!AB87)</f>
        <v>72.759999999999991</v>
      </c>
      <c r="AC88" s="1">
        <f>SUM('UPS RATES'!AC88-'FedEx Rates'!AC87)</f>
        <v>73.129999999999981</v>
      </c>
    </row>
    <row r="89" spans="1:29" x14ac:dyDescent="0.25">
      <c r="A89">
        <v>87</v>
      </c>
      <c r="B89" s="1">
        <f>SUM('UPS RATES'!B89-'FedEx Rates'!B88)</f>
        <v>8.7700000000000031</v>
      </c>
      <c r="C89" s="1">
        <f>SUM('UPS RATES'!C89-'FedEx Rates'!C88)</f>
        <v>10.620000000000005</v>
      </c>
      <c r="D89" s="1">
        <f>SUM('UPS RATES'!D89-'FedEx Rates'!D88)</f>
        <v>12.299999999999997</v>
      </c>
      <c r="E89" s="1">
        <f>SUM('UPS RATES'!E89-'FedEx Rates'!E88)</f>
        <v>18.660000000000004</v>
      </c>
      <c r="F89" s="1">
        <f>SUM('UPS RATES'!F89-'FedEx Rates'!F88)</f>
        <v>30.739999999999995</v>
      </c>
      <c r="G89" s="1">
        <f>SUM('UPS RATES'!G89-'FedEx Rates'!G88)</f>
        <v>33.13000000000001</v>
      </c>
      <c r="H89" s="1">
        <f>SUM('UPS RATES'!H89-'FedEx Rates'!H88)</f>
        <v>33.790000000000006</v>
      </c>
      <c r="I89" s="1">
        <f>SUM('UPS RATES'!I89-'FedEx Rates'!I88)</f>
        <v>10.919999999999998</v>
      </c>
      <c r="J89" s="1">
        <f>SUM('UPS RATES'!J89-'FedEx Rates'!J88)</f>
        <v>14.04</v>
      </c>
      <c r="K89" s="1">
        <f>SUM('UPS RATES'!K89-'FedEx Rates'!K88)</f>
        <v>16.100000000000001</v>
      </c>
      <c r="L89" s="1">
        <f>SUM('UPS RATES'!L89-'FedEx Rates'!L88)</f>
        <v>24.539999999999992</v>
      </c>
      <c r="M89" s="1">
        <f>SUM('UPS RATES'!M89-'FedEx Rates'!M88)</f>
        <v>45.39</v>
      </c>
      <c r="N89" s="1">
        <f>SUM('UPS RATES'!N89-'FedEx Rates'!N88)</f>
        <v>51.720000000000013</v>
      </c>
      <c r="O89" s="1">
        <f>SUM('UPS RATES'!O89-'FedEx Rates'!O88)</f>
        <v>51.350000000000009</v>
      </c>
      <c r="P89" s="1">
        <f>SUM('UPS RATES'!P89-'FedEx Rates'!P88)</f>
        <v>4.490000000000002</v>
      </c>
      <c r="Q89" s="1">
        <f>SUM('UPS RATES'!Q89-'FedEx Rates'!Q88)</f>
        <v>4.93</v>
      </c>
      <c r="R89" s="1">
        <f>SUM('UPS RATES'!R89-'FedEx Rates'!R88)</f>
        <v>5.3900000000000006</v>
      </c>
      <c r="S89" s="1">
        <f>SUM('UPS RATES'!S89-'FedEx Rates'!S88)</f>
        <v>6.129999999999999</v>
      </c>
      <c r="T89" s="1">
        <f>SUM('UPS RATES'!T89-'FedEx Rates'!T88)</f>
        <v>7.41</v>
      </c>
      <c r="U89" s="1">
        <f>SUM('UPS RATES'!U89-'FedEx Rates'!U88)</f>
        <v>8.6900000000000013</v>
      </c>
      <c r="V89" s="1">
        <f>SUM('UPS RATES'!V89-'FedEx Rates'!V88)</f>
        <v>8.990000000000002</v>
      </c>
      <c r="W89" s="1">
        <f>SUM('UPS RATES'!W89-'FedEx Rates'!W88)</f>
        <v>23.770000000000003</v>
      </c>
      <c r="X89" s="1">
        <f>SUM('UPS RATES'!X89-'FedEx Rates'!X88)</f>
        <v>33.78</v>
      </c>
      <c r="Y89" s="1">
        <f>SUM('UPS RATES'!Y89-'FedEx Rates'!Y88)</f>
        <v>57.800000000000004</v>
      </c>
      <c r="Z89" s="1">
        <f>SUM('UPS RATES'!Z89-'FedEx Rates'!Z88)</f>
        <v>64.419999999999987</v>
      </c>
      <c r="AA89" s="1">
        <f>SUM('UPS RATES'!AA89-'FedEx Rates'!AA88)</f>
        <v>64.510000000000005</v>
      </c>
      <c r="AB89" s="1">
        <f>SUM('UPS RATES'!AB89-'FedEx Rates'!AB88)</f>
        <v>72.879999999999981</v>
      </c>
      <c r="AC89" s="1">
        <f>SUM('UPS RATES'!AC89-'FedEx Rates'!AC88)</f>
        <v>73.250000000000014</v>
      </c>
    </row>
    <row r="90" spans="1:29" x14ac:dyDescent="0.25">
      <c r="A90">
        <v>88</v>
      </c>
      <c r="B90" s="1">
        <f>SUM('UPS RATES'!B90-'FedEx Rates'!B89)</f>
        <v>8.8299999999999983</v>
      </c>
      <c r="C90" s="1">
        <f>SUM('UPS RATES'!C90-'FedEx Rates'!C89)</f>
        <v>10.799999999999997</v>
      </c>
      <c r="D90" s="1">
        <f>SUM('UPS RATES'!D90-'FedEx Rates'!D89)</f>
        <v>12.370000000000005</v>
      </c>
      <c r="E90" s="1">
        <f>SUM('UPS RATES'!E90-'FedEx Rates'!E89)</f>
        <v>18.71</v>
      </c>
      <c r="F90" s="1">
        <f>SUM('UPS RATES'!F90-'FedEx Rates'!F89)</f>
        <v>30.789999999999992</v>
      </c>
      <c r="G90" s="1">
        <f>SUM('UPS RATES'!G90-'FedEx Rates'!G89)</f>
        <v>33.379999999999995</v>
      </c>
      <c r="H90" s="1">
        <f>SUM('UPS RATES'!H90-'FedEx Rates'!H89)</f>
        <v>34.049999999999997</v>
      </c>
      <c r="I90" s="1">
        <f>SUM('UPS RATES'!I90-'FedEx Rates'!I89)</f>
        <v>10.779999999999998</v>
      </c>
      <c r="J90" s="1">
        <f>SUM('UPS RATES'!J90-'FedEx Rates'!J89)</f>
        <v>14.5</v>
      </c>
      <c r="K90" s="1">
        <f>SUM('UPS RATES'!K90-'FedEx Rates'!K89)</f>
        <v>16.229999999999997</v>
      </c>
      <c r="L90" s="1">
        <f>SUM('UPS RATES'!L90-'FedEx Rates'!L89)</f>
        <v>25.4</v>
      </c>
      <c r="M90" s="1">
        <f>SUM('UPS RATES'!M90-'FedEx Rates'!M89)</f>
        <v>45.3</v>
      </c>
      <c r="N90" s="1">
        <f>SUM('UPS RATES'!N90-'FedEx Rates'!N89)</f>
        <v>51.59999999999998</v>
      </c>
      <c r="O90" s="1">
        <f>SUM('UPS RATES'!O90-'FedEx Rates'!O89)</f>
        <v>52.569999999999993</v>
      </c>
      <c r="P90" s="1">
        <f>SUM('UPS RATES'!P90-'FedEx Rates'!P89)</f>
        <v>4.68</v>
      </c>
      <c r="Q90" s="1">
        <f>SUM('UPS RATES'!Q90-'FedEx Rates'!Q89)</f>
        <v>5.0500000000000007</v>
      </c>
      <c r="R90" s="1">
        <f>SUM('UPS RATES'!R90-'FedEx Rates'!R89)</f>
        <v>5.57</v>
      </c>
      <c r="S90" s="1">
        <f>SUM('UPS RATES'!S90-'FedEx Rates'!S89)</f>
        <v>6.32</v>
      </c>
      <c r="T90" s="1">
        <f>SUM('UPS RATES'!T90-'FedEx Rates'!T89)</f>
        <v>7.4400000000000013</v>
      </c>
      <c r="U90" s="1">
        <f>SUM('UPS RATES'!U90-'FedEx Rates'!U89)</f>
        <v>8.6999999999999993</v>
      </c>
      <c r="V90" s="1">
        <f>SUM('UPS RATES'!V90-'FedEx Rates'!V89)</f>
        <v>9.0900000000000034</v>
      </c>
      <c r="W90" s="1">
        <f>SUM('UPS RATES'!W90-'FedEx Rates'!W89)</f>
        <v>23.860000000000003</v>
      </c>
      <c r="X90" s="1">
        <f>SUM('UPS RATES'!X90-'FedEx Rates'!X89)</f>
        <v>33.850000000000009</v>
      </c>
      <c r="Y90" s="1">
        <f>SUM('UPS RATES'!Y90-'FedEx Rates'!Y89)</f>
        <v>57.99</v>
      </c>
      <c r="Z90" s="1">
        <f>SUM('UPS RATES'!Z90-'FedEx Rates'!Z89)</f>
        <v>64.459999999999994</v>
      </c>
      <c r="AA90" s="1">
        <f>SUM('UPS RATES'!AA90-'FedEx Rates'!AA89)</f>
        <v>64.680000000000007</v>
      </c>
      <c r="AB90" s="1">
        <f>SUM('UPS RATES'!AB90-'FedEx Rates'!AB89)</f>
        <v>73.149999999999991</v>
      </c>
      <c r="AC90" s="1">
        <f>SUM('UPS RATES'!AC90-'FedEx Rates'!AC89)</f>
        <v>73.61999999999999</v>
      </c>
    </row>
    <row r="91" spans="1:29" x14ac:dyDescent="0.25">
      <c r="A91">
        <v>89</v>
      </c>
      <c r="B91" s="1">
        <f>SUM('UPS RATES'!B91-'FedEx Rates'!B90)</f>
        <v>8.8699999999999974</v>
      </c>
      <c r="C91" s="1">
        <f>SUM('UPS RATES'!C91-'FedEx Rates'!C90)</f>
        <v>10.669999999999995</v>
      </c>
      <c r="D91" s="1">
        <f>SUM('UPS RATES'!D91-'FedEx Rates'!D90)</f>
        <v>12.420000000000002</v>
      </c>
      <c r="E91" s="1">
        <f>SUM('UPS RATES'!E91-'FedEx Rates'!E90)</f>
        <v>18.779999999999994</v>
      </c>
      <c r="F91" s="1">
        <f>SUM('UPS RATES'!F91-'FedEx Rates'!F90)</f>
        <v>31.17</v>
      </c>
      <c r="G91" s="1">
        <f>SUM('UPS RATES'!G91-'FedEx Rates'!G90)</f>
        <v>33.449999999999989</v>
      </c>
      <c r="H91" s="1">
        <f>SUM('UPS RATES'!H91-'FedEx Rates'!H90)</f>
        <v>34.109999999999985</v>
      </c>
      <c r="I91" s="1">
        <f>SUM('UPS RATES'!I91-'FedEx Rates'!I90)</f>
        <v>10.630000000000003</v>
      </c>
      <c r="J91" s="1">
        <f>SUM('UPS RATES'!J91-'FedEx Rates'!J90)</f>
        <v>15.009999999999998</v>
      </c>
      <c r="K91" s="1">
        <f>SUM('UPS RATES'!K91-'FedEx Rates'!K90)</f>
        <v>16.599999999999994</v>
      </c>
      <c r="L91" s="1">
        <f>SUM('UPS RATES'!L91-'FedEx Rates'!L90)</f>
        <v>25.999999999999993</v>
      </c>
      <c r="M91" s="1">
        <f>SUM('UPS RATES'!M91-'FedEx Rates'!M90)</f>
        <v>46.69</v>
      </c>
      <c r="N91" s="1">
        <f>SUM('UPS RATES'!N91-'FedEx Rates'!N90)</f>
        <v>53.070000000000007</v>
      </c>
      <c r="O91" s="1">
        <f>SUM('UPS RATES'!O91-'FedEx Rates'!O90)</f>
        <v>53.77000000000001</v>
      </c>
      <c r="P91" s="1">
        <f>SUM('UPS RATES'!P91-'FedEx Rates'!P90)</f>
        <v>4.8900000000000006</v>
      </c>
      <c r="Q91" s="1">
        <f>SUM('UPS RATES'!Q91-'FedEx Rates'!Q90)</f>
        <v>5.18</v>
      </c>
      <c r="R91" s="1">
        <f>SUM('UPS RATES'!R91-'FedEx Rates'!R90)</f>
        <v>5.6899999999999977</v>
      </c>
      <c r="S91" s="1">
        <f>SUM('UPS RATES'!S91-'FedEx Rates'!S90)</f>
        <v>6.3599999999999994</v>
      </c>
      <c r="T91" s="1">
        <f>SUM('UPS RATES'!T91-'FedEx Rates'!T90)</f>
        <v>7.6000000000000014</v>
      </c>
      <c r="U91" s="1">
        <f>SUM('UPS RATES'!U91-'FedEx Rates'!U90)</f>
        <v>8.779999999999994</v>
      </c>
      <c r="V91" s="1">
        <f>SUM('UPS RATES'!V91-'FedEx Rates'!V90)</f>
        <v>9.2899999999999991</v>
      </c>
      <c r="W91" s="1">
        <f>SUM('UPS RATES'!W91-'FedEx Rates'!W90)</f>
        <v>23.96</v>
      </c>
      <c r="X91" s="1">
        <f>SUM('UPS RATES'!X91-'FedEx Rates'!X90)</f>
        <v>33.92</v>
      </c>
      <c r="Y91" s="1">
        <f>SUM('UPS RATES'!Y91-'FedEx Rates'!Y90)</f>
        <v>60.4</v>
      </c>
      <c r="Z91" s="1">
        <f>SUM('UPS RATES'!Z91-'FedEx Rates'!Z90)</f>
        <v>66.139999999999986</v>
      </c>
      <c r="AA91" s="1">
        <f>SUM('UPS RATES'!AA91-'FedEx Rates'!AA90)</f>
        <v>67.97</v>
      </c>
      <c r="AB91" s="1">
        <f>SUM('UPS RATES'!AB91-'FedEx Rates'!AB90)</f>
        <v>77.740000000000009</v>
      </c>
      <c r="AC91" s="1">
        <f>SUM('UPS RATES'!AC91-'FedEx Rates'!AC90)</f>
        <v>81.199999999999989</v>
      </c>
    </row>
    <row r="92" spans="1:29" x14ac:dyDescent="0.25">
      <c r="A92">
        <v>90</v>
      </c>
      <c r="B92" s="1">
        <f>SUM('UPS RATES'!B92-'FedEx Rates'!B91)</f>
        <v>8.93</v>
      </c>
      <c r="C92" s="1">
        <f>SUM('UPS RATES'!C92-'FedEx Rates'!C91)</f>
        <v>10.520000000000003</v>
      </c>
      <c r="D92" s="1">
        <f>SUM('UPS RATES'!D92-'FedEx Rates'!D91)</f>
        <v>12.469999999999999</v>
      </c>
      <c r="E92" s="1">
        <f>SUM('UPS RATES'!E92-'FedEx Rates'!E91)</f>
        <v>18.840000000000003</v>
      </c>
      <c r="F92" s="1">
        <f>SUM('UPS RATES'!F92-'FedEx Rates'!F91)</f>
        <v>31.499999999999986</v>
      </c>
      <c r="G92" s="1">
        <f>SUM('UPS RATES'!G92-'FedEx Rates'!G91)</f>
        <v>33.500000000000014</v>
      </c>
      <c r="H92" s="1">
        <f>SUM('UPS RATES'!H92-'FedEx Rates'!H91)</f>
        <v>34.17</v>
      </c>
      <c r="I92" s="1">
        <f>SUM('UPS RATES'!I92-'FedEx Rates'!I91)</f>
        <v>10.479999999999997</v>
      </c>
      <c r="J92" s="1">
        <f>SUM('UPS RATES'!J92-'FedEx Rates'!J91)</f>
        <v>15.409999999999997</v>
      </c>
      <c r="K92" s="1">
        <f>SUM('UPS RATES'!K92-'FedEx Rates'!K91)</f>
        <v>17.200000000000003</v>
      </c>
      <c r="L92" s="1">
        <f>SUM('UPS RATES'!L92-'FedEx Rates'!L91)</f>
        <v>26.85</v>
      </c>
      <c r="M92" s="1">
        <f>SUM('UPS RATES'!M92-'FedEx Rates'!M91)</f>
        <v>48.099999999999994</v>
      </c>
      <c r="N92" s="1">
        <f>SUM('UPS RATES'!N92-'FedEx Rates'!N91)</f>
        <v>53.41</v>
      </c>
      <c r="O92" s="1">
        <f>SUM('UPS RATES'!O92-'FedEx Rates'!O91)</f>
        <v>55.100000000000009</v>
      </c>
      <c r="P92" s="1">
        <f>SUM('UPS RATES'!P92-'FedEx Rates'!P91)</f>
        <v>5.18</v>
      </c>
      <c r="Q92" s="1">
        <f>SUM('UPS RATES'!Q92-'FedEx Rates'!Q91)</f>
        <v>5.41</v>
      </c>
      <c r="R92" s="1">
        <f>SUM('UPS RATES'!R92-'FedEx Rates'!R91)</f>
        <v>5.8999999999999986</v>
      </c>
      <c r="S92" s="1">
        <f>SUM('UPS RATES'!S92-'FedEx Rates'!S91)</f>
        <v>6.5399999999999991</v>
      </c>
      <c r="T92" s="1">
        <f>SUM('UPS RATES'!T92-'FedEx Rates'!T91)</f>
        <v>7.7199999999999989</v>
      </c>
      <c r="U92" s="1">
        <f>SUM('UPS RATES'!U92-'FedEx Rates'!U91)</f>
        <v>8.980000000000004</v>
      </c>
      <c r="V92" s="1">
        <f>SUM('UPS RATES'!V92-'FedEx Rates'!V91)</f>
        <v>9.4699999999999989</v>
      </c>
      <c r="W92" s="1">
        <f>SUM('UPS RATES'!W92-'FedEx Rates'!W91)</f>
        <v>24.05</v>
      </c>
      <c r="X92" s="1">
        <f>SUM('UPS RATES'!X92-'FedEx Rates'!X91)</f>
        <v>34</v>
      </c>
      <c r="Y92" s="1">
        <f>SUM('UPS RATES'!Y92-'FedEx Rates'!Y91)</f>
        <v>62.099999999999994</v>
      </c>
      <c r="Z92" s="1">
        <f>SUM('UPS RATES'!Z92-'FedEx Rates'!Z91)</f>
        <v>66.519999999999982</v>
      </c>
      <c r="AA92" s="1">
        <f>SUM('UPS RATES'!AA92-'FedEx Rates'!AA91)</f>
        <v>68.819999999999993</v>
      </c>
      <c r="AB92" s="1">
        <f>SUM('UPS RATES'!AB92-'FedEx Rates'!AB91)</f>
        <v>81.300000000000011</v>
      </c>
      <c r="AC92" s="1">
        <f>SUM('UPS RATES'!AC92-'FedEx Rates'!AC91)</f>
        <v>82.76</v>
      </c>
    </row>
    <row r="93" spans="1:29" x14ac:dyDescent="0.25">
      <c r="A93">
        <v>91</v>
      </c>
      <c r="B93" s="1">
        <f>SUM('UPS RATES'!B93-'FedEx Rates'!B92)</f>
        <v>8.9799999999999969</v>
      </c>
      <c r="C93" s="1">
        <f>SUM('UPS RATES'!C93-'FedEx Rates'!C92)</f>
        <v>10.54</v>
      </c>
      <c r="D93" s="1">
        <f>SUM('UPS RATES'!D93-'FedEx Rates'!D92)</f>
        <v>12.530000000000001</v>
      </c>
      <c r="E93" s="1">
        <f>SUM('UPS RATES'!E93-'FedEx Rates'!E92)</f>
        <v>18.889999999999993</v>
      </c>
      <c r="F93" s="1">
        <f>SUM('UPS RATES'!F93-'FedEx Rates'!F92)</f>
        <v>31.560000000000002</v>
      </c>
      <c r="G93" s="1">
        <f>SUM('UPS RATES'!G93-'FedEx Rates'!G92)</f>
        <v>33.550000000000011</v>
      </c>
      <c r="H93" s="1">
        <f>SUM('UPS RATES'!H93-'FedEx Rates'!H92)</f>
        <v>34.230000000000004</v>
      </c>
      <c r="I93" s="1">
        <f>SUM('UPS RATES'!I93-'FedEx Rates'!I92)</f>
        <v>12.140000000000004</v>
      </c>
      <c r="J93" s="1">
        <f>SUM('UPS RATES'!J93-'FedEx Rates'!J92)</f>
        <v>15.579999999999998</v>
      </c>
      <c r="K93" s="1">
        <f>SUM('UPS RATES'!K93-'FedEx Rates'!K92)</f>
        <v>17.399999999999999</v>
      </c>
      <c r="L93" s="1">
        <f>SUM('UPS RATES'!L93-'FedEx Rates'!L92)</f>
        <v>27.36999999999999</v>
      </c>
      <c r="M93" s="1">
        <f>SUM('UPS RATES'!M93-'FedEx Rates'!M92)</f>
        <v>47.960000000000008</v>
      </c>
      <c r="N93" s="1">
        <f>SUM('UPS RATES'!N93-'FedEx Rates'!N92)</f>
        <v>53.900000000000006</v>
      </c>
      <c r="O93" s="1">
        <f>SUM('UPS RATES'!O93-'FedEx Rates'!O92)</f>
        <v>57.350000000000009</v>
      </c>
      <c r="P93" s="1">
        <f>SUM('UPS RATES'!P93-'FedEx Rates'!P92)</f>
        <v>5.1700000000000017</v>
      </c>
      <c r="Q93" s="1">
        <f>SUM('UPS RATES'!Q93-'FedEx Rates'!Q92)</f>
        <v>5.4099999999999966</v>
      </c>
      <c r="R93" s="1">
        <f>SUM('UPS RATES'!R93-'FedEx Rates'!R92)</f>
        <v>5.9000000000000021</v>
      </c>
      <c r="S93" s="1">
        <f>SUM('UPS RATES'!S93-'FedEx Rates'!S92)</f>
        <v>6.5600000000000023</v>
      </c>
      <c r="T93" s="1">
        <f>SUM('UPS RATES'!T93-'FedEx Rates'!T92)</f>
        <v>7.730000000000004</v>
      </c>
      <c r="U93" s="1">
        <f>SUM('UPS RATES'!U93-'FedEx Rates'!U92)</f>
        <v>8.990000000000002</v>
      </c>
      <c r="V93" s="1">
        <f>SUM('UPS RATES'!V93-'FedEx Rates'!V92)</f>
        <v>9.4699999999999989</v>
      </c>
      <c r="W93" s="1">
        <f>SUM('UPS RATES'!W93-'FedEx Rates'!W92)</f>
        <v>24.169999999999998</v>
      </c>
      <c r="X93" s="1">
        <f>SUM('UPS RATES'!X93-'FedEx Rates'!X92)</f>
        <v>34.069999999999993</v>
      </c>
      <c r="Y93" s="1">
        <f>SUM('UPS RATES'!Y93-'FedEx Rates'!Y92)</f>
        <v>62.269999999999996</v>
      </c>
      <c r="Z93" s="1">
        <f>SUM('UPS RATES'!Z93-'FedEx Rates'!Z92)</f>
        <v>66.610000000000014</v>
      </c>
      <c r="AA93" s="1">
        <f>SUM('UPS RATES'!AA93-'FedEx Rates'!AA92)</f>
        <v>68.910000000000011</v>
      </c>
      <c r="AB93" s="1">
        <f>SUM('UPS RATES'!AB93-'FedEx Rates'!AB92)</f>
        <v>81.650000000000006</v>
      </c>
      <c r="AC93" s="1">
        <f>SUM('UPS RATES'!AC93-'FedEx Rates'!AC92)</f>
        <v>82.919999999999987</v>
      </c>
    </row>
    <row r="94" spans="1:29" x14ac:dyDescent="0.25">
      <c r="A94">
        <v>92</v>
      </c>
      <c r="B94" s="1">
        <f>SUM('UPS RATES'!B94-'FedEx Rates'!B93)</f>
        <v>9.0400000000000027</v>
      </c>
      <c r="C94" s="1">
        <f>SUM('UPS RATES'!C94-'FedEx Rates'!C93)</f>
        <v>10.61</v>
      </c>
      <c r="D94" s="1">
        <f>SUM('UPS RATES'!D94-'FedEx Rates'!D93)</f>
        <v>12.589999999999996</v>
      </c>
      <c r="E94" s="1">
        <f>SUM('UPS RATES'!E94-'FedEx Rates'!E93)</f>
        <v>18.950000000000003</v>
      </c>
      <c r="F94" s="1">
        <f>SUM('UPS RATES'!F94-'FedEx Rates'!F93)</f>
        <v>31.61</v>
      </c>
      <c r="G94" s="1">
        <f>SUM('UPS RATES'!G94-'FedEx Rates'!G93)</f>
        <v>33.610000000000014</v>
      </c>
      <c r="H94" s="1">
        <f>SUM('UPS RATES'!H94-'FedEx Rates'!H93)</f>
        <v>34.279999999999987</v>
      </c>
      <c r="I94" s="1">
        <f>SUM('UPS RATES'!I94-'FedEx Rates'!I93)</f>
        <v>12.07</v>
      </c>
      <c r="J94" s="1">
        <f>SUM('UPS RATES'!J94-'FedEx Rates'!J93)</f>
        <v>15.440000000000005</v>
      </c>
      <c r="K94" s="1">
        <f>SUM('UPS RATES'!K94-'FedEx Rates'!K93)</f>
        <v>17.739999999999995</v>
      </c>
      <c r="L94" s="1">
        <f>SUM('UPS RATES'!L94-'FedEx Rates'!L93)</f>
        <v>28.220000000000006</v>
      </c>
      <c r="M94" s="1">
        <f>SUM('UPS RATES'!M94-'FedEx Rates'!M93)</f>
        <v>48.36</v>
      </c>
      <c r="N94" s="1">
        <f>SUM('UPS RATES'!N94-'FedEx Rates'!N93)</f>
        <v>54.169999999999987</v>
      </c>
      <c r="O94" s="1">
        <f>SUM('UPS RATES'!O94-'FedEx Rates'!O93)</f>
        <v>58.91</v>
      </c>
      <c r="P94" s="1">
        <f>SUM('UPS RATES'!P94-'FedEx Rates'!P93)</f>
        <v>5.2799999999999976</v>
      </c>
      <c r="Q94" s="1">
        <f>SUM('UPS RATES'!Q94-'FedEx Rates'!Q93)</f>
        <v>5.4399999999999977</v>
      </c>
      <c r="R94" s="1">
        <f>SUM('UPS RATES'!R94-'FedEx Rates'!R93)</f>
        <v>5.93</v>
      </c>
      <c r="S94" s="1">
        <f>SUM('UPS RATES'!S94-'FedEx Rates'!S93)</f>
        <v>6.5599999999999987</v>
      </c>
      <c r="T94" s="1">
        <f>SUM('UPS RATES'!T94-'FedEx Rates'!T93)</f>
        <v>7.7600000000000016</v>
      </c>
      <c r="U94" s="1">
        <f>SUM('UPS RATES'!U94-'FedEx Rates'!U93)</f>
        <v>8.9899999999999949</v>
      </c>
      <c r="V94" s="1">
        <f>SUM('UPS RATES'!V94-'FedEx Rates'!V93)</f>
        <v>9.4399999999999977</v>
      </c>
      <c r="W94" s="1">
        <f>SUM('UPS RATES'!W94-'FedEx Rates'!W93)</f>
        <v>24.249999999999996</v>
      </c>
      <c r="X94" s="1">
        <f>SUM('UPS RATES'!X94-'FedEx Rates'!X93)</f>
        <v>34.150000000000006</v>
      </c>
      <c r="Y94" s="1">
        <f>SUM('UPS RATES'!Y94-'FedEx Rates'!Y93)</f>
        <v>62.36</v>
      </c>
      <c r="Z94" s="1">
        <f>SUM('UPS RATES'!Z94-'FedEx Rates'!Z93)</f>
        <v>66.7</v>
      </c>
      <c r="AA94" s="1">
        <f>SUM('UPS RATES'!AA94-'FedEx Rates'!AA93)</f>
        <v>69.06</v>
      </c>
      <c r="AB94" s="1">
        <f>SUM('UPS RATES'!AB94-'FedEx Rates'!AB93)</f>
        <v>81.750000000000014</v>
      </c>
      <c r="AC94" s="1">
        <f>SUM('UPS RATES'!AC94-'FedEx Rates'!AC93)</f>
        <v>83.02</v>
      </c>
    </row>
    <row r="95" spans="1:29" x14ac:dyDescent="0.25">
      <c r="A95">
        <v>93</v>
      </c>
      <c r="B95" s="1">
        <f>SUM('UPS RATES'!B95-'FedEx Rates'!B94)</f>
        <v>9.09</v>
      </c>
      <c r="C95" s="1">
        <f>SUM('UPS RATES'!C95-'FedEx Rates'!C94)</f>
        <v>10.659999999999997</v>
      </c>
      <c r="D95" s="1">
        <f>SUM('UPS RATES'!D95-'FedEx Rates'!D94)</f>
        <v>13.020000000000003</v>
      </c>
      <c r="E95" s="1">
        <f>SUM('UPS RATES'!E95-'FedEx Rates'!E94)</f>
        <v>19</v>
      </c>
      <c r="F95" s="1">
        <f>SUM('UPS RATES'!F95-'FedEx Rates'!F94)</f>
        <v>31.659999999999997</v>
      </c>
      <c r="G95" s="1">
        <f>SUM('UPS RATES'!G95-'FedEx Rates'!G94)</f>
        <v>33.659999999999997</v>
      </c>
      <c r="H95" s="1">
        <f>SUM('UPS RATES'!H95-'FedEx Rates'!H94)</f>
        <v>34.329999999999984</v>
      </c>
      <c r="I95" s="1">
        <f>SUM('UPS RATES'!I95-'FedEx Rates'!I94)</f>
        <v>11.93</v>
      </c>
      <c r="J95" s="1">
        <f>SUM('UPS RATES'!J95-'FedEx Rates'!J94)</f>
        <v>15.280000000000001</v>
      </c>
      <c r="K95" s="1">
        <f>SUM('UPS RATES'!K95-'FedEx Rates'!K94)</f>
        <v>18.309999999999995</v>
      </c>
      <c r="L95" s="1">
        <f>SUM('UPS RATES'!L95-'FedEx Rates'!L94)</f>
        <v>28.599999999999994</v>
      </c>
      <c r="M95" s="1">
        <f>SUM('UPS RATES'!M95-'FedEx Rates'!M94)</f>
        <v>48.25</v>
      </c>
      <c r="N95" s="1">
        <f>SUM('UPS RATES'!N95-'FedEx Rates'!N94)</f>
        <v>57.680000000000007</v>
      </c>
      <c r="O95" s="1">
        <f>SUM('UPS RATES'!O95-'FedEx Rates'!O94)</f>
        <v>60.400000000000006</v>
      </c>
      <c r="P95" s="1">
        <f>SUM('UPS RATES'!P95-'FedEx Rates'!P94)</f>
        <v>5.3699999999999974</v>
      </c>
      <c r="Q95" s="1">
        <f>SUM('UPS RATES'!Q95-'FedEx Rates'!Q94)</f>
        <v>5.52</v>
      </c>
      <c r="R95" s="1">
        <f>SUM('UPS RATES'!R95-'FedEx Rates'!R94)</f>
        <v>6.07</v>
      </c>
      <c r="S95" s="1">
        <f>SUM('UPS RATES'!S95-'FedEx Rates'!S94)</f>
        <v>6.6300000000000026</v>
      </c>
      <c r="T95" s="1">
        <f>SUM('UPS RATES'!T95-'FedEx Rates'!T94)</f>
        <v>7.8300000000000018</v>
      </c>
      <c r="U95" s="1">
        <f>SUM('UPS RATES'!U95-'FedEx Rates'!U94)</f>
        <v>8.9899999999999949</v>
      </c>
      <c r="V95" s="1">
        <f>SUM('UPS RATES'!V95-'FedEx Rates'!V94)</f>
        <v>9.5</v>
      </c>
      <c r="W95" s="1">
        <f>SUM('UPS RATES'!W95-'FedEx Rates'!W94)</f>
        <v>24.319999999999997</v>
      </c>
      <c r="X95" s="1">
        <f>SUM('UPS RATES'!X95-'FedEx Rates'!X94)</f>
        <v>34.22</v>
      </c>
      <c r="Y95" s="1">
        <f>SUM('UPS RATES'!Y95-'FedEx Rates'!Y94)</f>
        <v>62.42</v>
      </c>
      <c r="Z95" s="1">
        <f>SUM('UPS RATES'!Z95-'FedEx Rates'!Z94)</f>
        <v>66.789999999999992</v>
      </c>
      <c r="AA95" s="1">
        <f>SUM('UPS RATES'!AA95-'FedEx Rates'!AA94)</f>
        <v>69.159999999999982</v>
      </c>
      <c r="AB95" s="1">
        <f>SUM('UPS RATES'!AB95-'FedEx Rates'!AB94)</f>
        <v>81.819999999999993</v>
      </c>
      <c r="AC95" s="1">
        <f>SUM('UPS RATES'!AC95-'FedEx Rates'!AC94)</f>
        <v>83.11999999999999</v>
      </c>
    </row>
    <row r="96" spans="1:29" x14ac:dyDescent="0.25">
      <c r="A96">
        <v>94</v>
      </c>
      <c r="B96" s="1">
        <f>SUM('UPS RATES'!B96-'FedEx Rates'!B95)</f>
        <v>9.1500000000000021</v>
      </c>
      <c r="C96" s="1">
        <f>SUM('UPS RATES'!C96-'FedEx Rates'!C95)</f>
        <v>10.71</v>
      </c>
      <c r="D96" s="1">
        <f>SUM('UPS RATES'!D96-'FedEx Rates'!D95)</f>
        <v>12.880000000000003</v>
      </c>
      <c r="E96" s="1">
        <f>SUM('UPS RATES'!E96-'FedEx Rates'!E95)</f>
        <v>19.050000000000004</v>
      </c>
      <c r="F96" s="1">
        <f>SUM('UPS RATES'!F96-'FedEx Rates'!F95)</f>
        <v>31.709999999999994</v>
      </c>
      <c r="G96" s="1">
        <f>SUM('UPS RATES'!G96-'FedEx Rates'!G95)</f>
        <v>33.72999999999999</v>
      </c>
      <c r="H96" s="1">
        <f>SUM('UPS RATES'!H96-'FedEx Rates'!H95)</f>
        <v>34.399999999999991</v>
      </c>
      <c r="I96" s="1">
        <f>SUM('UPS RATES'!I96-'FedEx Rates'!I95)</f>
        <v>11.8</v>
      </c>
      <c r="J96" s="1">
        <f>SUM('UPS RATES'!J96-'FedEx Rates'!J95)</f>
        <v>15.170000000000002</v>
      </c>
      <c r="K96" s="1">
        <f>SUM('UPS RATES'!K96-'FedEx Rates'!K95)</f>
        <v>18.770000000000003</v>
      </c>
      <c r="L96" s="1">
        <f>SUM('UPS RATES'!L96-'FedEx Rates'!L95)</f>
        <v>30.289999999999992</v>
      </c>
      <c r="M96" s="1">
        <f>SUM('UPS RATES'!M96-'FedEx Rates'!M95)</f>
        <v>50.620000000000005</v>
      </c>
      <c r="N96" s="1">
        <f>SUM('UPS RATES'!N96-'FedEx Rates'!N95)</f>
        <v>58.249999999999986</v>
      </c>
      <c r="O96" s="1">
        <f>SUM('UPS RATES'!O96-'FedEx Rates'!O95)</f>
        <v>62.08</v>
      </c>
      <c r="P96" s="1">
        <f>SUM('UPS RATES'!P96-'FedEx Rates'!P95)</f>
        <v>5.3999999999999986</v>
      </c>
      <c r="Q96" s="1">
        <f>SUM('UPS RATES'!Q96-'FedEx Rates'!Q95)</f>
        <v>5.66</v>
      </c>
      <c r="R96" s="1">
        <f>SUM('UPS RATES'!R96-'FedEx Rates'!R95)</f>
        <v>6.09</v>
      </c>
      <c r="S96" s="1">
        <f>SUM('UPS RATES'!S96-'FedEx Rates'!S95)</f>
        <v>6.7099999999999973</v>
      </c>
      <c r="T96" s="1">
        <f>SUM('UPS RATES'!T96-'FedEx Rates'!T95)</f>
        <v>7.9999999999999964</v>
      </c>
      <c r="U96" s="1">
        <f>SUM('UPS RATES'!U96-'FedEx Rates'!U95)</f>
        <v>8.990000000000002</v>
      </c>
      <c r="V96" s="1">
        <f>SUM('UPS RATES'!V96-'FedEx Rates'!V95)</f>
        <v>9.68</v>
      </c>
      <c r="W96" s="1">
        <f>SUM('UPS RATES'!W96-'FedEx Rates'!W95)</f>
        <v>24.400000000000002</v>
      </c>
      <c r="X96" s="1">
        <f>SUM('UPS RATES'!X96-'FedEx Rates'!X95)</f>
        <v>34.299999999999997</v>
      </c>
      <c r="Y96" s="1">
        <f>SUM('UPS RATES'!Y96-'FedEx Rates'!Y95)</f>
        <v>62.509999999999991</v>
      </c>
      <c r="Z96" s="1">
        <f>SUM('UPS RATES'!Z96-'FedEx Rates'!Z95)</f>
        <v>66.860000000000014</v>
      </c>
      <c r="AA96" s="1">
        <f>SUM('UPS RATES'!AA96-'FedEx Rates'!AA95)</f>
        <v>69.240000000000009</v>
      </c>
      <c r="AB96" s="1">
        <f>SUM('UPS RATES'!AB96-'FedEx Rates'!AB95)</f>
        <v>81.97</v>
      </c>
      <c r="AC96" s="1">
        <f>SUM('UPS RATES'!AC96-'FedEx Rates'!AC95)</f>
        <v>83.220000000000013</v>
      </c>
    </row>
    <row r="97" spans="1:29" x14ac:dyDescent="0.25">
      <c r="A97">
        <v>95</v>
      </c>
      <c r="B97" s="1">
        <f>SUM('UPS RATES'!B97-'FedEx Rates'!B96)</f>
        <v>9.1999999999999993</v>
      </c>
      <c r="C97" s="1">
        <f>SUM('UPS RATES'!C97-'FedEx Rates'!C96)</f>
        <v>10.759999999999998</v>
      </c>
      <c r="D97" s="1">
        <f>SUM('UPS RATES'!D97-'FedEx Rates'!D96)</f>
        <v>12.899999999999999</v>
      </c>
      <c r="E97" s="1">
        <f>SUM('UPS RATES'!E97-'FedEx Rates'!E96)</f>
        <v>19.120000000000005</v>
      </c>
      <c r="F97" s="1">
        <f>SUM('UPS RATES'!F97-'FedEx Rates'!F96)</f>
        <v>31.809999999999988</v>
      </c>
      <c r="G97" s="1">
        <f>SUM('UPS RATES'!G97-'FedEx Rates'!G96)</f>
        <v>34.009999999999991</v>
      </c>
      <c r="H97" s="1">
        <f>SUM('UPS RATES'!H97-'FedEx Rates'!H96)</f>
        <v>34.700000000000003</v>
      </c>
      <c r="I97" s="1">
        <f>SUM('UPS RATES'!I97-'FedEx Rates'!I96)</f>
        <v>11.620000000000001</v>
      </c>
      <c r="J97" s="1">
        <f>SUM('UPS RATES'!J97-'FedEx Rates'!J96)</f>
        <v>15.25</v>
      </c>
      <c r="K97" s="1">
        <f>SUM('UPS RATES'!K97-'FedEx Rates'!K96)</f>
        <v>18.979999999999997</v>
      </c>
      <c r="L97" s="1">
        <f>SUM('UPS RATES'!L97-'FedEx Rates'!L96)</f>
        <v>31.660000000000004</v>
      </c>
      <c r="M97" s="1">
        <f>SUM('UPS RATES'!M97-'FedEx Rates'!M96)</f>
        <v>51.36</v>
      </c>
      <c r="N97" s="1">
        <f>SUM('UPS RATES'!N97-'FedEx Rates'!N96)</f>
        <v>59.86999999999999</v>
      </c>
      <c r="O97" s="1">
        <f>SUM('UPS RATES'!O97-'FedEx Rates'!O96)</f>
        <v>66.67</v>
      </c>
      <c r="P97" s="1">
        <f>SUM('UPS RATES'!P97-'FedEx Rates'!P96)</f>
        <v>5.48</v>
      </c>
      <c r="Q97" s="1">
        <f>SUM('UPS RATES'!Q97-'FedEx Rates'!Q96)</f>
        <v>5.7199999999999989</v>
      </c>
      <c r="R97" s="1">
        <f>SUM('UPS RATES'!R97-'FedEx Rates'!R96)</f>
        <v>6.1400000000000006</v>
      </c>
      <c r="S97" s="1">
        <f>SUM('UPS RATES'!S97-'FedEx Rates'!S96)</f>
        <v>6.8000000000000007</v>
      </c>
      <c r="T97" s="1">
        <f>SUM('UPS RATES'!T97-'FedEx Rates'!T96)</f>
        <v>8.019999999999996</v>
      </c>
      <c r="U97" s="1">
        <f>SUM('UPS RATES'!U97-'FedEx Rates'!U96)</f>
        <v>9.019999999999996</v>
      </c>
      <c r="V97" s="1">
        <f>SUM('UPS RATES'!V97-'FedEx Rates'!V96)</f>
        <v>9.7899999999999991</v>
      </c>
      <c r="W97" s="1">
        <f>SUM('UPS RATES'!W97-'FedEx Rates'!W96)</f>
        <v>24.469999999999995</v>
      </c>
      <c r="X97" s="1">
        <f>SUM('UPS RATES'!X97-'FedEx Rates'!X96)</f>
        <v>34.36999999999999</v>
      </c>
      <c r="Y97" s="1">
        <f>SUM('UPS RATES'!Y97-'FedEx Rates'!Y96)</f>
        <v>62.579999999999991</v>
      </c>
      <c r="Z97" s="1">
        <f>SUM('UPS RATES'!Z97-'FedEx Rates'!Z96)</f>
        <v>67.339999999999989</v>
      </c>
      <c r="AA97" s="1">
        <f>SUM('UPS RATES'!AA97-'FedEx Rates'!AA96)</f>
        <v>69.340000000000018</v>
      </c>
      <c r="AB97" s="1">
        <f>SUM('UPS RATES'!AB97-'FedEx Rates'!AB96)</f>
        <v>82.07</v>
      </c>
      <c r="AC97" s="1">
        <f>SUM('UPS RATES'!AC97-'FedEx Rates'!AC96)</f>
        <v>83.310000000000016</v>
      </c>
    </row>
    <row r="98" spans="1:29" x14ac:dyDescent="0.25">
      <c r="A98">
        <v>96</v>
      </c>
      <c r="B98" s="1">
        <f>SUM('UPS RATES'!B98-'FedEx Rates'!B97)</f>
        <v>9.34</v>
      </c>
      <c r="C98" s="1">
        <f>SUM('UPS RATES'!C98-'FedEx Rates'!C97)</f>
        <v>10.82</v>
      </c>
      <c r="D98" s="1">
        <f>SUM('UPS RATES'!D98-'FedEx Rates'!D97)</f>
        <v>13.11</v>
      </c>
      <c r="E98" s="1">
        <f>SUM('UPS RATES'!E98-'FedEx Rates'!E97)</f>
        <v>19.449999999999996</v>
      </c>
      <c r="F98" s="1">
        <f>SUM('UPS RATES'!F98-'FedEx Rates'!F97)</f>
        <v>33.40000000000002</v>
      </c>
      <c r="G98" s="1">
        <f>SUM('UPS RATES'!G98-'FedEx Rates'!G97)</f>
        <v>34.070000000000007</v>
      </c>
      <c r="H98" s="1">
        <f>SUM('UPS RATES'!H98-'FedEx Rates'!H97)</f>
        <v>34.759999999999991</v>
      </c>
      <c r="I98" s="1">
        <f>SUM('UPS RATES'!I98-'FedEx Rates'!I97)</f>
        <v>11.100000000000001</v>
      </c>
      <c r="J98" s="1">
        <f>SUM('UPS RATES'!J98-'FedEx Rates'!J97)</f>
        <v>15.340000000000003</v>
      </c>
      <c r="K98" s="1">
        <f>SUM('UPS RATES'!K98-'FedEx Rates'!K97)</f>
        <v>17.860000000000007</v>
      </c>
      <c r="L98" s="1">
        <f>SUM('UPS RATES'!L98-'FedEx Rates'!L97)</f>
        <v>33.039999999999992</v>
      </c>
      <c r="M98" s="1">
        <f>SUM('UPS RATES'!M98-'FedEx Rates'!M97)</f>
        <v>46.839999999999989</v>
      </c>
      <c r="N98" s="1">
        <f>SUM('UPS RATES'!N98-'FedEx Rates'!N97)</f>
        <v>59.750000000000014</v>
      </c>
      <c r="O98" s="1">
        <f>SUM('UPS RATES'!O98-'FedEx Rates'!O97)</f>
        <v>63.900000000000006</v>
      </c>
      <c r="P98" s="1">
        <f>SUM('UPS RATES'!P98-'FedEx Rates'!P97)</f>
        <v>5.6499999999999986</v>
      </c>
      <c r="Q98" s="1">
        <f>SUM('UPS RATES'!Q98-'FedEx Rates'!Q97)</f>
        <v>5.75</v>
      </c>
      <c r="R98" s="1">
        <f>SUM('UPS RATES'!R98-'FedEx Rates'!R97)</f>
        <v>6.3599999999999994</v>
      </c>
      <c r="S98" s="1">
        <f>SUM('UPS RATES'!S98-'FedEx Rates'!S97)</f>
        <v>6.8800000000000026</v>
      </c>
      <c r="T98" s="1">
        <f>SUM('UPS RATES'!T98-'FedEx Rates'!T97)</f>
        <v>8.0300000000000011</v>
      </c>
      <c r="U98" s="1">
        <f>SUM('UPS RATES'!U98-'FedEx Rates'!U97)</f>
        <v>9.0200000000000031</v>
      </c>
      <c r="V98" s="1">
        <f>SUM('UPS RATES'!V98-'FedEx Rates'!V97)</f>
        <v>9.8800000000000026</v>
      </c>
      <c r="W98" s="1">
        <f>SUM('UPS RATES'!W98-'FedEx Rates'!W97)</f>
        <v>24.539999999999996</v>
      </c>
      <c r="X98" s="1">
        <f>SUM('UPS RATES'!X98-'FedEx Rates'!X97)</f>
        <v>35.11</v>
      </c>
      <c r="Y98" s="1">
        <f>SUM('UPS RATES'!Y98-'FedEx Rates'!Y97)</f>
        <v>62.649999999999991</v>
      </c>
      <c r="Z98" s="1">
        <f>SUM('UPS RATES'!Z98-'FedEx Rates'!Z97)</f>
        <v>67.790000000000006</v>
      </c>
      <c r="AA98" s="1">
        <f>SUM('UPS RATES'!AA98-'FedEx Rates'!AA97)</f>
        <v>69.88</v>
      </c>
      <c r="AB98" s="1">
        <f>SUM('UPS RATES'!AB98-'FedEx Rates'!AB97)</f>
        <v>82.49</v>
      </c>
      <c r="AC98" s="1">
        <f>SUM('UPS RATES'!AC98-'FedEx Rates'!AC97)</f>
        <v>83.41</v>
      </c>
    </row>
    <row r="99" spans="1:29" x14ac:dyDescent="0.25">
      <c r="A99">
        <v>97</v>
      </c>
      <c r="B99" s="1">
        <f>SUM('UPS RATES'!B99-'FedEx Rates'!B98)</f>
        <v>9.4000000000000021</v>
      </c>
      <c r="C99" s="1">
        <f>SUM('UPS RATES'!C99-'FedEx Rates'!C98)</f>
        <v>10.869999999999997</v>
      </c>
      <c r="D99" s="1">
        <f>SUM('UPS RATES'!D99-'FedEx Rates'!D98)</f>
        <v>13.419999999999995</v>
      </c>
      <c r="E99" s="1">
        <f>SUM('UPS RATES'!E99-'FedEx Rates'!E98)</f>
        <v>19.519999999999996</v>
      </c>
      <c r="F99" s="1">
        <f>SUM('UPS RATES'!F99-'FedEx Rates'!F98)</f>
        <v>34.11</v>
      </c>
      <c r="G99" s="1">
        <f>SUM('UPS RATES'!G99-'FedEx Rates'!G98)</f>
        <v>34.800000000000011</v>
      </c>
      <c r="H99" s="1">
        <f>SUM('UPS RATES'!H99-'FedEx Rates'!H98)</f>
        <v>35.490000000000009</v>
      </c>
      <c r="I99" s="1">
        <f>SUM('UPS RATES'!I99-'FedEx Rates'!I98)</f>
        <v>11.100000000000005</v>
      </c>
      <c r="J99" s="1">
        <f>SUM('UPS RATES'!J99-'FedEx Rates'!J98)</f>
        <v>15.580000000000005</v>
      </c>
      <c r="K99" s="1">
        <f>SUM('UPS RATES'!K99-'FedEx Rates'!K98)</f>
        <v>18.519999999999996</v>
      </c>
      <c r="L99" s="1">
        <f>SUM('UPS RATES'!L99-'FedEx Rates'!L98)</f>
        <v>33.930000000000007</v>
      </c>
      <c r="M99" s="1">
        <f>SUM('UPS RATES'!M99-'FedEx Rates'!M98)</f>
        <v>47.72</v>
      </c>
      <c r="N99" s="1">
        <f>SUM('UPS RATES'!N99-'FedEx Rates'!N98)</f>
        <v>62.370000000000005</v>
      </c>
      <c r="O99" s="1">
        <f>SUM('UPS RATES'!O99-'FedEx Rates'!O98)</f>
        <v>66.210000000000008</v>
      </c>
      <c r="P99" s="1">
        <f>SUM('UPS RATES'!P99-'FedEx Rates'!P98)</f>
        <v>5.8299999999999983</v>
      </c>
      <c r="Q99" s="1">
        <f>SUM('UPS RATES'!Q99-'FedEx Rates'!Q98)</f>
        <v>5.9699999999999989</v>
      </c>
      <c r="R99" s="1">
        <f>SUM('UPS RATES'!R99-'FedEx Rates'!R98)</f>
        <v>6.4499999999999993</v>
      </c>
      <c r="S99" s="1">
        <f>SUM('UPS RATES'!S99-'FedEx Rates'!S98)</f>
        <v>6.9599999999999973</v>
      </c>
      <c r="T99" s="1">
        <f>SUM('UPS RATES'!T99-'FedEx Rates'!T98)</f>
        <v>8.16</v>
      </c>
      <c r="U99" s="1">
        <f>SUM('UPS RATES'!U99-'FedEx Rates'!U98)</f>
        <v>9.1500000000000057</v>
      </c>
      <c r="V99" s="1">
        <f>SUM('UPS RATES'!V99-'FedEx Rates'!V98)</f>
        <v>10.090000000000003</v>
      </c>
      <c r="W99" s="1">
        <f>SUM('UPS RATES'!W99-'FedEx Rates'!W98)</f>
        <v>24.68</v>
      </c>
      <c r="X99" s="1">
        <f>SUM('UPS RATES'!X99-'FedEx Rates'!X98)</f>
        <v>35.190000000000005</v>
      </c>
      <c r="Y99" s="1">
        <f>SUM('UPS RATES'!Y99-'FedEx Rates'!Y98)</f>
        <v>62.730000000000004</v>
      </c>
      <c r="Z99" s="1">
        <f>SUM('UPS RATES'!Z99-'FedEx Rates'!Z98)</f>
        <v>68.349999999999994</v>
      </c>
      <c r="AA99" s="1">
        <f>SUM('UPS RATES'!AA99-'FedEx Rates'!AA98)</f>
        <v>70.63000000000001</v>
      </c>
      <c r="AB99" s="1">
        <f>SUM('UPS RATES'!AB99-'FedEx Rates'!AB98)</f>
        <v>82.580000000000013</v>
      </c>
      <c r="AC99" s="1">
        <f>SUM('UPS RATES'!AC99-'FedEx Rates'!AC98)</f>
        <v>83.52000000000001</v>
      </c>
    </row>
    <row r="100" spans="1:29" x14ac:dyDescent="0.25">
      <c r="A100">
        <v>98</v>
      </c>
      <c r="B100" s="1">
        <f>SUM('UPS RATES'!B100-'FedEx Rates'!B99)</f>
        <v>10.02</v>
      </c>
      <c r="C100" s="1">
        <f>SUM('UPS RATES'!C100-'FedEx Rates'!C99)</f>
        <v>10.93</v>
      </c>
      <c r="D100" s="1">
        <f>SUM('UPS RATES'!D100-'FedEx Rates'!D99)</f>
        <v>13.480000000000004</v>
      </c>
      <c r="E100" s="1">
        <f>SUM('UPS RATES'!E100-'FedEx Rates'!E99)</f>
        <v>19.57</v>
      </c>
      <c r="F100" s="1">
        <f>SUM('UPS RATES'!F100-'FedEx Rates'!F99)</f>
        <v>34.910000000000011</v>
      </c>
      <c r="G100" s="1">
        <f>SUM('UPS RATES'!G100-'FedEx Rates'!G99)</f>
        <v>35.610000000000014</v>
      </c>
      <c r="H100" s="1">
        <f>SUM('UPS RATES'!H100-'FedEx Rates'!H99)</f>
        <v>36.299999999999983</v>
      </c>
      <c r="I100" s="1">
        <f>SUM('UPS RATES'!I100-'FedEx Rates'!I99)</f>
        <v>10.209999999999997</v>
      </c>
      <c r="J100" s="1">
        <f>SUM('UPS RATES'!J100-'FedEx Rates'!J99)</f>
        <v>15.46</v>
      </c>
      <c r="K100" s="1">
        <f>SUM('UPS RATES'!K100-'FedEx Rates'!K99)</f>
        <v>18.399999999999999</v>
      </c>
      <c r="L100" s="1">
        <f>SUM('UPS RATES'!L100-'FedEx Rates'!L99)</f>
        <v>34.090000000000003</v>
      </c>
      <c r="M100" s="1">
        <f>SUM('UPS RATES'!M100-'FedEx Rates'!M99)</f>
        <v>47.620000000000005</v>
      </c>
      <c r="N100" s="1">
        <f>SUM('UPS RATES'!N100-'FedEx Rates'!N99)</f>
        <v>64.209999999999994</v>
      </c>
      <c r="O100" s="1">
        <f>SUM('UPS RATES'!O100-'FedEx Rates'!O99)</f>
        <v>67.339999999999989</v>
      </c>
      <c r="P100" s="1">
        <f>SUM('UPS RATES'!P100-'FedEx Rates'!P99)</f>
        <v>5.91</v>
      </c>
      <c r="Q100" s="1">
        <f>SUM('UPS RATES'!Q100-'FedEx Rates'!Q99)</f>
        <v>6.009999999999998</v>
      </c>
      <c r="R100" s="1">
        <f>SUM('UPS RATES'!R100-'FedEx Rates'!R99)</f>
        <v>6.4600000000000009</v>
      </c>
      <c r="S100" s="1">
        <f>SUM('UPS RATES'!S100-'FedEx Rates'!S99)</f>
        <v>7.0399999999999991</v>
      </c>
      <c r="T100" s="1">
        <f>SUM('UPS RATES'!T100-'FedEx Rates'!T99)</f>
        <v>8.259999999999998</v>
      </c>
      <c r="U100" s="1">
        <f>SUM('UPS RATES'!U100-'FedEx Rates'!U99)</f>
        <v>9.1500000000000057</v>
      </c>
      <c r="V100" s="1">
        <f>SUM('UPS RATES'!V100-'FedEx Rates'!V99)</f>
        <v>10.090000000000003</v>
      </c>
      <c r="W100" s="1">
        <f>SUM('UPS RATES'!W100-'FedEx Rates'!W99)</f>
        <v>24.730000000000004</v>
      </c>
      <c r="X100" s="1">
        <f>SUM('UPS RATES'!X100-'FedEx Rates'!X99)</f>
        <v>35.270000000000003</v>
      </c>
      <c r="Y100" s="1">
        <f>SUM('UPS RATES'!Y100-'FedEx Rates'!Y99)</f>
        <v>62.800000000000004</v>
      </c>
      <c r="Z100" s="1">
        <f>SUM('UPS RATES'!Z100-'FedEx Rates'!Z99)</f>
        <v>68.58</v>
      </c>
      <c r="AA100" s="1">
        <f>SUM('UPS RATES'!AA100-'FedEx Rates'!AA99)</f>
        <v>71.940000000000012</v>
      </c>
      <c r="AB100" s="1">
        <f>SUM('UPS RATES'!AB100-'FedEx Rates'!AB99)</f>
        <v>82.78</v>
      </c>
      <c r="AC100" s="1">
        <f>SUM('UPS RATES'!AC100-'FedEx Rates'!AC99)</f>
        <v>83.72999999999999</v>
      </c>
    </row>
    <row r="101" spans="1:29" x14ac:dyDescent="0.25">
      <c r="A101">
        <v>99</v>
      </c>
      <c r="B101" s="1">
        <f>SUM('UPS RATES'!B101-'FedEx Rates'!B100)</f>
        <v>10.220000000000002</v>
      </c>
      <c r="C101" s="1">
        <f>SUM('UPS RATES'!C101-'FedEx Rates'!C100)</f>
        <v>10.979999999999997</v>
      </c>
      <c r="D101" s="1">
        <f>SUM('UPS RATES'!D101-'FedEx Rates'!D100)</f>
        <v>13.799999999999997</v>
      </c>
      <c r="E101" s="1">
        <f>SUM('UPS RATES'!E101-'FedEx Rates'!E100)</f>
        <v>20.709999999999994</v>
      </c>
      <c r="F101" s="1">
        <f>SUM('UPS RATES'!F101-'FedEx Rates'!F100)</f>
        <v>34.090000000000003</v>
      </c>
      <c r="G101" s="1">
        <f>SUM('UPS RATES'!G101-'FedEx Rates'!G100)</f>
        <v>35.710000000000008</v>
      </c>
      <c r="H101" s="1">
        <f>SUM('UPS RATES'!H101-'FedEx Rates'!H100)</f>
        <v>38.379999999999995</v>
      </c>
      <c r="I101" s="1">
        <f>SUM('UPS RATES'!I101-'FedEx Rates'!I100)</f>
        <v>12.25</v>
      </c>
      <c r="J101" s="1">
        <f>SUM('UPS RATES'!J101-'FedEx Rates'!J100)</f>
        <v>15.61</v>
      </c>
      <c r="K101" s="1">
        <f>SUM('UPS RATES'!K101-'FedEx Rates'!K100)</f>
        <v>19.129999999999995</v>
      </c>
      <c r="L101" s="1">
        <f>SUM('UPS RATES'!L101-'FedEx Rates'!L100)</f>
        <v>35.03</v>
      </c>
      <c r="M101" s="1">
        <f>SUM('UPS RATES'!M101-'FedEx Rates'!M100)</f>
        <v>50.16</v>
      </c>
      <c r="N101" s="1">
        <f>SUM('UPS RATES'!N101-'FedEx Rates'!N100)</f>
        <v>63.06</v>
      </c>
      <c r="O101" s="1">
        <f>SUM('UPS RATES'!O101-'FedEx Rates'!O100)</f>
        <v>66.220000000000013</v>
      </c>
      <c r="P101" s="1">
        <f>SUM('UPS RATES'!P101-'FedEx Rates'!P100)</f>
        <v>6.0399999999999991</v>
      </c>
      <c r="Q101" s="1">
        <f>SUM('UPS RATES'!Q101-'FedEx Rates'!Q100)</f>
        <v>6.0599999999999987</v>
      </c>
      <c r="R101" s="1">
        <f>SUM('UPS RATES'!R101-'FedEx Rates'!R100)</f>
        <v>6.6400000000000006</v>
      </c>
      <c r="S101" s="1">
        <f>SUM('UPS RATES'!S101-'FedEx Rates'!S100)</f>
        <v>7.129999999999999</v>
      </c>
      <c r="T101" s="1">
        <f>SUM('UPS RATES'!T101-'FedEx Rates'!T100)</f>
        <v>8.2800000000000011</v>
      </c>
      <c r="U101" s="1">
        <f>SUM('UPS RATES'!U101-'FedEx Rates'!U100)</f>
        <v>9.25</v>
      </c>
      <c r="V101" s="1">
        <f>SUM('UPS RATES'!V101-'FedEx Rates'!V100)</f>
        <v>10.18</v>
      </c>
      <c r="W101" s="1">
        <f>SUM('UPS RATES'!W101-'FedEx Rates'!W100)</f>
        <v>25.050000000000004</v>
      </c>
      <c r="X101" s="1">
        <f>SUM('UPS RATES'!X101-'FedEx Rates'!X100)</f>
        <v>35.339999999999996</v>
      </c>
      <c r="Y101" s="1">
        <f>SUM('UPS RATES'!Y101-'FedEx Rates'!Y100)</f>
        <v>62.890000000000008</v>
      </c>
      <c r="Z101" s="1">
        <f>SUM('UPS RATES'!Z101-'FedEx Rates'!Z100)</f>
        <v>72.289999999999992</v>
      </c>
      <c r="AA101" s="1">
        <f>SUM('UPS RATES'!AA101-'FedEx Rates'!AA100)</f>
        <v>74.140000000000015</v>
      </c>
      <c r="AB101" s="1">
        <f>SUM('UPS RATES'!AB101-'FedEx Rates'!AB100)</f>
        <v>86.7</v>
      </c>
      <c r="AC101" s="1">
        <f>SUM('UPS RATES'!AC101-'FedEx Rates'!AC100)</f>
        <v>87.74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36719-F928-41F5-9962-D74ABE9C733F}">
  <dimension ref="A2:AC101"/>
  <sheetViews>
    <sheetView workbookViewId="0">
      <selection activeCell="W1" sqref="W1:AC1048576"/>
    </sheetView>
  </sheetViews>
  <sheetFormatPr defaultColWidth="8.85546875" defaultRowHeight="15" x14ac:dyDescent="0.25"/>
  <cols>
    <col min="1" max="1" width="4.5703125" bestFit="1" customWidth="1"/>
    <col min="2" max="15" width="7.28515625" bestFit="1" customWidth="1"/>
    <col min="16" max="22" width="9.5703125" bestFit="1" customWidth="1"/>
    <col min="23" max="29" width="14.5703125" bestFit="1" customWidth="1"/>
  </cols>
  <sheetData>
    <row r="2" spans="1:29" x14ac:dyDescent="0.25">
      <c r="A2" t="s">
        <v>28</v>
      </c>
      <c r="B2" t="s">
        <v>3</v>
      </c>
      <c r="C2" t="s">
        <v>6</v>
      </c>
      <c r="D2" t="s">
        <v>5</v>
      </c>
      <c r="E2" t="s">
        <v>1</v>
      </c>
      <c r="F2" t="s">
        <v>4</v>
      </c>
      <c r="G2" t="s">
        <v>2</v>
      </c>
      <c r="H2" t="s">
        <v>0</v>
      </c>
      <c r="I2" t="s">
        <v>17</v>
      </c>
      <c r="J2" t="s">
        <v>20</v>
      </c>
      <c r="K2" t="s">
        <v>16</v>
      </c>
      <c r="L2" t="s">
        <v>18</v>
      </c>
      <c r="M2" t="s">
        <v>19</v>
      </c>
      <c r="N2" t="s">
        <v>14</v>
      </c>
      <c r="O2" t="s">
        <v>15</v>
      </c>
      <c r="P2" t="s">
        <v>23</v>
      </c>
      <c r="Q2" t="s">
        <v>22</v>
      </c>
      <c r="R2" t="s">
        <v>27</v>
      </c>
      <c r="S2" t="s">
        <v>25</v>
      </c>
      <c r="T2" t="s">
        <v>26</v>
      </c>
      <c r="U2" t="s">
        <v>24</v>
      </c>
      <c r="V2" t="s">
        <v>21</v>
      </c>
      <c r="W2" t="s">
        <v>10</v>
      </c>
      <c r="X2" t="s">
        <v>9</v>
      </c>
      <c r="Y2" t="s">
        <v>13</v>
      </c>
      <c r="Z2" t="s">
        <v>11</v>
      </c>
      <c r="AA2" t="s">
        <v>12</v>
      </c>
      <c r="AB2" t="s">
        <v>8</v>
      </c>
      <c r="AC2" t="s">
        <v>7</v>
      </c>
    </row>
    <row r="3" spans="1:29" x14ac:dyDescent="0.25">
      <c r="A3">
        <v>1</v>
      </c>
      <c r="B3" s="11">
        <f>SUM('UPS RATES'!B3-'FedEx Rates'!B2)/('UPS RATES'!B3)</f>
        <v>0.24193548387096775</v>
      </c>
      <c r="C3" s="11">
        <f>SUM('UPS RATES'!C3-'FedEx Rates'!C2)/('UPS RATES'!C3)</f>
        <v>0.24193548387096775</v>
      </c>
      <c r="D3" s="11">
        <f>SUM('UPS RATES'!D3-'FedEx Rates'!D2)/('UPS RATES'!D3)</f>
        <v>0.24193548387096775</v>
      </c>
      <c r="E3" s="11">
        <f>SUM('UPS RATES'!E3-'FedEx Rates'!E2)/('UPS RATES'!E3)</f>
        <v>0.24193548387096775</v>
      </c>
      <c r="F3" s="11">
        <f>SUM('UPS RATES'!F3-'FedEx Rates'!F2)/('UPS RATES'!F3)</f>
        <v>0.2447466007416563</v>
      </c>
      <c r="G3" s="11">
        <f>SUM('UPS RATES'!G3-'FedEx Rates'!G2)/('UPS RATES'!G3)</f>
        <v>0.29200463499420626</v>
      </c>
      <c r="H3" s="11">
        <f>SUM('UPS RATES'!H3-'FedEx Rates'!H2)/('UPS RATES'!H3)</f>
        <v>0.30568181818181822</v>
      </c>
      <c r="I3" s="11">
        <f>SUM('UPS RATES'!I3-'FedEx Rates'!I2)/('UPS RATES'!I3)</f>
        <v>0.28762135922330095</v>
      </c>
      <c r="J3" s="11">
        <f>SUM('UPS RATES'!J3-'FedEx Rates'!J2)/('UPS RATES'!J3)</f>
        <v>0.28762135922330095</v>
      </c>
      <c r="K3" s="11">
        <f>SUM('UPS RATES'!K3-'FedEx Rates'!K2)/('UPS RATES'!K3)</f>
        <v>0.28762135922330095</v>
      </c>
      <c r="L3" s="11">
        <f>SUM('UPS RATES'!L3-'FedEx Rates'!L2)/('UPS RATES'!L3)</f>
        <v>0.28762135922330095</v>
      </c>
      <c r="M3" s="11">
        <f>SUM('UPS RATES'!M3-'FedEx Rates'!M2)/('UPS RATES'!M3)</f>
        <v>0.34632516703786193</v>
      </c>
      <c r="N3" s="11">
        <f>SUM('UPS RATES'!N3-'FedEx Rates'!N2)/('UPS RATES'!N3)</f>
        <v>0.40526849037487328</v>
      </c>
      <c r="O3" s="11">
        <f>SUM('UPS RATES'!O3-'FedEx Rates'!O2)/('UPS RATES'!O3)</f>
        <v>0.43271028037383169</v>
      </c>
      <c r="P3" s="11">
        <f>SUM('UPS RATES'!P3-'FedEx Rates'!P2)/('UPS RATES'!P3)</f>
        <v>0.16998671978751662</v>
      </c>
      <c r="Q3" s="11">
        <f>SUM('UPS RATES'!Q3-'FedEx Rates'!Q2)/('UPS RATES'!Q3)</f>
        <v>0.16998671978751662</v>
      </c>
      <c r="R3" s="11">
        <f>SUM('UPS RATES'!R3-'FedEx Rates'!R2)/('UPS RATES'!R3)</f>
        <v>0.16998671978751662</v>
      </c>
      <c r="S3" s="11">
        <f>SUM('UPS RATES'!S3-'FedEx Rates'!S2)/('UPS RATES'!S3)</f>
        <v>0.16998671978751662</v>
      </c>
      <c r="T3" s="11">
        <f>SUM('UPS RATES'!T3-'FedEx Rates'!T2)/('UPS RATES'!T3)</f>
        <v>0.16998671978751662</v>
      </c>
      <c r="U3" s="11">
        <f>SUM('UPS RATES'!U3-'FedEx Rates'!U2)/('UPS RATES'!U3)</f>
        <v>0.16998671978751662</v>
      </c>
      <c r="V3" s="11">
        <f>SUM('UPS RATES'!V3-'FedEx Rates'!V2)/('UPS RATES'!V3)</f>
        <v>0.16998671978751662</v>
      </c>
      <c r="W3" s="11">
        <f>SUM('UPS RATES'!W3-'FedEx Rates'!W2)/('UPS RATES'!W3)</f>
        <v>0.31067961165048547</v>
      </c>
      <c r="X3" s="11">
        <f>SUM('UPS RATES'!X3-'FedEx Rates'!X2)/('UPS RATES'!X3)</f>
        <v>0.31067961165048547</v>
      </c>
      <c r="Y3" s="11">
        <f>SUM('UPS RATES'!Y3-'FedEx Rates'!Y2)/('UPS RATES'!Y3)</f>
        <v>0.40015360983102921</v>
      </c>
      <c r="Z3" s="11">
        <f>SUM('UPS RATES'!Z3-'FedEx Rates'!Z2)/('UPS RATES'!Z3)</f>
        <v>0.45763888888888893</v>
      </c>
      <c r="AA3" s="11">
        <f>SUM('UPS RATES'!AA3-'FedEx Rates'!AA2)/('UPS RATES'!AA3)</f>
        <v>0.48482849604221639</v>
      </c>
      <c r="AB3" s="11">
        <f>SUM('UPS RATES'!AB3-'FedEx Rates'!AB2)/('UPS RATES'!AB3)</f>
        <v>0.52380952380952384</v>
      </c>
      <c r="AC3" s="11">
        <f>SUM('UPS RATES'!AC3-'FedEx Rates'!AC2)/('UPS RATES'!AC3)</f>
        <v>0.52402487280949694</v>
      </c>
    </row>
    <row r="4" spans="1:29" x14ac:dyDescent="0.25">
      <c r="A4">
        <v>2</v>
      </c>
      <c r="B4" s="11">
        <f>SUM('UPS RATES'!B4-'FedEx Rates'!B3)/('UPS RATES'!B4)</f>
        <v>0.24193548387096775</v>
      </c>
      <c r="C4" s="11">
        <f>SUM('UPS RATES'!C4-'FedEx Rates'!C3)/('UPS RATES'!C4)</f>
        <v>0.24193548387096775</v>
      </c>
      <c r="D4" s="11">
        <f>SUM('UPS RATES'!D4-'FedEx Rates'!D3)/('UPS RATES'!D4)</f>
        <v>0.24193548387096775</v>
      </c>
      <c r="E4" s="11">
        <f>SUM('UPS RATES'!E4-'FedEx Rates'!E3)/('UPS RATES'!E4)</f>
        <v>0.24193548387096775</v>
      </c>
      <c r="F4" s="11">
        <f>SUM('UPS RATES'!F4-'FedEx Rates'!F3)/('UPS RATES'!F4)</f>
        <v>0.32857142857142851</v>
      </c>
      <c r="G4" s="11">
        <f>SUM('UPS RATES'!G4-'FedEx Rates'!G3)/('UPS RATES'!G4)</f>
        <v>0.39444995044598608</v>
      </c>
      <c r="H4" s="11">
        <f>SUM('UPS RATES'!H4-'FedEx Rates'!H3)/('UPS RATES'!H4)</f>
        <v>0.42467043314500935</v>
      </c>
      <c r="I4" s="11">
        <f>SUM('UPS RATES'!I4-'FedEx Rates'!I3)/('UPS RATES'!I4)</f>
        <v>0.28762135922330095</v>
      </c>
      <c r="J4" s="11">
        <f>SUM('UPS RATES'!J4-'FedEx Rates'!J3)/('UPS RATES'!J4)</f>
        <v>0.28762135922330095</v>
      </c>
      <c r="K4" s="11">
        <f>SUM('UPS RATES'!K4-'FedEx Rates'!K3)/('UPS RATES'!K4)</f>
        <v>0.28762135922330095</v>
      </c>
      <c r="L4" s="11">
        <f>SUM('UPS RATES'!L4-'FedEx Rates'!L3)/('UPS RATES'!L4)</f>
        <v>0.28762135922330095</v>
      </c>
      <c r="M4" s="11">
        <f>SUM('UPS RATES'!M4-'FedEx Rates'!M3)/('UPS RATES'!M4)</f>
        <v>0.40886203423967771</v>
      </c>
      <c r="N4" s="11">
        <f>SUM('UPS RATES'!N4-'FedEx Rates'!N3)/('UPS RATES'!N4)</f>
        <v>0.449367088607595</v>
      </c>
      <c r="O4" s="11">
        <f>SUM('UPS RATES'!O4-'FedEx Rates'!O3)/('UPS RATES'!O4)</f>
        <v>0.43958664546899845</v>
      </c>
      <c r="P4" s="11">
        <f>SUM('UPS RATES'!P4-'FedEx Rates'!P3)/('UPS RATES'!P4)</f>
        <v>0.16998671978751662</v>
      </c>
      <c r="Q4" s="11">
        <f>SUM('UPS RATES'!Q4-'FedEx Rates'!Q3)/('UPS RATES'!Q4)</f>
        <v>0.16998671978751662</v>
      </c>
      <c r="R4" s="11">
        <f>SUM('UPS RATES'!R4-'FedEx Rates'!R3)/('UPS RATES'!R4)</f>
        <v>0.16998671978751662</v>
      </c>
      <c r="S4" s="11">
        <f>SUM('UPS RATES'!S4-'FedEx Rates'!S3)/('UPS RATES'!S4)</f>
        <v>0.16998671978751662</v>
      </c>
      <c r="T4" s="11">
        <f>SUM('UPS RATES'!T4-'FedEx Rates'!T3)/('UPS RATES'!T4)</f>
        <v>0.16998671978751662</v>
      </c>
      <c r="U4" s="11">
        <f>SUM('UPS RATES'!U4-'FedEx Rates'!U3)/('UPS RATES'!U4)</f>
        <v>0.18193717277486907</v>
      </c>
      <c r="V4" s="11">
        <f>SUM('UPS RATES'!V4-'FedEx Rates'!V3)/('UPS RATES'!V4)</f>
        <v>0.19665809768637535</v>
      </c>
      <c r="W4" s="11">
        <f>SUM('UPS RATES'!W4-'FedEx Rates'!W3)/('UPS RATES'!W4)</f>
        <v>0.31067961165048547</v>
      </c>
      <c r="X4" s="11">
        <f>SUM('UPS RATES'!X4-'FedEx Rates'!X3)/('UPS RATES'!X4)</f>
        <v>0.31067961165048547</v>
      </c>
      <c r="Y4" s="11">
        <f>SUM('UPS RATES'!Y4-'FedEx Rates'!Y3)/('UPS RATES'!Y4)</f>
        <v>0.45115952213633176</v>
      </c>
      <c r="Z4" s="11">
        <f>SUM('UPS RATES'!Z4-'FedEx Rates'!Z3)/('UPS RATES'!Z4)</f>
        <v>0.49482535575679176</v>
      </c>
      <c r="AA4" s="11">
        <f>SUM('UPS RATES'!AA4-'FedEx Rates'!AA3)/('UPS RATES'!AA4)</f>
        <v>0.50973006905210305</v>
      </c>
      <c r="AB4" s="11">
        <f>SUM('UPS RATES'!AB4-'FedEx Rates'!AB3)/('UPS RATES'!AB4)</f>
        <v>0.5237032905744563</v>
      </c>
      <c r="AC4" s="11">
        <f>SUM('UPS RATES'!AC4-'FedEx Rates'!AC3)/('UPS RATES'!AC4)</f>
        <v>0.52402630247850279</v>
      </c>
    </row>
    <row r="5" spans="1:29" x14ac:dyDescent="0.25">
      <c r="A5">
        <v>3</v>
      </c>
      <c r="B5" s="11">
        <f>SUM('UPS RATES'!B5-'FedEx Rates'!B4)/('UPS RATES'!B5)</f>
        <v>0.24193548387096775</v>
      </c>
      <c r="C5" s="11">
        <f>SUM('UPS RATES'!C5-'FedEx Rates'!C4)/('UPS RATES'!C5)</f>
        <v>0.24193548387096775</v>
      </c>
      <c r="D5" s="11">
        <f>SUM('UPS RATES'!D5-'FedEx Rates'!D4)/('UPS RATES'!D5)</f>
        <v>0.24193548387096775</v>
      </c>
      <c r="E5" s="11">
        <f>SUM('UPS RATES'!E5-'FedEx Rates'!E4)/('UPS RATES'!E5)</f>
        <v>0.24193548387096775</v>
      </c>
      <c r="F5" s="11">
        <f>SUM('UPS RATES'!F5-'FedEx Rates'!F4)/('UPS RATES'!F5)</f>
        <v>0.24569789674952208</v>
      </c>
      <c r="G5" s="11">
        <f>SUM('UPS RATES'!G5-'FedEx Rates'!G4)/('UPS RATES'!G5)</f>
        <v>0.24529914529914526</v>
      </c>
      <c r="H5" s="11">
        <f>SUM('UPS RATES'!H5-'FedEx Rates'!H4)/('UPS RATES'!H5)</f>
        <v>0.24384236453201963</v>
      </c>
      <c r="I5" s="11">
        <f>SUM('UPS RATES'!I5-'FedEx Rates'!I4)/('UPS RATES'!I5)</f>
        <v>0.28762135922330095</v>
      </c>
      <c r="J5" s="11">
        <f>SUM('UPS RATES'!J5-'FedEx Rates'!J4)/('UPS RATES'!J5)</f>
        <v>0.28762135922330095</v>
      </c>
      <c r="K5" s="11">
        <f>SUM('UPS RATES'!K5-'FedEx Rates'!K4)/('UPS RATES'!K5)</f>
        <v>0.28762135922330095</v>
      </c>
      <c r="L5" s="11">
        <f>SUM('UPS RATES'!L5-'FedEx Rates'!L4)/('UPS RATES'!L5)</f>
        <v>0.34192825112107622</v>
      </c>
      <c r="M5" s="11">
        <f>SUM('UPS RATES'!M5-'FedEx Rates'!M4)/('UPS RATES'!M5)</f>
        <v>0.44300518134715022</v>
      </c>
      <c r="N5" s="11">
        <f>SUM('UPS RATES'!N5-'FedEx Rates'!N4)/('UPS RATES'!N5)</f>
        <v>0.44866612772837505</v>
      </c>
      <c r="O5" s="11">
        <f>SUM('UPS RATES'!O5-'FedEx Rates'!O4)/('UPS RATES'!O5)</f>
        <v>0.44529616724738674</v>
      </c>
      <c r="P5" s="11">
        <f>SUM('UPS RATES'!P5-'FedEx Rates'!P4)/('UPS RATES'!P5)</f>
        <v>0.16998671978751662</v>
      </c>
      <c r="Q5" s="11">
        <f>SUM('UPS RATES'!Q5-'FedEx Rates'!Q4)/('UPS RATES'!Q5)</f>
        <v>0.16998671978751662</v>
      </c>
      <c r="R5" s="11">
        <f>SUM('UPS RATES'!R5-'FedEx Rates'!R4)/('UPS RATES'!R5)</f>
        <v>0.16998671978751662</v>
      </c>
      <c r="S5" s="11">
        <f>SUM('UPS RATES'!S5-'FedEx Rates'!S4)/('UPS RATES'!S5)</f>
        <v>0.17546174142480211</v>
      </c>
      <c r="T5" s="11">
        <f>SUM('UPS RATES'!T5-'FedEx Rates'!T4)/('UPS RATES'!T5)</f>
        <v>0.20785804816223064</v>
      </c>
      <c r="U5" s="11">
        <f>SUM('UPS RATES'!U5-'FedEx Rates'!U4)/('UPS RATES'!U5)</f>
        <v>0.23312883435582826</v>
      </c>
      <c r="V5" s="11">
        <f>SUM('UPS RATES'!V5-'FedEx Rates'!V4)/('UPS RATES'!V5)</f>
        <v>0.26985981308411217</v>
      </c>
      <c r="W5" s="11">
        <f>SUM('UPS RATES'!W5-'FedEx Rates'!W4)/('UPS RATES'!W5)</f>
        <v>0.31067961165048547</v>
      </c>
      <c r="X5" s="11">
        <f>SUM('UPS RATES'!X5-'FedEx Rates'!X4)/('UPS RATES'!X5)</f>
        <v>0.31067961165048547</v>
      </c>
      <c r="Y5" s="11">
        <f>SUM('UPS RATES'!Y5-'FedEx Rates'!Y4)/('UPS RATES'!Y5)</f>
        <v>0.50444162436548223</v>
      </c>
      <c r="Z5" s="11">
        <f>SUM('UPS RATES'!Z5-'FedEx Rates'!Z4)/('UPS RATES'!Z5)</f>
        <v>0.52348613469156768</v>
      </c>
      <c r="AA5" s="11">
        <f>SUM('UPS RATES'!AA5-'FedEx Rates'!AA4)/('UPS RATES'!AA5)</f>
        <v>0.52393477117306686</v>
      </c>
      <c r="AB5" s="11">
        <f>SUM('UPS RATES'!AB5-'FedEx Rates'!AB4)/('UPS RATES'!AB5)</f>
        <v>0.52371825586966947</v>
      </c>
      <c r="AC5" s="11">
        <f>SUM('UPS RATES'!AC5-'FedEx Rates'!AC4)/('UPS RATES'!AC5)</f>
        <v>0.52383155946321147</v>
      </c>
    </row>
    <row r="6" spans="1:29" x14ac:dyDescent="0.25">
      <c r="A6">
        <v>4</v>
      </c>
      <c r="B6" s="11">
        <f>SUM('UPS RATES'!B6-'FedEx Rates'!B5)/('UPS RATES'!B6)</f>
        <v>0.24193548387096775</v>
      </c>
      <c r="C6" s="11">
        <f>SUM('UPS RATES'!C6-'FedEx Rates'!C5)/('UPS RATES'!C6)</f>
        <v>0.24193548387096775</v>
      </c>
      <c r="D6" s="11">
        <f>SUM('UPS RATES'!D6-'FedEx Rates'!D5)/('UPS RATES'!D6)</f>
        <v>0.24193548387096775</v>
      </c>
      <c r="E6" s="11">
        <f>SUM('UPS RATES'!E6-'FedEx Rates'!E5)/('UPS RATES'!E6)</f>
        <v>0.24008574490889606</v>
      </c>
      <c r="F6" s="11">
        <f>SUM('UPS RATES'!F6-'FedEx Rates'!F5)/('UPS RATES'!F6)</f>
        <v>0.24378109452736327</v>
      </c>
      <c r="G6" s="11">
        <f>SUM('UPS RATES'!G6-'FedEx Rates'!G5)/('UPS RATES'!G6)</f>
        <v>0.24306076519129785</v>
      </c>
      <c r="H6" s="11">
        <f>SUM('UPS RATES'!H6-'FedEx Rates'!H5)/('UPS RATES'!H6)</f>
        <v>0.2427745664739884</v>
      </c>
      <c r="I6" s="11">
        <f>SUM('UPS RATES'!I6-'FedEx Rates'!I5)/('UPS RATES'!I6)</f>
        <v>0.28762135922330095</v>
      </c>
      <c r="J6" s="11">
        <f>SUM('UPS RATES'!J6-'FedEx Rates'!J5)/('UPS RATES'!J6)</f>
        <v>0.28762135922330095</v>
      </c>
      <c r="K6" s="11">
        <f>SUM('UPS RATES'!K6-'FedEx Rates'!K5)/('UPS RATES'!K6)</f>
        <v>0.28762135922330095</v>
      </c>
      <c r="L6" s="11">
        <f>SUM('UPS RATES'!L6-'FedEx Rates'!L5)/('UPS RATES'!L6)</f>
        <v>0.41241241241241239</v>
      </c>
      <c r="M6" s="11">
        <f>SUM('UPS RATES'!M6-'FedEx Rates'!M5)/('UPS RATES'!M6)</f>
        <v>0.44480784955028618</v>
      </c>
      <c r="N6" s="11">
        <f>SUM('UPS RATES'!N6-'FedEx Rates'!N5)/('UPS RATES'!N6)</f>
        <v>0.44436519258202567</v>
      </c>
      <c r="O6" s="11">
        <f>SUM('UPS RATES'!O6-'FedEx Rates'!O5)/('UPS RATES'!O6)</f>
        <v>0.42668344870988051</v>
      </c>
      <c r="P6" s="11">
        <f>SUM('UPS RATES'!P6-'FedEx Rates'!P5)/('UPS RATES'!P6)</f>
        <v>0.16998671978751662</v>
      </c>
      <c r="Q6" s="11">
        <f>SUM('UPS RATES'!Q6-'FedEx Rates'!Q5)/('UPS RATES'!Q6)</f>
        <v>0.16998671978751662</v>
      </c>
      <c r="R6" s="11">
        <f>SUM('UPS RATES'!R6-'FedEx Rates'!R5)/('UPS RATES'!R6)</f>
        <v>0.16998671978751662</v>
      </c>
      <c r="S6" s="11">
        <f>SUM('UPS RATES'!S6-'FedEx Rates'!S5)/('UPS RATES'!S6)</f>
        <v>0.21777221526908638</v>
      </c>
      <c r="T6" s="11">
        <f>SUM('UPS RATES'!T6-'FedEx Rates'!T5)/('UPS RATES'!T6)</f>
        <v>0.23965936739659374</v>
      </c>
      <c r="U6" s="11">
        <f>SUM('UPS RATES'!U6-'FedEx Rates'!U5)/('UPS RATES'!U6)</f>
        <v>0.2865296803652968</v>
      </c>
      <c r="V6" s="11">
        <f>SUM('UPS RATES'!V6-'FedEx Rates'!V5)/('UPS RATES'!V6)</f>
        <v>0.31768558951965065</v>
      </c>
      <c r="W6" s="11">
        <f>SUM('UPS RATES'!W6-'FedEx Rates'!W5)/('UPS RATES'!W6)</f>
        <v>0.31067961165048547</v>
      </c>
      <c r="X6" s="11">
        <f>SUM('UPS RATES'!X6-'FedEx Rates'!X5)/('UPS RATES'!X6)</f>
        <v>0.31310466138962179</v>
      </c>
      <c r="Y6" s="11">
        <f>SUM('UPS RATES'!Y6-'FedEx Rates'!Y5)/('UPS RATES'!Y6)</f>
        <v>0.52383654937570945</v>
      </c>
      <c r="Z6" s="11">
        <f>SUM('UPS RATES'!Z6-'FedEx Rates'!Z5)/('UPS RATES'!Z6)</f>
        <v>0.524031007751938</v>
      </c>
      <c r="AA6" s="11">
        <f>SUM('UPS RATES'!AA6-'FedEx Rates'!AA5)/('UPS RATES'!AA6)</f>
        <v>0.52392821535393808</v>
      </c>
      <c r="AB6" s="11">
        <f>SUM('UPS RATES'!AB6-'FedEx Rates'!AB5)/('UPS RATES'!AB6)</f>
        <v>0.52404058226731376</v>
      </c>
      <c r="AC6" s="11">
        <f>SUM('UPS RATES'!AC6-'FedEx Rates'!AC5)/('UPS RATES'!AC6)</f>
        <v>0.52380952380952384</v>
      </c>
    </row>
    <row r="7" spans="1:29" x14ac:dyDescent="0.25">
      <c r="A7">
        <v>5</v>
      </c>
      <c r="B7" s="11">
        <f>SUM('UPS RATES'!B7-'FedEx Rates'!B6)/('UPS RATES'!B7)</f>
        <v>0.24193548387096775</v>
      </c>
      <c r="C7" s="11">
        <f>SUM('UPS RATES'!C7-'FedEx Rates'!C6)/('UPS RATES'!C7)</f>
        <v>0.24193548387096775</v>
      </c>
      <c r="D7" s="11">
        <f>SUM('UPS RATES'!D7-'FedEx Rates'!D6)/('UPS RATES'!D7)</f>
        <v>0.24193548387096775</v>
      </c>
      <c r="E7" s="11">
        <f>SUM('UPS RATES'!E7-'FedEx Rates'!E6)/('UPS RATES'!E7)</f>
        <v>0.23887814313346226</v>
      </c>
      <c r="F7" s="11">
        <f>SUM('UPS RATES'!F7-'FedEx Rates'!F6)/('UPS RATES'!F7)</f>
        <v>0.24350408314773578</v>
      </c>
      <c r="G7" s="11">
        <f>SUM('UPS RATES'!G7-'FedEx Rates'!G6)/('UPS RATES'!G7)</f>
        <v>0.24156545209176788</v>
      </c>
      <c r="H7" s="11">
        <f>SUM('UPS RATES'!H7-'FedEx Rates'!H6)/('UPS RATES'!H7)</f>
        <v>0.24124761298535968</v>
      </c>
      <c r="I7" s="11">
        <f>SUM('UPS RATES'!I7-'FedEx Rates'!I6)/('UPS RATES'!I7)</f>
        <v>0.28762135922330095</v>
      </c>
      <c r="J7" s="11">
        <f>SUM('UPS RATES'!J7-'FedEx Rates'!J6)/('UPS RATES'!J7)</f>
        <v>0.28762135922330095</v>
      </c>
      <c r="K7" s="11">
        <f>SUM('UPS RATES'!K7-'FedEx Rates'!K6)/('UPS RATES'!K7)</f>
        <v>0.28762135922330095</v>
      </c>
      <c r="L7" s="11">
        <f>SUM('UPS RATES'!L7-'FedEx Rates'!L6)/('UPS RATES'!L7)</f>
        <v>0.44963369963369965</v>
      </c>
      <c r="M7" s="11">
        <f>SUM('UPS RATES'!M7-'FedEx Rates'!M6)/('UPS RATES'!M7)</f>
        <v>0.4358974358974359</v>
      </c>
      <c r="N7" s="11">
        <f>SUM('UPS RATES'!N7-'FedEx Rates'!N6)/('UPS RATES'!N7)</f>
        <v>0.44516129032258067</v>
      </c>
      <c r="O7" s="11">
        <f>SUM('UPS RATES'!O7-'FedEx Rates'!O6)/('UPS RATES'!O7)</f>
        <v>0.41790193842645373</v>
      </c>
      <c r="P7" s="11">
        <f>SUM('UPS RATES'!P7-'FedEx Rates'!P6)/('UPS RATES'!P7)</f>
        <v>0.16998671978751662</v>
      </c>
      <c r="Q7" s="11">
        <f>SUM('UPS RATES'!Q7-'FedEx Rates'!Q6)/('UPS RATES'!Q7)</f>
        <v>0.16998671978751662</v>
      </c>
      <c r="R7" s="11">
        <f>SUM('UPS RATES'!R7-'FedEx Rates'!R6)/('UPS RATES'!R7)</f>
        <v>0.18831168831168832</v>
      </c>
      <c r="S7" s="11">
        <f>SUM('UPS RATES'!S7-'FedEx Rates'!S6)/('UPS RATES'!S7)</f>
        <v>0.25149700598802394</v>
      </c>
      <c r="T7" s="11">
        <f>SUM('UPS RATES'!T7-'FedEx Rates'!T6)/('UPS RATES'!T7)</f>
        <v>0.28078250863060983</v>
      </c>
      <c r="U7" s="11">
        <f>SUM('UPS RATES'!U7-'FedEx Rates'!U6)/('UPS RATES'!U7)</f>
        <v>0.31768558951965065</v>
      </c>
      <c r="V7" s="11">
        <f>SUM('UPS RATES'!V7-'FedEx Rates'!V6)/('UPS RATES'!V7)</f>
        <v>0.33470648815653969</v>
      </c>
      <c r="W7" s="11">
        <f>SUM('UPS RATES'!W7-'FedEx Rates'!W6)/('UPS RATES'!W7)</f>
        <v>0.31067961165048547</v>
      </c>
      <c r="X7" s="11">
        <f>SUM('UPS RATES'!X7-'FedEx Rates'!X6)/('UPS RATES'!X7)</f>
        <v>0.31671041119860022</v>
      </c>
      <c r="Y7" s="11">
        <f>SUM('UPS RATES'!Y7-'FedEx Rates'!Y6)/('UPS RATES'!Y7)</f>
        <v>0.52362423568649241</v>
      </c>
      <c r="Z7" s="11">
        <f>SUM('UPS RATES'!Z7-'FedEx Rates'!Z6)/('UPS RATES'!Z7)</f>
        <v>0.52380952380952384</v>
      </c>
      <c r="AA7" s="11">
        <f>SUM('UPS RATES'!AA7-'FedEx Rates'!AA6)/('UPS RATES'!AA7)</f>
        <v>0.52371541501976282</v>
      </c>
      <c r="AB7" s="11">
        <f>SUM('UPS RATES'!AB7-'FedEx Rates'!AB6)/('UPS RATES'!AB7)</f>
        <v>0.52351916376306629</v>
      </c>
      <c r="AC7" s="11">
        <f>SUM('UPS RATES'!AC7-'FedEx Rates'!AC6)/('UPS RATES'!AC7)</f>
        <v>0.52201524132091448</v>
      </c>
    </row>
    <row r="8" spans="1:29" x14ac:dyDescent="0.25">
      <c r="A8">
        <v>6</v>
      </c>
      <c r="B8" s="11">
        <f>SUM('UPS RATES'!B8-'FedEx Rates'!B7)/('UPS RATES'!B8)</f>
        <v>0.24193548387096775</v>
      </c>
      <c r="C8" s="11">
        <f>SUM('UPS RATES'!C8-'FedEx Rates'!C7)/('UPS RATES'!C8)</f>
        <v>0.24193548387096775</v>
      </c>
      <c r="D8" s="11">
        <f>SUM('UPS RATES'!D8-'FedEx Rates'!D7)/('UPS RATES'!D8)</f>
        <v>0.24630541871921174</v>
      </c>
      <c r="E8" s="11">
        <f>SUM('UPS RATES'!E8-'FedEx Rates'!E7)/('UPS RATES'!E8)</f>
        <v>0.23826395039858278</v>
      </c>
      <c r="F8" s="11">
        <f>SUM('UPS RATES'!F8-'FedEx Rates'!F7)/('UPS RATES'!F8)</f>
        <v>0.24230254350736274</v>
      </c>
      <c r="G8" s="11">
        <f>SUM('UPS RATES'!G8-'FedEx Rates'!G7)/('UPS RATES'!G8)</f>
        <v>0.24165148755312682</v>
      </c>
      <c r="H8" s="11">
        <f>SUM('UPS RATES'!H8-'FedEx Rates'!H7)/('UPS RATES'!H8)</f>
        <v>0.24127906976744179</v>
      </c>
      <c r="I8" s="11">
        <f>SUM('UPS RATES'!I8-'FedEx Rates'!I7)/('UPS RATES'!I8)</f>
        <v>0.28762135922330095</v>
      </c>
      <c r="J8" s="11">
        <f>SUM('UPS RATES'!J8-'FedEx Rates'!J7)/('UPS RATES'!J8)</f>
        <v>0.28762135922330095</v>
      </c>
      <c r="K8" s="11">
        <f>SUM('UPS RATES'!K8-'FedEx Rates'!K7)/('UPS RATES'!K8)</f>
        <v>0.32138728323699423</v>
      </c>
      <c r="L8" s="11">
        <f>SUM('UPS RATES'!L8-'FedEx Rates'!L7)/('UPS RATES'!L8)</f>
        <v>0.40653813914501258</v>
      </c>
      <c r="M8" s="11">
        <f>SUM('UPS RATES'!M8-'FedEx Rates'!M7)/('UPS RATES'!M8)</f>
        <v>0.42246330567964258</v>
      </c>
      <c r="N8" s="11">
        <f>SUM('UPS RATES'!N8-'FedEx Rates'!N7)/('UPS RATES'!N8)</f>
        <v>0.44418604651162785</v>
      </c>
      <c r="O8" s="11">
        <f>SUM('UPS RATES'!O8-'FedEx Rates'!O7)/('UPS RATES'!O8)</f>
        <v>0.38809899947340704</v>
      </c>
      <c r="P8" s="11">
        <f>SUM('UPS RATES'!P8-'FedEx Rates'!P7)/('UPS RATES'!P8)</f>
        <v>0.16998671978751662</v>
      </c>
      <c r="Q8" s="11">
        <f>SUM('UPS RATES'!Q8-'FedEx Rates'!Q7)/('UPS RATES'!Q8)</f>
        <v>0.16998671978751662</v>
      </c>
      <c r="R8" s="11">
        <f>SUM('UPS RATES'!R8-'FedEx Rates'!R7)/('UPS RATES'!R8)</f>
        <v>0.16998671978751662</v>
      </c>
      <c r="S8" s="11">
        <f>SUM('UPS RATES'!S8-'FedEx Rates'!S7)/('UPS RATES'!S8)</f>
        <v>0.22552664188351923</v>
      </c>
      <c r="T8" s="11">
        <f>SUM('UPS RATES'!T8-'FedEx Rates'!T7)/('UPS RATES'!T8)</f>
        <v>0.25239234449760761</v>
      </c>
      <c r="U8" s="11">
        <f>SUM('UPS RATES'!U8-'FedEx Rates'!U7)/('UPS RATES'!U8)</f>
        <v>0.29138321995464855</v>
      </c>
      <c r="V8" s="11">
        <f>SUM('UPS RATES'!V8-'FedEx Rates'!V7)/('UPS RATES'!V8)</f>
        <v>0.30909090909090908</v>
      </c>
      <c r="W8" s="11">
        <f>SUM('UPS RATES'!W8-'FedEx Rates'!W7)/('UPS RATES'!W8)</f>
        <v>0.31067961165048547</v>
      </c>
      <c r="X8" s="11">
        <f>SUM('UPS RATES'!X8-'FedEx Rates'!X7)/('UPS RATES'!X8)</f>
        <v>0.38114104595879555</v>
      </c>
      <c r="Y8" s="11">
        <f>SUM('UPS RATES'!Y8-'FedEx Rates'!Y7)/('UPS RATES'!Y8)</f>
        <v>0.52347998022738507</v>
      </c>
      <c r="Z8" s="11">
        <f>SUM('UPS RATES'!Z8-'FedEx Rates'!Z7)/('UPS RATES'!Z8)</f>
        <v>0.52408056042031526</v>
      </c>
      <c r="AA8" s="11">
        <f>SUM('UPS RATES'!AA8-'FedEx Rates'!AA7)/('UPS RATES'!AA8)</f>
        <v>0.52365006278777726</v>
      </c>
      <c r="AB8" s="11">
        <f>SUM('UPS RATES'!AB8-'FedEx Rates'!AB7)/('UPS RATES'!AB8)</f>
        <v>0.52389984825493163</v>
      </c>
      <c r="AC8" s="11">
        <f>SUM('UPS RATES'!AC8-'FedEx Rates'!AC7)/('UPS RATES'!AC8)</f>
        <v>0.52382684612586394</v>
      </c>
    </row>
    <row r="9" spans="1:29" x14ac:dyDescent="0.25">
      <c r="A9">
        <v>7</v>
      </c>
      <c r="B9" s="11">
        <f>SUM('UPS RATES'!B9-'FedEx Rates'!B8)/('UPS RATES'!B9)</f>
        <v>0.24193548387096775</v>
      </c>
      <c r="C9" s="11">
        <f>SUM('UPS RATES'!C9-'FedEx Rates'!C8)/('UPS RATES'!C9)</f>
        <v>0.24193548387096775</v>
      </c>
      <c r="D9" s="11">
        <f>SUM('UPS RATES'!D9-'FedEx Rates'!D8)/('UPS RATES'!D9)</f>
        <v>0.24659090909090917</v>
      </c>
      <c r="E9" s="11">
        <f>SUM('UPS RATES'!E9-'FedEx Rates'!E8)/('UPS RATES'!E9)</f>
        <v>0.23824959481361421</v>
      </c>
      <c r="F9" s="11">
        <f>SUM('UPS RATES'!F9-'FedEx Rates'!F8)/('UPS RATES'!F9)</f>
        <v>0.24211778703152878</v>
      </c>
      <c r="G9" s="11">
        <f>SUM('UPS RATES'!G9-'FedEx Rates'!G8)/('UPS RATES'!G9)</f>
        <v>0.2388797364085668</v>
      </c>
      <c r="H9" s="11">
        <f>SUM('UPS RATES'!H9-'FedEx Rates'!H8)/('UPS RATES'!H9)</f>
        <v>0.23955579058699097</v>
      </c>
      <c r="I9" s="11">
        <f>SUM('UPS RATES'!I9-'FedEx Rates'!I8)/('UPS RATES'!I9)</f>
        <v>0.28762135922330095</v>
      </c>
      <c r="J9" s="11">
        <f>SUM('UPS RATES'!J9-'FedEx Rates'!J8)/('UPS RATES'!J9)</f>
        <v>0.2961630695443645</v>
      </c>
      <c r="K9" s="11">
        <f>SUM('UPS RATES'!K9-'FedEx Rates'!K8)/('UPS RATES'!K9)</f>
        <v>0.34078807241746539</v>
      </c>
      <c r="L9" s="11">
        <f>SUM('UPS RATES'!L9-'FedEx Rates'!L8)/('UPS RATES'!L9)</f>
        <v>0.43194335169158149</v>
      </c>
      <c r="M9" s="11">
        <f>SUM('UPS RATES'!M9-'FedEx Rates'!M8)/('UPS RATES'!M9)</f>
        <v>0.43783146729522687</v>
      </c>
      <c r="N9" s="11">
        <f>SUM('UPS RATES'!N9-'FedEx Rates'!N8)/('UPS RATES'!N9)</f>
        <v>0.44364384971693255</v>
      </c>
      <c r="O9" s="11">
        <f>SUM('UPS RATES'!O9-'FedEx Rates'!O8)/('UPS RATES'!O9)</f>
        <v>0.42077549066539016</v>
      </c>
      <c r="P9" s="11">
        <f>SUM('UPS RATES'!P9-'FedEx Rates'!P8)/('UPS RATES'!P9)</f>
        <v>0.16998671978751662</v>
      </c>
      <c r="Q9" s="11">
        <f>SUM('UPS RATES'!Q9-'FedEx Rates'!Q8)/('UPS RATES'!Q9)</f>
        <v>0.16998671978751662</v>
      </c>
      <c r="R9" s="11">
        <f>SUM('UPS RATES'!R9-'FedEx Rates'!R8)/('UPS RATES'!R9)</f>
        <v>0.18513689700130379</v>
      </c>
      <c r="S9" s="11">
        <f>SUM('UPS RATES'!S9-'FedEx Rates'!S8)/('UPS RATES'!S9)</f>
        <v>0.24969987995198079</v>
      </c>
      <c r="T9" s="11">
        <f>SUM('UPS RATES'!T9-'FedEx Rates'!T8)/('UPS RATES'!T9)</f>
        <v>0.26643192488262907</v>
      </c>
      <c r="U9" s="11">
        <f>SUM('UPS RATES'!U9-'FedEx Rates'!U8)/('UPS RATES'!U9)</f>
        <v>0.30828729281767964</v>
      </c>
      <c r="V9" s="11">
        <f>SUM('UPS RATES'!V9-'FedEx Rates'!V8)/('UPS RATES'!V9)</f>
        <v>0.30927835051546387</v>
      </c>
      <c r="W9" s="11">
        <f>SUM('UPS RATES'!W9-'FedEx Rates'!W8)/('UPS RATES'!W9)</f>
        <v>0.31067961165048547</v>
      </c>
      <c r="X9" s="11">
        <f>SUM('UPS RATES'!X9-'FedEx Rates'!X8)/('UPS RATES'!X9)</f>
        <v>0.41145440844009046</v>
      </c>
      <c r="Y9" s="11">
        <f>SUM('UPS RATES'!Y9-'FedEx Rates'!Y8)/('UPS RATES'!Y9)</f>
        <v>0.52365184484389782</v>
      </c>
      <c r="Z9" s="11">
        <f>SUM('UPS RATES'!Z9-'FedEx Rates'!Z8)/('UPS RATES'!Z9)</f>
        <v>0.52378964941569284</v>
      </c>
      <c r="AA9" s="11">
        <f>SUM('UPS RATES'!AA9-'FedEx Rates'!AA8)/('UPS RATES'!AA9)</f>
        <v>0.52392440691596298</v>
      </c>
      <c r="AB9" s="11">
        <f>SUM('UPS RATES'!AB9-'FedEx Rates'!AB8)/('UPS RATES'!AB9)</f>
        <v>0.52380952380952384</v>
      </c>
      <c r="AC9" s="11">
        <f>SUM('UPS RATES'!AC9-'FedEx Rates'!AC8)/('UPS RATES'!AC9)</f>
        <v>0.52366360231528775</v>
      </c>
    </row>
    <row r="10" spans="1:29" x14ac:dyDescent="0.25">
      <c r="A10">
        <v>8</v>
      </c>
      <c r="B10" s="11">
        <f>SUM('UPS RATES'!B10-'FedEx Rates'!B9)/('UPS RATES'!B10)</f>
        <v>0.24193548387096775</v>
      </c>
      <c r="C10" s="11">
        <f>SUM('UPS RATES'!C10-'FedEx Rates'!C9)/('UPS RATES'!C10)</f>
        <v>0.24193548387096775</v>
      </c>
      <c r="D10" s="11">
        <f>SUM('UPS RATES'!D10-'FedEx Rates'!D9)/('UPS RATES'!D10)</f>
        <v>0.24548352816153032</v>
      </c>
      <c r="E10" s="11">
        <f>SUM('UPS RATES'!E10-'FedEx Rates'!E9)/('UPS RATES'!E10)</f>
        <v>0.23848439821693912</v>
      </c>
      <c r="F10" s="11">
        <f>SUM('UPS RATES'!F10-'FedEx Rates'!F9)/('UPS RATES'!F10)</f>
        <v>0.24084051724137925</v>
      </c>
      <c r="G10" s="11">
        <f>SUM('UPS RATES'!G10-'FedEx Rates'!G9)/('UPS RATES'!G10)</f>
        <v>0.23878364905284144</v>
      </c>
      <c r="H10" s="11">
        <f>SUM('UPS RATES'!H10-'FedEx Rates'!H9)/('UPS RATES'!H10)</f>
        <v>0.23967339097022095</v>
      </c>
      <c r="I10" s="11">
        <f>SUM('UPS RATES'!I10-'FedEx Rates'!I9)/('UPS RATES'!I10)</f>
        <v>0.28762135922330095</v>
      </c>
      <c r="J10" s="11">
        <f>SUM('UPS RATES'!J10-'FedEx Rates'!J9)/('UPS RATES'!J10)</f>
        <v>0.34850166481687012</v>
      </c>
      <c r="K10" s="11">
        <f>SUM('UPS RATES'!K10-'FedEx Rates'!K9)/('UPS RATES'!K10)</f>
        <v>0.36883629191321499</v>
      </c>
      <c r="L10" s="11">
        <f>SUM('UPS RATES'!L10-'FedEx Rates'!L9)/('UPS RATES'!L10)</f>
        <v>0.42983100661278473</v>
      </c>
      <c r="M10" s="11">
        <f>SUM('UPS RATES'!M10-'FedEx Rates'!M9)/('UPS RATES'!M10)</f>
        <v>0.42512342292923749</v>
      </c>
      <c r="N10" s="11">
        <f>SUM('UPS RATES'!N10-'FedEx Rates'!N9)/('UPS RATES'!N10)</f>
        <v>0.43288590604026844</v>
      </c>
      <c r="O10" s="11">
        <f>SUM('UPS RATES'!O10-'FedEx Rates'!O9)/('UPS RATES'!O10)</f>
        <v>0.41890109890109889</v>
      </c>
      <c r="P10" s="11">
        <f>SUM('UPS RATES'!P10-'FedEx Rates'!P9)/('UPS RATES'!P10)</f>
        <v>0.16998671978751662</v>
      </c>
      <c r="Q10" s="11">
        <f>SUM('UPS RATES'!Q10-'FedEx Rates'!Q9)/('UPS RATES'!Q10)</f>
        <v>0.16998671978751662</v>
      </c>
      <c r="R10" s="11">
        <f>SUM('UPS RATES'!R10-'FedEx Rates'!R9)/('UPS RATES'!R10)</f>
        <v>0.21284634760705293</v>
      </c>
      <c r="S10" s="11">
        <f>SUM('UPS RATES'!S10-'FedEx Rates'!S9)/('UPS RATES'!S10)</f>
        <v>0.26985981308411217</v>
      </c>
      <c r="T10" s="11">
        <f>SUM('UPS RATES'!T10-'FedEx Rates'!T9)/('UPS RATES'!T10)</f>
        <v>0.29458239277652365</v>
      </c>
      <c r="U10" s="11">
        <f>SUM('UPS RATES'!U10-'FedEx Rates'!U9)/('UPS RATES'!U10)</f>
        <v>0.30891719745222934</v>
      </c>
      <c r="V10" s="11">
        <f>SUM('UPS RATES'!V10-'FedEx Rates'!V9)/('UPS RATES'!V10)</f>
        <v>0.30860534124629074</v>
      </c>
      <c r="W10" s="11">
        <f>SUM('UPS RATES'!W10-'FedEx Rates'!W9)/('UPS RATES'!W10)</f>
        <v>0.31067961165048547</v>
      </c>
      <c r="X10" s="11">
        <f>SUM('UPS RATES'!X10-'FedEx Rates'!X9)/('UPS RATES'!X10)</f>
        <v>0.4145427286356822</v>
      </c>
      <c r="Y10" s="11">
        <f>SUM('UPS RATES'!Y10-'FedEx Rates'!Y9)/('UPS RATES'!Y10)</f>
        <v>0.52096627164995446</v>
      </c>
      <c r="Z10" s="11">
        <f>SUM('UPS RATES'!Z10-'FedEx Rates'!Z9)/('UPS RATES'!Z10)</f>
        <v>0.52390518280433906</v>
      </c>
      <c r="AA10" s="11">
        <f>SUM('UPS RATES'!AA10-'FedEx Rates'!AA9)/('UPS RATES'!AA10)</f>
        <v>0.52380952380952372</v>
      </c>
      <c r="AB10" s="11">
        <f>SUM('UPS RATES'!AB10-'FedEx Rates'!AB9)/('UPS RATES'!AB10)</f>
        <v>0.52385856505320971</v>
      </c>
      <c r="AC10" s="11">
        <f>SUM('UPS RATES'!AC10-'FedEx Rates'!AC9)/('UPS RATES'!AC10)</f>
        <v>0.52344782034346105</v>
      </c>
    </row>
    <row r="11" spans="1:29" x14ac:dyDescent="0.25">
      <c r="A11">
        <v>9</v>
      </c>
      <c r="B11" s="11">
        <f>SUM('UPS RATES'!B11-'FedEx Rates'!B10)/('UPS RATES'!B11)</f>
        <v>0.24193548387096775</v>
      </c>
      <c r="C11" s="11">
        <f>SUM('UPS RATES'!C11-'FedEx Rates'!C10)/('UPS RATES'!C11)</f>
        <v>0.23902439024390235</v>
      </c>
      <c r="D11" s="11">
        <f>SUM('UPS RATES'!D11-'FedEx Rates'!D10)/('UPS RATES'!D11)</f>
        <v>0.24582104228121929</v>
      </c>
      <c r="E11" s="11">
        <f>SUM('UPS RATES'!E11-'FedEx Rates'!E10)/('UPS RATES'!E11)</f>
        <v>0.23875432525951554</v>
      </c>
      <c r="F11" s="11">
        <f>SUM('UPS RATES'!F11-'FedEx Rates'!F10)/('UPS RATES'!F11)</f>
        <v>0.23958333333333334</v>
      </c>
      <c r="G11" s="11">
        <f>SUM('UPS RATES'!G11-'FedEx Rates'!G10)/('UPS RATES'!G11)</f>
        <v>0.23863636363636365</v>
      </c>
      <c r="H11" s="11">
        <f>SUM('UPS RATES'!H11-'FedEx Rates'!H10)/('UPS RATES'!H11)</f>
        <v>0.23882559158632774</v>
      </c>
      <c r="I11" s="11">
        <f>SUM('UPS RATES'!I11-'FedEx Rates'!I10)/('UPS RATES'!I11)</f>
        <v>0.28762135922330095</v>
      </c>
      <c r="J11" s="11">
        <f>SUM('UPS RATES'!J11-'FedEx Rates'!J10)/('UPS RATES'!J11)</f>
        <v>0.37685774946921441</v>
      </c>
      <c r="K11" s="11">
        <f>SUM('UPS RATES'!K11-'FedEx Rates'!K10)/('UPS RATES'!K11)</f>
        <v>0.36641929499072351</v>
      </c>
      <c r="L11" s="11">
        <f>SUM('UPS RATES'!L11-'FedEx Rates'!L10)/('UPS RATES'!L11)</f>
        <v>0.41744772891131937</v>
      </c>
      <c r="M11" s="11">
        <f>SUM('UPS RATES'!M11-'FedEx Rates'!M10)/('UPS RATES'!M11)</f>
        <v>0.42599469496021225</v>
      </c>
      <c r="N11" s="11">
        <f>SUM('UPS RATES'!N11-'FedEx Rates'!N10)/('UPS RATES'!N11)</f>
        <v>0.41531531531531529</v>
      </c>
      <c r="O11" s="11">
        <f>SUM('UPS RATES'!O11-'FedEx Rates'!O10)/('UPS RATES'!O11)</f>
        <v>0.38684640522875818</v>
      </c>
      <c r="P11" s="11">
        <f>SUM('UPS RATES'!P11-'FedEx Rates'!P10)/('UPS RATES'!P11)</f>
        <v>0.16998671978751662</v>
      </c>
      <c r="Q11" s="11">
        <f>SUM('UPS RATES'!Q11-'FedEx Rates'!Q10)/('UPS RATES'!Q11)</f>
        <v>0.16998671978751662</v>
      </c>
      <c r="R11" s="11">
        <f>SUM('UPS RATES'!R11-'FedEx Rates'!R10)/('UPS RATES'!R11)</f>
        <v>0.21580928481806774</v>
      </c>
      <c r="S11" s="11">
        <f>SUM('UPS RATES'!S11-'FedEx Rates'!S10)/('UPS RATES'!S11)</f>
        <v>0.27662037037037041</v>
      </c>
      <c r="T11" s="11">
        <f>SUM('UPS RATES'!T11-'FedEx Rates'!T10)/('UPS RATES'!T11)</f>
        <v>0.30828729281767964</v>
      </c>
      <c r="U11" s="11">
        <f>SUM('UPS RATES'!U11-'FedEx Rates'!U10)/('UPS RATES'!U11)</f>
        <v>0.30886850152905199</v>
      </c>
      <c r="V11" s="11">
        <f>SUM('UPS RATES'!V11-'FedEx Rates'!V10)/('UPS RATES'!V11)</f>
        <v>0.30798122065727701</v>
      </c>
      <c r="W11" s="11">
        <f>SUM('UPS RATES'!W11-'FedEx Rates'!W10)/('UPS RATES'!W11)</f>
        <v>0.31067961165048547</v>
      </c>
      <c r="X11" s="11">
        <f>SUM('UPS RATES'!X11-'FedEx Rates'!X10)/('UPS RATES'!X11)</f>
        <v>0.41889880952380953</v>
      </c>
      <c r="Y11" s="11">
        <f>SUM('UPS RATES'!Y11-'FedEx Rates'!Y10)/('UPS RATES'!Y11)</f>
        <v>0.52408056042031526</v>
      </c>
      <c r="Z11" s="11">
        <f>SUM('UPS RATES'!Z11-'FedEx Rates'!Z10)/('UPS RATES'!Z11)</f>
        <v>0.52420968387354938</v>
      </c>
      <c r="AA11" s="11">
        <f>SUM('UPS RATES'!AA11-'FedEx Rates'!AA10)/('UPS RATES'!AA11)</f>
        <v>0.5237003058103975</v>
      </c>
      <c r="AB11" s="11">
        <f>SUM('UPS RATES'!AB11-'FedEx Rates'!AB10)/('UPS RATES'!AB11)</f>
        <v>0.52389078498293518</v>
      </c>
      <c r="AC11" s="11">
        <f>SUM('UPS RATES'!AC11-'FedEx Rates'!AC10)/('UPS RATES'!AC11)</f>
        <v>0.52369980250164583</v>
      </c>
    </row>
    <row r="12" spans="1:29" x14ac:dyDescent="0.25">
      <c r="A12">
        <v>10</v>
      </c>
      <c r="B12" s="11">
        <f>SUM('UPS RATES'!B12-'FedEx Rates'!B11)/('UPS RATES'!B12)</f>
        <v>0.24193548387096775</v>
      </c>
      <c r="C12" s="11">
        <f>SUM('UPS RATES'!C12-'FedEx Rates'!C11)/('UPS RATES'!C12)</f>
        <v>0.23798627002288331</v>
      </c>
      <c r="D12" s="11">
        <f>SUM('UPS RATES'!D12-'FedEx Rates'!D11)/('UPS RATES'!D12)</f>
        <v>0.24566210045662099</v>
      </c>
      <c r="E12" s="11">
        <f>SUM('UPS RATES'!E12-'FedEx Rates'!E11)/('UPS RATES'!E12)</f>
        <v>0.23898963730569947</v>
      </c>
      <c r="F12" s="11">
        <f>SUM('UPS RATES'!F12-'FedEx Rates'!F11)/('UPS RATES'!F12)</f>
        <v>0.24212962962962964</v>
      </c>
      <c r="G12" s="11">
        <f>SUM('UPS RATES'!G12-'FedEx Rates'!G11)/('UPS RATES'!G12)</f>
        <v>0.23861262014208109</v>
      </c>
      <c r="H12" s="11">
        <f>SUM('UPS RATES'!H12-'FedEx Rates'!H11)/('UPS RATES'!H12)</f>
        <v>0.23957911776608667</v>
      </c>
      <c r="I12" s="11">
        <f>SUM('UPS RATES'!I12-'FedEx Rates'!I11)/('UPS RATES'!I12)</f>
        <v>0.28762135922330095</v>
      </c>
      <c r="J12" s="11">
        <f>SUM('UPS RATES'!J12-'FedEx Rates'!J11)/('UPS RATES'!J12)</f>
        <v>0.3954685890834192</v>
      </c>
      <c r="K12" s="11">
        <f>SUM('UPS RATES'!K12-'FedEx Rates'!K11)/('UPS RATES'!K12)</f>
        <v>0.36214740673339402</v>
      </c>
      <c r="L12" s="11">
        <f>SUM('UPS RATES'!L12-'FedEx Rates'!L11)/('UPS RATES'!L12)</f>
        <v>0.41072640868974886</v>
      </c>
      <c r="M12" s="11">
        <f>SUM('UPS RATES'!M12-'FedEx Rates'!M11)/('UPS RATES'!M12)</f>
        <v>0.42028254288597378</v>
      </c>
      <c r="N12" s="11">
        <f>SUM('UPS RATES'!N12-'FedEx Rates'!N11)/('UPS RATES'!N12)</f>
        <v>0.41548117154811709</v>
      </c>
      <c r="O12" s="11">
        <f>SUM('UPS RATES'!O12-'FedEx Rates'!O11)/('UPS RATES'!O12)</f>
        <v>0.38338414634146339</v>
      </c>
      <c r="P12" s="11">
        <f>SUM('UPS RATES'!P12-'FedEx Rates'!P11)/('UPS RATES'!P12)</f>
        <v>0.16998671978751662</v>
      </c>
      <c r="Q12" s="11">
        <f>SUM('UPS RATES'!Q12-'FedEx Rates'!Q11)/('UPS RATES'!Q12)</f>
        <v>0.16998671978751662</v>
      </c>
      <c r="R12" s="11">
        <f>SUM('UPS RATES'!R12-'FedEx Rates'!R11)/('UPS RATES'!R12)</f>
        <v>0.22360248447204975</v>
      </c>
      <c r="S12" s="11">
        <f>SUM('UPS RATES'!S12-'FedEx Rates'!S11)/('UPS RATES'!S12)</f>
        <v>0.29378531073446323</v>
      </c>
      <c r="T12" s="11">
        <f>SUM('UPS RATES'!T12-'FedEx Rates'!T11)/('UPS RATES'!T12)</f>
        <v>0.30819672131147541</v>
      </c>
      <c r="U12" s="11">
        <f>SUM('UPS RATES'!U12-'FedEx Rates'!U11)/('UPS RATES'!U12)</f>
        <v>0.30933852140077822</v>
      </c>
      <c r="V12" s="11">
        <f>SUM('UPS RATES'!V12-'FedEx Rates'!V11)/('UPS RATES'!V12)</f>
        <v>0.30837004405286345</v>
      </c>
      <c r="W12" s="11">
        <f>SUM('UPS RATES'!W12-'FedEx Rates'!W11)/('UPS RATES'!W12)</f>
        <v>0.31067961165048547</v>
      </c>
      <c r="X12" s="11">
        <f>SUM('UPS RATES'!X12-'FedEx Rates'!X11)/('UPS RATES'!X12)</f>
        <v>0.42615723732549599</v>
      </c>
      <c r="Y12" s="11">
        <f>SUM('UPS RATES'!Y12-'FedEx Rates'!Y11)/('UPS RATES'!Y12)</f>
        <v>0.52360329146816809</v>
      </c>
      <c r="Z12" s="11">
        <f>SUM('UPS RATES'!Z12-'FedEx Rates'!Z11)/('UPS RATES'!Z12)</f>
        <v>0.52122173740579136</v>
      </c>
      <c r="AA12" s="11">
        <f>SUM('UPS RATES'!AA12-'FedEx Rates'!AA11)/('UPS RATES'!AA12)</f>
        <v>0.5237556561085972</v>
      </c>
      <c r="AB12" s="11">
        <f>SUM('UPS RATES'!AB12-'FedEx Rates'!AB11)/('UPS RATES'!AB12)</f>
        <v>0.5236646382691007</v>
      </c>
      <c r="AC12" s="11">
        <f>SUM('UPS RATES'!AC12-'FedEx Rates'!AC11)/('UPS RATES'!AC12)</f>
        <v>0.52349869451697129</v>
      </c>
    </row>
    <row r="13" spans="1:29" x14ac:dyDescent="0.25">
      <c r="A13">
        <v>11</v>
      </c>
      <c r="B13" s="11">
        <f>SUM('UPS RATES'!B13-'FedEx Rates'!B12)/('UPS RATES'!B13)</f>
        <v>0.24193548387096775</v>
      </c>
      <c r="C13" s="11">
        <f>SUM('UPS RATES'!C13-'FedEx Rates'!C12)/('UPS RATES'!C13)</f>
        <v>0.23969631236442523</v>
      </c>
      <c r="D13" s="11">
        <f>SUM('UPS RATES'!D13-'FedEx Rates'!D12)/('UPS RATES'!D13)</f>
        <v>0.24607329842931938</v>
      </c>
      <c r="E13" s="11">
        <f>SUM('UPS RATES'!E13-'FedEx Rates'!E12)/('UPS RATES'!E13)</f>
        <v>0.23864324651726232</v>
      </c>
      <c r="F13" s="11">
        <f>SUM('UPS RATES'!F13-'FedEx Rates'!F12)/('UPS RATES'!F13)</f>
        <v>0.24065320154705622</v>
      </c>
      <c r="G13" s="11">
        <f>SUM('UPS RATES'!G13-'FedEx Rates'!G12)/('UPS RATES'!G13)</f>
        <v>0.23978201634877383</v>
      </c>
      <c r="H13" s="11">
        <f>SUM('UPS RATES'!H13-'FedEx Rates'!H12)/('UPS RATES'!H13)</f>
        <v>0.23887850467289723</v>
      </c>
      <c r="I13" s="11">
        <f>SUM('UPS RATES'!I13-'FedEx Rates'!I12)/('UPS RATES'!I13)</f>
        <v>0.29277108433734944</v>
      </c>
      <c r="J13" s="11">
        <f>SUM('UPS RATES'!J13-'FedEx Rates'!J12)/('UPS RATES'!J13)</f>
        <v>0.37813440320962893</v>
      </c>
      <c r="K13" s="11">
        <f>SUM('UPS RATES'!K13-'FedEx Rates'!K12)/('UPS RATES'!K13)</f>
        <v>0.35529608006672225</v>
      </c>
      <c r="L13" s="11">
        <f>SUM('UPS RATES'!L13-'FedEx Rates'!L12)/('UPS RATES'!L13)</f>
        <v>0.40531776913099871</v>
      </c>
      <c r="M13" s="11">
        <f>SUM('UPS RATES'!M13-'FedEx Rates'!M12)/('UPS RATES'!M13)</f>
        <v>0.41746684956561503</v>
      </c>
      <c r="N13" s="11">
        <f>SUM('UPS RATES'!N13-'FedEx Rates'!N12)/('UPS RATES'!N13)</f>
        <v>0.40444974175605886</v>
      </c>
      <c r="O13" s="11">
        <f>SUM('UPS RATES'!O13-'FedEx Rates'!O12)/('UPS RATES'!O13)</f>
        <v>0.37670740474478792</v>
      </c>
      <c r="P13" s="11">
        <f>SUM('UPS RATES'!P13-'FedEx Rates'!P12)/('UPS RATES'!P13)</f>
        <v>0.16998671978751662</v>
      </c>
      <c r="Q13" s="11">
        <f>SUM('UPS RATES'!Q13-'FedEx Rates'!Q12)/('UPS RATES'!Q13)</f>
        <v>0.16998671978751662</v>
      </c>
      <c r="R13" s="11">
        <f>SUM('UPS RATES'!R13-'FedEx Rates'!R12)/('UPS RATES'!R13)</f>
        <v>0.20178799489144317</v>
      </c>
      <c r="S13" s="11">
        <f>SUM('UPS RATES'!S13-'FedEx Rates'!S12)/('UPS RATES'!S13)</f>
        <v>0.26643192488262907</v>
      </c>
      <c r="T13" s="11">
        <f>SUM('UPS RATES'!T13-'FedEx Rates'!T12)/('UPS RATES'!T13)</f>
        <v>0.27746947835738067</v>
      </c>
      <c r="U13" s="11">
        <f>SUM('UPS RATES'!U13-'FedEx Rates'!U12)/('UPS RATES'!U13)</f>
        <v>0.27871939736346507</v>
      </c>
      <c r="V13" s="11">
        <f>SUM('UPS RATES'!V13-'FedEx Rates'!V12)/('UPS RATES'!V13)</f>
        <v>0.27753686036426706</v>
      </c>
      <c r="W13" s="11">
        <f>SUM('UPS RATES'!W13-'FedEx Rates'!W12)/('UPS RATES'!W13)</f>
        <v>0.31310466138962179</v>
      </c>
      <c r="X13" s="11">
        <f>SUM('UPS RATES'!X13-'FedEx Rates'!X12)/('UPS RATES'!X13)</f>
        <v>0.51248439450686645</v>
      </c>
      <c r="Y13" s="11">
        <f>SUM('UPS RATES'!Y13-'FedEx Rates'!Y12)/('UPS RATES'!Y13)</f>
        <v>0.52379261363636365</v>
      </c>
      <c r="Z13" s="11">
        <f>SUM('UPS RATES'!Z13-'FedEx Rates'!Z12)/('UPS RATES'!Z13)</f>
        <v>0.51891216005001561</v>
      </c>
      <c r="AA13" s="11">
        <f>SUM('UPS RATES'!AA13-'FedEx Rates'!AA12)/('UPS RATES'!AA13)</f>
        <v>0.52230814991076735</v>
      </c>
      <c r="AB13" s="11">
        <f>SUM('UPS RATES'!AB13-'FedEx Rates'!AB12)/('UPS RATES'!AB13)</f>
        <v>0.52383654937570945</v>
      </c>
      <c r="AC13" s="11">
        <f>SUM('UPS RATES'!AC13-'FedEx Rates'!AC12)/('UPS RATES'!AC13)</f>
        <v>0.52365052865887585</v>
      </c>
    </row>
    <row r="14" spans="1:29" x14ac:dyDescent="0.25">
      <c r="A14">
        <v>12</v>
      </c>
      <c r="B14" s="11">
        <f>SUM('UPS RATES'!B14-'FedEx Rates'!B13)/('UPS RATES'!B14)</f>
        <v>0.23886138613861382</v>
      </c>
      <c r="C14" s="11">
        <f>SUM('UPS RATES'!C14-'FedEx Rates'!C13)/('UPS RATES'!C14)</f>
        <v>0.24077868852459014</v>
      </c>
      <c r="D14" s="11">
        <f>SUM('UPS RATES'!D14-'FedEx Rates'!D13)/('UPS RATES'!D14)</f>
        <v>0.24648469809760137</v>
      </c>
      <c r="E14" s="11">
        <f>SUM('UPS RATES'!E14-'FedEx Rates'!E13)/('UPS RATES'!E14)</f>
        <v>0.23853211009174322</v>
      </c>
      <c r="F14" s="11">
        <f>SUM('UPS RATES'!F14-'FedEx Rates'!F13)/('UPS RATES'!F14)</f>
        <v>0.24052652572796174</v>
      </c>
      <c r="G14" s="11">
        <f>SUM('UPS RATES'!G14-'FedEx Rates'!G13)/('UPS RATES'!G14)</f>
        <v>0.2406533575317604</v>
      </c>
      <c r="H14" s="11">
        <f>SUM('UPS RATES'!H14-'FedEx Rates'!H13)/('UPS RATES'!H14)</f>
        <v>0.24620275521017304</v>
      </c>
      <c r="I14" s="11">
        <f>SUM('UPS RATES'!I14-'FedEx Rates'!I13)/('UPS RATES'!I14)</f>
        <v>0.32914285714285713</v>
      </c>
      <c r="J14" s="11">
        <f>SUM('UPS RATES'!J14-'FedEx Rates'!J13)/('UPS RATES'!J14)</f>
        <v>0.33576642335766427</v>
      </c>
      <c r="K14" s="11">
        <f>SUM('UPS RATES'!K14-'FedEx Rates'!K13)/('UPS RATES'!K14)</f>
        <v>0.3250600480384308</v>
      </c>
      <c r="L14" s="11">
        <f>SUM('UPS RATES'!L14-'FedEx Rates'!L13)/('UPS RATES'!L14)</f>
        <v>0.37492642731018244</v>
      </c>
      <c r="M14" s="11">
        <f>SUM('UPS RATES'!M14-'FedEx Rates'!M13)/('UPS RATES'!M14)</f>
        <v>0.41906397595534567</v>
      </c>
      <c r="N14" s="11">
        <f>SUM('UPS RATES'!N14-'FedEx Rates'!N13)/('UPS RATES'!N14)</f>
        <v>0.39621212121212118</v>
      </c>
      <c r="O14" s="11">
        <f>SUM('UPS RATES'!O14-'FedEx Rates'!O13)/('UPS RATES'!O14)</f>
        <v>0.37919349373093869</v>
      </c>
      <c r="P14" s="11">
        <f>SUM('UPS RATES'!P14-'FedEx Rates'!P13)/('UPS RATES'!P14)</f>
        <v>0.16998671978751662</v>
      </c>
      <c r="Q14" s="11">
        <f>SUM('UPS RATES'!Q14-'FedEx Rates'!Q13)/('UPS RATES'!Q14)</f>
        <v>0.16998671978751662</v>
      </c>
      <c r="R14" s="11">
        <f>SUM('UPS RATES'!R14-'FedEx Rates'!R13)/('UPS RATES'!R14)</f>
        <v>0.20986093552465235</v>
      </c>
      <c r="S14" s="11">
        <f>SUM('UPS RATES'!S14-'FedEx Rates'!S13)/('UPS RATES'!S14)</f>
        <v>0.27494199535962871</v>
      </c>
      <c r="T14" s="11">
        <f>SUM('UPS RATES'!T14-'FedEx Rates'!T13)/('UPS RATES'!T14)</f>
        <v>0.277599142550911</v>
      </c>
      <c r="U14" s="11">
        <f>SUM('UPS RATES'!U14-'FedEx Rates'!U13)/('UPS RATES'!U14)</f>
        <v>0.27807971014492749</v>
      </c>
      <c r="V14" s="11">
        <f>SUM('UPS RATES'!V14-'FedEx Rates'!V13)/('UPS RATES'!V14)</f>
        <v>0.27837613918806953</v>
      </c>
      <c r="W14" s="11">
        <f>SUM('UPS RATES'!W14-'FedEx Rates'!W13)/('UPS RATES'!W14)</f>
        <v>0.32903780068728528</v>
      </c>
      <c r="X14" s="11">
        <f>SUM('UPS RATES'!X14-'FedEx Rates'!X13)/('UPS RATES'!X14)</f>
        <v>0.52386706948640493</v>
      </c>
      <c r="Y14" s="11">
        <f>SUM('UPS RATES'!Y14-'FedEx Rates'!Y13)/('UPS RATES'!Y14)</f>
        <v>0.52361111111111114</v>
      </c>
      <c r="Z14" s="11">
        <f>SUM('UPS RATES'!Z14-'FedEx Rates'!Z13)/('UPS RATES'!Z14)</f>
        <v>0.5189608838459242</v>
      </c>
      <c r="AA14" s="11">
        <f>SUM('UPS RATES'!AA14-'FedEx Rates'!AA13)/('UPS RATES'!AA14)</f>
        <v>0.52375533428165011</v>
      </c>
      <c r="AB14" s="11">
        <f>SUM('UPS RATES'!AB14-'FedEx Rates'!AB13)/('UPS RATES'!AB14)</f>
        <v>0.52349179872115648</v>
      </c>
      <c r="AC14" s="11">
        <f>SUM('UPS RATES'!AC14-'FedEx Rates'!AC13)/('UPS RATES'!AC14)</f>
        <v>0.52370572207084476</v>
      </c>
    </row>
    <row r="15" spans="1:29" x14ac:dyDescent="0.25">
      <c r="A15">
        <v>13</v>
      </c>
      <c r="B15" s="11">
        <f>SUM('UPS RATES'!B15-'FedEx Rates'!B14)/('UPS RATES'!B15)</f>
        <v>0.23930635838150291</v>
      </c>
      <c r="C15" s="11">
        <f>SUM('UPS RATES'!C15-'FedEx Rates'!C14)/('UPS RATES'!C15)</f>
        <v>0.24050632911392403</v>
      </c>
      <c r="D15" s="11">
        <f>SUM('UPS RATES'!D15-'FedEx Rates'!D14)/('UPS RATES'!D15)</f>
        <v>0.24681528662420379</v>
      </c>
      <c r="E15" s="11">
        <f>SUM('UPS RATES'!E15-'FedEx Rates'!E14)/('UPS RATES'!E15)</f>
        <v>0.23850730124391556</v>
      </c>
      <c r="F15" s="11">
        <f>SUM('UPS RATES'!F15-'FedEx Rates'!F14)/('UPS RATES'!F15)</f>
        <v>0.24073380756271057</v>
      </c>
      <c r="G15" s="11">
        <f>SUM('UPS RATES'!G15-'FedEx Rates'!G14)/('UPS RATES'!G15)</f>
        <v>0.23987538940809969</v>
      </c>
      <c r="H15" s="11">
        <f>SUM('UPS RATES'!H15-'FedEx Rates'!H14)/('UPS RATES'!H15)</f>
        <v>0.2391807069705979</v>
      </c>
      <c r="I15" s="11">
        <f>SUM('UPS RATES'!I15-'FedEx Rates'!I14)/('UPS RATES'!I15)</f>
        <v>0.30918918918918925</v>
      </c>
      <c r="J15" s="11">
        <f>SUM('UPS RATES'!J15-'FedEx Rates'!J14)/('UPS RATES'!J15)</f>
        <v>0.33187772925764186</v>
      </c>
      <c r="K15" s="11">
        <f>SUM('UPS RATES'!K15-'FedEx Rates'!K14)/('UPS RATES'!K15)</f>
        <v>0.32204724409448821</v>
      </c>
      <c r="L15" s="11">
        <f>SUM('UPS RATES'!L15-'FedEx Rates'!L14)/('UPS RATES'!L15)</f>
        <v>0.36814469078179696</v>
      </c>
      <c r="M15" s="11">
        <f>SUM('UPS RATES'!M15-'FedEx Rates'!M14)/('UPS RATES'!M15)</f>
        <v>0.41522198731501053</v>
      </c>
      <c r="N15" s="11">
        <f>SUM('UPS RATES'!N15-'FedEx Rates'!N14)/('UPS RATES'!N15)</f>
        <v>0.399175412293853</v>
      </c>
      <c r="O15" s="11">
        <f>SUM('UPS RATES'!O15-'FedEx Rates'!O14)/('UPS RATES'!O15)</f>
        <v>0.38042091836734693</v>
      </c>
      <c r="P15" s="11">
        <f>SUM('UPS RATES'!P15-'FedEx Rates'!P14)/('UPS RATES'!P15)</f>
        <v>0.16998671978751662</v>
      </c>
      <c r="Q15" s="11">
        <f>SUM('UPS RATES'!Q15-'FedEx Rates'!Q14)/('UPS RATES'!Q15)</f>
        <v>0.16998671978751662</v>
      </c>
      <c r="R15" s="11">
        <f>SUM('UPS RATES'!R15-'FedEx Rates'!R14)/('UPS RATES'!R15)</f>
        <v>0.21875</v>
      </c>
      <c r="S15" s="11">
        <f>SUM('UPS RATES'!S15-'FedEx Rates'!S14)/('UPS RATES'!S15)</f>
        <v>0.27872582480091007</v>
      </c>
      <c r="T15" s="11">
        <f>SUM('UPS RATES'!T15-'FedEx Rates'!T14)/('UPS RATES'!T15)</f>
        <v>0.27754677754677748</v>
      </c>
      <c r="U15" s="11">
        <f>SUM('UPS RATES'!U15-'FedEx Rates'!U14)/('UPS RATES'!U15)</f>
        <v>0.27999999999999992</v>
      </c>
      <c r="V15" s="11">
        <f>SUM('UPS RATES'!V15-'FedEx Rates'!V14)/('UPS RATES'!V15)</f>
        <v>0.27984189723320163</v>
      </c>
      <c r="W15" s="11">
        <f>SUM('UPS RATES'!W15-'FedEx Rates'!W14)/('UPS RATES'!W15)</f>
        <v>0.33133561643835618</v>
      </c>
      <c r="X15" s="11">
        <f>SUM('UPS RATES'!X15-'FedEx Rates'!X14)/('UPS RATES'!X15)</f>
        <v>0.52363853979652897</v>
      </c>
      <c r="Y15" s="11">
        <f>SUM('UPS RATES'!Y15-'FedEx Rates'!Y14)/('UPS RATES'!Y15)</f>
        <v>0.52213896457765674</v>
      </c>
      <c r="Z15" s="11">
        <f>SUM('UPS RATES'!Z15-'FedEx Rates'!Z14)/('UPS RATES'!Z15)</f>
        <v>0.52371312897628686</v>
      </c>
      <c r="AA15" s="11">
        <f>SUM('UPS RATES'!AA15-'FedEx Rates'!AA14)/('UPS RATES'!AA15)</f>
        <v>0.52351274787535407</v>
      </c>
      <c r="AB15" s="11">
        <f>SUM('UPS RATES'!AB15-'FedEx Rates'!AB14)/('UPS RATES'!AB15)</f>
        <v>0.52361501148838396</v>
      </c>
      <c r="AC15" s="11">
        <f>SUM('UPS RATES'!AC15-'FedEx Rates'!AC14)/('UPS RATES'!AC15)</f>
        <v>0.52377377377377377</v>
      </c>
    </row>
    <row r="16" spans="1:29" x14ac:dyDescent="0.25">
      <c r="A16">
        <v>14</v>
      </c>
      <c r="B16" s="11">
        <f>SUM('UPS RATES'!B16-'FedEx Rates'!B15)/('UPS RATES'!B16)</f>
        <v>0.23898678414096916</v>
      </c>
      <c r="C16" s="11">
        <f>SUM('UPS RATES'!C16-'FedEx Rates'!C15)/('UPS RATES'!C16)</f>
        <v>0.23981481481481479</v>
      </c>
      <c r="D16" s="11">
        <f>SUM('UPS RATES'!D16-'FedEx Rates'!D15)/('UPS RATES'!D16)</f>
        <v>0.24607329842931933</v>
      </c>
      <c r="E16" s="11">
        <f>SUM('UPS RATES'!E16-'FedEx Rates'!E15)/('UPS RATES'!E16)</f>
        <v>0.23887468030690537</v>
      </c>
      <c r="F16" s="11">
        <f>SUM('UPS RATES'!F16-'FedEx Rates'!F15)/('UPS RATES'!F16)</f>
        <v>0.24064925899788286</v>
      </c>
      <c r="G16" s="11">
        <f>SUM('UPS RATES'!G16-'FedEx Rates'!G15)/('UPS RATES'!G16)</f>
        <v>0.23880105401844531</v>
      </c>
      <c r="H16" s="11">
        <f>SUM('UPS RATES'!H16-'FedEx Rates'!H15)/('UPS RATES'!H16)</f>
        <v>0.23877292852624923</v>
      </c>
      <c r="I16" s="11">
        <f>SUM('UPS RATES'!I16-'FedEx Rates'!I15)/('UPS RATES'!I16)</f>
        <v>0.31784582893347418</v>
      </c>
      <c r="J16" s="11">
        <f>SUM('UPS RATES'!J16-'FedEx Rates'!J15)/('UPS RATES'!J16)</f>
        <v>0.36393442622950817</v>
      </c>
      <c r="K16" s="11">
        <f>SUM('UPS RATES'!K16-'FedEx Rates'!K15)/('UPS RATES'!K16)</f>
        <v>0.31148748159057438</v>
      </c>
      <c r="L16" s="11">
        <f>SUM('UPS RATES'!L16-'FedEx Rates'!L15)/('UPS RATES'!L16)</f>
        <v>0.35921787709497199</v>
      </c>
      <c r="M16" s="11">
        <f>SUM('UPS RATES'!M16-'FedEx Rates'!M15)/('UPS RATES'!M16)</f>
        <v>0.41394598952035472</v>
      </c>
      <c r="N16" s="11">
        <f>SUM('UPS RATES'!N16-'FedEx Rates'!N15)/('UPS RATES'!N16)</f>
        <v>0.39864382583868657</v>
      </c>
      <c r="O16" s="11">
        <f>SUM('UPS RATES'!O16-'FedEx Rates'!O15)/('UPS RATES'!O16)</f>
        <v>0.37955097087378642</v>
      </c>
      <c r="P16" s="11">
        <f>SUM('UPS RATES'!P16-'FedEx Rates'!P15)/('UPS RATES'!P16)</f>
        <v>0.16998671978751662</v>
      </c>
      <c r="Q16" s="11">
        <f>SUM('UPS RATES'!Q16-'FedEx Rates'!Q15)/('UPS RATES'!Q16)</f>
        <v>0.18725617685305596</v>
      </c>
      <c r="R16" s="11">
        <f>SUM('UPS RATES'!R16-'FedEx Rates'!R15)/('UPS RATES'!R16)</f>
        <v>0.22648514851485149</v>
      </c>
      <c r="S16" s="11">
        <f>SUM('UPS RATES'!S16-'FedEx Rates'!S15)/('UPS RATES'!S16)</f>
        <v>0.27777777777777779</v>
      </c>
      <c r="T16" s="11">
        <f>SUM('UPS RATES'!T16-'FedEx Rates'!T15)/('UPS RATES'!T16)</f>
        <v>0.27870461236506378</v>
      </c>
      <c r="U16" s="11">
        <f>SUM('UPS RATES'!U16-'FedEx Rates'!U15)/('UPS RATES'!U16)</f>
        <v>0.27751196172248793</v>
      </c>
      <c r="V16" s="11">
        <f>SUM('UPS RATES'!V16-'FedEx Rates'!V15)/('UPS RATES'!V16)</f>
        <v>0.27611395178962744</v>
      </c>
      <c r="W16" s="11">
        <f>SUM('UPS RATES'!W16-'FedEx Rates'!W15)/('UPS RATES'!W16)</f>
        <v>0.34479865771812085</v>
      </c>
      <c r="X16" s="11">
        <f>SUM('UPS RATES'!X16-'FedEx Rates'!X15)/('UPS RATES'!X16)</f>
        <v>0.52364066193853431</v>
      </c>
      <c r="Y16" s="11">
        <f>SUM('UPS RATES'!Y16-'FedEx Rates'!Y15)/('UPS RATES'!Y16)</f>
        <v>0.5221932114882506</v>
      </c>
      <c r="Z16" s="11">
        <f>SUM('UPS RATES'!Z16-'FedEx Rates'!Z15)/('UPS RATES'!Z16)</f>
        <v>0.52380952380952384</v>
      </c>
      <c r="AA16" s="11">
        <f>SUM('UPS RATES'!AA16-'FedEx Rates'!AA15)/('UPS RATES'!AA16)</f>
        <v>0.52390381895332394</v>
      </c>
      <c r="AB16" s="11">
        <f>SUM('UPS RATES'!AB16-'FedEx Rates'!AB15)/('UPS RATES'!AB16)</f>
        <v>0.52367688022284131</v>
      </c>
      <c r="AC16" s="11">
        <f>SUM('UPS RATES'!AC16-'FedEx Rates'!AC15)/('UPS RATES'!AC16)</f>
        <v>0.5235849056603773</v>
      </c>
    </row>
    <row r="17" spans="1:29" x14ac:dyDescent="0.25">
      <c r="A17">
        <v>15</v>
      </c>
      <c r="B17" s="11">
        <f>SUM('UPS RATES'!B17-'FedEx Rates'!B16)/('UPS RATES'!B17)</f>
        <v>0.23885350318471338</v>
      </c>
      <c r="C17" s="11">
        <f>SUM('UPS RATES'!C17-'FedEx Rates'!C16)/('UPS RATES'!C17)</f>
        <v>0.23891402714932131</v>
      </c>
      <c r="D17" s="11">
        <f>SUM('UPS RATES'!D17-'FedEx Rates'!D16)/('UPS RATES'!D17)</f>
        <v>0.2453637660485021</v>
      </c>
      <c r="E17" s="11">
        <f>SUM('UPS RATES'!E17-'FedEx Rates'!E16)/('UPS RATES'!E17)</f>
        <v>0.23842364532019703</v>
      </c>
      <c r="F17" s="11">
        <f>SUM('UPS RATES'!F17-'FedEx Rates'!F16)/('UPS RATES'!F17)</f>
        <v>0.2406166219839142</v>
      </c>
      <c r="G17" s="11">
        <f>SUM('UPS RATES'!G17-'FedEx Rates'!G16)/('UPS RATES'!G17)</f>
        <v>0.238801261829653</v>
      </c>
      <c r="H17" s="11">
        <f>SUM('UPS RATES'!H17-'FedEx Rates'!H16)/('UPS RATES'!H17)</f>
        <v>0.23872919818456875</v>
      </c>
      <c r="I17" s="11">
        <f>SUM('UPS RATES'!I17-'FedEx Rates'!I16)/('UPS RATES'!I17)</f>
        <v>0.34010152284263956</v>
      </c>
      <c r="J17" s="11">
        <f>SUM('UPS RATES'!J17-'FedEx Rates'!J16)/('UPS RATES'!J17)</f>
        <v>0.32789559543230012</v>
      </c>
      <c r="K17" s="11">
        <f>SUM('UPS RATES'!K17-'FedEx Rates'!K16)/('UPS RATES'!K17)</f>
        <v>0.3073101490418737</v>
      </c>
      <c r="L17" s="11">
        <f>SUM('UPS RATES'!L17-'FedEx Rates'!L16)/('UPS RATES'!L17)</f>
        <v>0.34482758620689652</v>
      </c>
      <c r="M17" s="11">
        <f>SUM('UPS RATES'!M17-'FedEx Rates'!M16)/('UPS RATES'!M17)</f>
        <v>0.41459686664119222</v>
      </c>
      <c r="N17" s="11">
        <f>SUM('UPS RATES'!N17-'FedEx Rates'!N16)/('UPS RATES'!N17)</f>
        <v>0.40052100293064152</v>
      </c>
      <c r="O17" s="11">
        <f>SUM('UPS RATES'!O17-'FedEx Rates'!O16)/('UPS RATES'!O17)</f>
        <v>0.38002296211251435</v>
      </c>
      <c r="P17" s="11">
        <f>SUM('UPS RATES'!P17-'FedEx Rates'!P16)/('UPS RATES'!P17)</f>
        <v>0.16998671978751662</v>
      </c>
      <c r="Q17" s="11">
        <f>SUM('UPS RATES'!Q17-'FedEx Rates'!Q16)/('UPS RATES'!Q17)</f>
        <v>0.2048346055979644</v>
      </c>
      <c r="R17" s="11">
        <f>SUM('UPS RATES'!R17-'FedEx Rates'!R16)/('UPS RATES'!R17)</f>
        <v>0.23780487804878042</v>
      </c>
      <c r="S17" s="11">
        <f>SUM('UPS RATES'!S17-'FedEx Rates'!S16)/('UPS RATES'!S17)</f>
        <v>0.27789699570815446</v>
      </c>
      <c r="T17" s="11">
        <f>SUM('UPS RATES'!T17-'FedEx Rates'!T16)/('UPS RATES'!T17)</f>
        <v>0.27813953488372095</v>
      </c>
      <c r="U17" s="11">
        <f>SUM('UPS RATES'!U17-'FedEx Rates'!U16)/('UPS RATES'!U17)</f>
        <v>0.27820710973724883</v>
      </c>
      <c r="V17" s="11">
        <f>SUM('UPS RATES'!V17-'FedEx Rates'!V16)/('UPS RATES'!V17)</f>
        <v>0.28053035589672015</v>
      </c>
      <c r="W17" s="11">
        <f>SUM('UPS RATES'!W17-'FedEx Rates'!W16)/('UPS RATES'!W17)</f>
        <v>0.34753550543024236</v>
      </c>
      <c r="X17" s="11">
        <f>SUM('UPS RATES'!X17-'FedEx Rates'!X16)/('UPS RATES'!X17)</f>
        <v>0.52408930669800236</v>
      </c>
      <c r="Y17" s="11">
        <f>SUM('UPS RATES'!Y17-'FedEx Rates'!Y16)/('UPS RATES'!Y17)</f>
        <v>0.52074622064972653</v>
      </c>
      <c r="Z17" s="11">
        <f>SUM('UPS RATES'!Z17-'FedEx Rates'!Z16)/('UPS RATES'!Z17)</f>
        <v>0.52365930599369082</v>
      </c>
      <c r="AA17" s="11">
        <f>SUM('UPS RATES'!AA17-'FedEx Rates'!AA16)/('UPS RATES'!AA17)</f>
        <v>0.52375597413550745</v>
      </c>
      <c r="AB17" s="11">
        <f>SUM('UPS RATES'!AB17-'FedEx Rates'!AB16)/('UPS RATES'!AB17)</f>
        <v>0.52355757117661872</v>
      </c>
      <c r="AC17" s="11">
        <f>SUM('UPS RATES'!AC17-'FedEx Rates'!AC16)/('UPS RATES'!AC17)</f>
        <v>0.52358607063472462</v>
      </c>
    </row>
    <row r="18" spans="1:29" x14ac:dyDescent="0.25">
      <c r="A18">
        <v>16</v>
      </c>
      <c r="B18" s="11">
        <f>SUM('UPS RATES'!B18-'FedEx Rates'!B17)/('UPS RATES'!B18)</f>
        <v>0.23755186721991708</v>
      </c>
      <c r="C18" s="11">
        <f>SUM('UPS RATES'!C18-'FedEx Rates'!C17)/('UPS RATES'!C18)</f>
        <v>0.23838737949167402</v>
      </c>
      <c r="D18" s="11">
        <f>SUM('UPS RATES'!D18-'FedEx Rates'!D17)/('UPS RATES'!D18)</f>
        <v>0.24383561643835622</v>
      </c>
      <c r="E18" s="11">
        <f>SUM('UPS RATES'!E18-'FedEx Rates'!E17)/('UPS RATES'!E18)</f>
        <v>0.23891273247496414</v>
      </c>
      <c r="F18" s="11">
        <f>SUM('UPS RATES'!F18-'FedEx Rates'!F17)/('UPS RATES'!F18)</f>
        <v>0.23930524284335802</v>
      </c>
      <c r="G18" s="11">
        <f>SUM('UPS RATES'!G18-'FedEx Rates'!G17)/('UPS RATES'!G18)</f>
        <v>0.23882388238823876</v>
      </c>
      <c r="H18" s="11">
        <f>SUM('UPS RATES'!H18-'FedEx Rates'!H17)/('UPS RATES'!H18)</f>
        <v>0.23889695210449938</v>
      </c>
      <c r="I18" s="11">
        <f>SUM('UPS RATES'!I18-'FedEx Rates'!I17)/('UPS RATES'!I18)</f>
        <v>0.31714568880079291</v>
      </c>
      <c r="J18" s="11">
        <f>SUM('UPS RATES'!J18-'FedEx Rates'!J17)/('UPS RATES'!J18)</f>
        <v>0.32965299684542587</v>
      </c>
      <c r="K18" s="11">
        <f>SUM('UPS RATES'!K18-'FedEx Rates'!K17)/('UPS RATES'!K18)</f>
        <v>0.30916552667578656</v>
      </c>
      <c r="L18" s="11">
        <f>SUM('UPS RATES'!L18-'FedEx Rates'!L17)/('UPS RATES'!L18)</f>
        <v>0.34507401735579374</v>
      </c>
      <c r="M18" s="11">
        <f>SUM('UPS RATES'!M18-'FedEx Rates'!M17)/('UPS RATES'!M18)</f>
        <v>0.4149560117302053</v>
      </c>
      <c r="N18" s="11">
        <f>SUM('UPS RATES'!N18-'FedEx Rates'!N17)/('UPS RATES'!N18)</f>
        <v>0.39999999999999997</v>
      </c>
      <c r="O18" s="11">
        <f>SUM('UPS RATES'!O18-'FedEx Rates'!O17)/('UPS RATES'!O18)</f>
        <v>0.37844542447629548</v>
      </c>
      <c r="P18" s="11">
        <f>SUM('UPS RATES'!P18-'FedEx Rates'!P17)/('UPS RATES'!P18)</f>
        <v>0.16998671978751662</v>
      </c>
      <c r="Q18" s="11">
        <f>SUM('UPS RATES'!Q18-'FedEx Rates'!Q17)/('UPS RATES'!Q18)</f>
        <v>0.22648514851485149</v>
      </c>
      <c r="R18" s="11">
        <f>SUM('UPS RATES'!R18-'FedEx Rates'!R17)/('UPS RATES'!R18)</f>
        <v>0.25149700598802394</v>
      </c>
      <c r="S18" s="11">
        <f>SUM('UPS RATES'!S18-'FedEx Rates'!S17)/('UPS RATES'!S18)</f>
        <v>0.2774261603375528</v>
      </c>
      <c r="T18" s="11">
        <f>SUM('UPS RATES'!T18-'FedEx Rates'!T17)/('UPS RATES'!T18)</f>
        <v>0.27837837837837837</v>
      </c>
      <c r="U18" s="11">
        <f>SUM('UPS RATES'!U18-'FedEx Rates'!U17)/('UPS RATES'!U18)</f>
        <v>0.27700220426157235</v>
      </c>
      <c r="V18" s="11">
        <f>SUM('UPS RATES'!V18-'FedEx Rates'!V17)/('UPS RATES'!V18)</f>
        <v>0.2767379679144385</v>
      </c>
      <c r="W18" s="11">
        <f>SUM('UPS RATES'!W18-'FedEx Rates'!W17)/('UPS RATES'!W18)</f>
        <v>0.38697017268445844</v>
      </c>
      <c r="X18" s="11">
        <f>SUM('UPS RATES'!X18-'FedEx Rates'!X17)/('UPS RATES'!X18)</f>
        <v>0.52360965372507862</v>
      </c>
      <c r="Y18" s="11">
        <f>SUM('UPS RATES'!Y18-'FedEx Rates'!Y17)/('UPS RATES'!Y18)</f>
        <v>0.52202577165118369</v>
      </c>
      <c r="Z18" s="11">
        <f>SUM('UPS RATES'!Z18-'FedEx Rates'!Z17)/('UPS RATES'!Z18)</f>
        <v>0.52065691557608418</v>
      </c>
      <c r="AA18" s="11">
        <f>SUM('UPS RATES'!AA18-'FedEx Rates'!AA17)/('UPS RATES'!AA18)</f>
        <v>0.52363090772693177</v>
      </c>
      <c r="AB18" s="11">
        <f>SUM('UPS RATES'!AB18-'FedEx Rates'!AB17)/('UPS RATES'!AB18)</f>
        <v>0.52367879203843515</v>
      </c>
      <c r="AC18" s="11">
        <f>SUM('UPS RATES'!AC18-'FedEx Rates'!AC17)/('UPS RATES'!AC18)</f>
        <v>0.52377747868999547</v>
      </c>
    </row>
    <row r="19" spans="1:29" x14ac:dyDescent="0.25">
      <c r="A19">
        <v>17</v>
      </c>
      <c r="B19" s="11">
        <f>SUM('UPS RATES'!B19-'FedEx Rates'!B18)/('UPS RATES'!B19)</f>
        <v>0.23943661971830987</v>
      </c>
      <c r="C19" s="11">
        <f>SUM('UPS RATES'!C19-'FedEx Rates'!C18)/('UPS RATES'!C19)</f>
        <v>0.23894557823129256</v>
      </c>
      <c r="D19" s="11">
        <f>SUM('UPS RATES'!D19-'FedEx Rates'!D18)/('UPS RATES'!D19)</f>
        <v>0.24276315789473682</v>
      </c>
      <c r="E19" s="11">
        <f>SUM('UPS RATES'!E19-'FedEx Rates'!E18)/('UPS RATES'!E19)</f>
        <v>0.23896222121074193</v>
      </c>
      <c r="F19" s="11">
        <f>SUM('UPS RATES'!F19-'FedEx Rates'!F18)/('UPS RATES'!F19)</f>
        <v>0.23915050784856887</v>
      </c>
      <c r="G19" s="11">
        <f>SUM('UPS RATES'!G19-'FedEx Rates'!G18)/('UPS RATES'!G19)</f>
        <v>0.23896325833095985</v>
      </c>
      <c r="H19" s="11">
        <f>SUM('UPS RATES'!H19-'FedEx Rates'!H18)/('UPS RATES'!H19)</f>
        <v>0.23904603438713257</v>
      </c>
      <c r="I19" s="11">
        <f>SUM('UPS RATES'!I19-'FedEx Rates'!I18)/('UPS RATES'!I19)</f>
        <v>0.31355093966369924</v>
      </c>
      <c r="J19" s="11">
        <f>SUM('UPS RATES'!J19-'FedEx Rates'!J18)/('UPS RATES'!J19)</f>
        <v>0.31053459119496862</v>
      </c>
      <c r="K19" s="11">
        <f>SUM('UPS RATES'!K19-'FedEx Rates'!K18)/('UPS RATES'!K19)</f>
        <v>0.30743910467412772</v>
      </c>
      <c r="L19" s="11">
        <f>SUM('UPS RATES'!L19-'FedEx Rates'!L18)/('UPS RATES'!L19)</f>
        <v>0.34545454545454546</v>
      </c>
      <c r="M19" s="11">
        <f>SUM('UPS RATES'!M19-'FedEx Rates'!M18)/('UPS RATES'!M19)</f>
        <v>0.41265912305516272</v>
      </c>
      <c r="N19" s="11">
        <f>SUM('UPS RATES'!N19-'FedEx Rates'!N18)/('UPS RATES'!N19)</f>
        <v>0.39758663366336638</v>
      </c>
      <c r="O19" s="11">
        <f>SUM('UPS RATES'!O19-'FedEx Rates'!O18)/('UPS RATES'!O19)</f>
        <v>0.37908324552160172</v>
      </c>
      <c r="P19" s="11">
        <f>SUM('UPS RATES'!P19-'FedEx Rates'!P18)/('UPS RATES'!P19)</f>
        <v>0.16998671978751662</v>
      </c>
      <c r="Q19" s="11">
        <f>SUM('UPS RATES'!Q19-'FedEx Rates'!Q18)/('UPS RATES'!Q19)</f>
        <v>0.24150485436893207</v>
      </c>
      <c r="R19" s="11">
        <f>SUM('UPS RATES'!R19-'FedEx Rates'!R18)/('UPS RATES'!R19)</f>
        <v>0.25947867298578192</v>
      </c>
      <c r="S19" s="11">
        <f>SUM('UPS RATES'!S19-'FedEx Rates'!S18)/('UPS RATES'!S19)</f>
        <v>0.27794871794871795</v>
      </c>
      <c r="T19" s="11">
        <f>SUM('UPS RATES'!T19-'FedEx Rates'!T18)/('UPS RATES'!T19)</f>
        <v>0.27768166089965401</v>
      </c>
      <c r="U19" s="11">
        <f>SUM('UPS RATES'!U19-'FedEx Rates'!U18)/('UPS RATES'!U19)</f>
        <v>0.27742837176799445</v>
      </c>
      <c r="V19" s="11">
        <f>SUM('UPS RATES'!V19-'FedEx Rates'!V18)/('UPS RATES'!V19)</f>
        <v>0.27992021276595741</v>
      </c>
      <c r="W19" s="11">
        <f>SUM('UPS RATES'!W19-'FedEx Rates'!W18)/('UPS RATES'!W19)</f>
        <v>0.41933085501858736</v>
      </c>
      <c r="X19" s="11">
        <f>SUM('UPS RATES'!X19-'FedEx Rates'!X18)/('UPS RATES'!X19)</f>
        <v>0.52336448598130847</v>
      </c>
      <c r="Y19" s="11">
        <f>SUM('UPS RATES'!Y19-'FedEx Rates'!Y18)/('UPS RATES'!Y19)</f>
        <v>0.52199829690604593</v>
      </c>
      <c r="Z19" s="11">
        <f>SUM('UPS RATES'!Z19-'FedEx Rates'!Z18)/('UPS RATES'!Z19)</f>
        <v>0.52225594334850778</v>
      </c>
      <c r="AA19" s="11">
        <f>SUM('UPS RATES'!AA19-'FedEx Rates'!AA18)/('UPS RATES'!AA19)</f>
        <v>0.52360939431396791</v>
      </c>
      <c r="AB19" s="11">
        <f>SUM('UPS RATES'!AB19-'FedEx Rates'!AB18)/('UPS RATES'!AB19)</f>
        <v>0.52369077306733158</v>
      </c>
      <c r="AC19" s="11">
        <f>SUM('UPS RATES'!AC19-'FedEx Rates'!AC18)/('UPS RATES'!AC19)</f>
        <v>0.52377777777777779</v>
      </c>
    </row>
    <row r="20" spans="1:29" x14ac:dyDescent="0.25">
      <c r="A20">
        <v>18</v>
      </c>
      <c r="B20" s="11">
        <f>SUM('UPS RATES'!B20-'FedEx Rates'!B19)/('UPS RATES'!B20)</f>
        <v>0.23855890944498534</v>
      </c>
      <c r="C20" s="11">
        <f>SUM('UPS RATES'!C20-'FedEx Rates'!C19)/('UPS RATES'!C20)</f>
        <v>0.23950617283950618</v>
      </c>
      <c r="D20" s="11">
        <f>SUM('UPS RATES'!D20-'FedEx Rates'!D19)/('UPS RATES'!D20)</f>
        <v>0.24445851804939833</v>
      </c>
      <c r="E20" s="11">
        <f>SUM('UPS RATES'!E20-'FedEx Rates'!E19)/('UPS RATES'!E20)</f>
        <v>0.23845138583370001</v>
      </c>
      <c r="F20" s="11">
        <f>SUM('UPS RATES'!F20-'FedEx Rates'!F19)/('UPS RATES'!F20)</f>
        <v>0.2393617021276597</v>
      </c>
      <c r="G20" s="11">
        <f>SUM('UPS RATES'!G20-'FedEx Rates'!G19)/('UPS RATES'!G20)</f>
        <v>0.23895253682487722</v>
      </c>
      <c r="H20" s="11">
        <f>SUM('UPS RATES'!H20-'FedEx Rates'!H19)/('UPS RATES'!H20)</f>
        <v>0.24656084656084648</v>
      </c>
      <c r="I20" s="11">
        <f>SUM('UPS RATES'!I20-'FedEx Rates'!I19)/('UPS RATES'!I20)</f>
        <v>0.27973358705994289</v>
      </c>
      <c r="J20" s="11">
        <f>SUM('UPS RATES'!J20-'FedEx Rates'!J19)/('UPS RATES'!J20)</f>
        <v>0.30007733952049492</v>
      </c>
      <c r="K20" s="11">
        <f>SUM('UPS RATES'!K20-'FedEx Rates'!K19)/('UPS RATES'!K20)</f>
        <v>0.3062261753494282</v>
      </c>
      <c r="L20" s="11">
        <f>SUM('UPS RATES'!L20-'FedEx Rates'!L19)/('UPS RATES'!L20)</f>
        <v>0.3500967117988395</v>
      </c>
      <c r="M20" s="11">
        <f>SUM('UPS RATES'!M20-'FedEx Rates'!M19)/('UPS RATES'!M20)</f>
        <v>0.41416893732970028</v>
      </c>
      <c r="N20" s="11">
        <f>SUM('UPS RATES'!N20-'FedEx Rates'!N19)/('UPS RATES'!N20)</f>
        <v>0.39516358463726881</v>
      </c>
      <c r="O20" s="11">
        <f>SUM('UPS RATES'!O20-'FedEx Rates'!O19)/('UPS RATES'!O20)</f>
        <v>0.37895005096839962</v>
      </c>
      <c r="P20" s="11">
        <f>SUM('UPS RATES'!P20-'FedEx Rates'!P19)/('UPS RATES'!P20)</f>
        <v>0.17763157894736839</v>
      </c>
      <c r="Q20" s="11">
        <f>SUM('UPS RATES'!Q20-'FedEx Rates'!Q19)/('UPS RATES'!Q20)</f>
        <v>0.25328554360812416</v>
      </c>
      <c r="R20" s="11">
        <f>SUM('UPS RATES'!R20-'FedEx Rates'!R19)/('UPS RATES'!R20)</f>
        <v>0.26729191090269633</v>
      </c>
      <c r="S20" s="11">
        <f>SUM('UPS RATES'!S20-'FedEx Rates'!S19)/('UPS RATES'!S20)</f>
        <v>0.27815866797257593</v>
      </c>
      <c r="T20" s="11">
        <f>SUM('UPS RATES'!T20-'FedEx Rates'!T19)/('UPS RATES'!T20)</f>
        <v>0.27773212818405923</v>
      </c>
      <c r="U20" s="11">
        <f>SUM('UPS RATES'!U20-'FedEx Rates'!U19)/('UPS RATES'!U20)</f>
        <v>0.27796610169491526</v>
      </c>
      <c r="V20" s="11">
        <f>SUM('UPS RATES'!V20-'FedEx Rates'!V19)/('UPS RATES'!V20)</f>
        <v>0.28051787916152893</v>
      </c>
      <c r="W20" s="11">
        <f>SUM('UPS RATES'!W20-'FedEx Rates'!W19)/('UPS RATES'!W20)</f>
        <v>0.42361623616236166</v>
      </c>
      <c r="X20" s="11">
        <f>SUM('UPS RATES'!X20-'FedEx Rates'!X19)/('UPS RATES'!X20)</f>
        <v>0.52348993288590606</v>
      </c>
      <c r="Y20" s="11">
        <f>SUM('UPS RATES'!Y20-'FedEx Rates'!Y19)/('UPS RATES'!Y20)</f>
        <v>0.52242595204513409</v>
      </c>
      <c r="Z20" s="11">
        <f>SUM('UPS RATES'!Z20-'FedEx Rates'!Z19)/('UPS RATES'!Z20)</f>
        <v>0.52235412983076535</v>
      </c>
      <c r="AA20" s="11">
        <f>SUM('UPS RATES'!AA20-'FedEx Rates'!AA19)/('UPS RATES'!AA20)</f>
        <v>0.52370370370370367</v>
      </c>
      <c r="AB20" s="11">
        <f>SUM('UPS RATES'!AB20-'FedEx Rates'!AB19)/('UPS RATES'!AB20)</f>
        <v>0.52366930917327292</v>
      </c>
      <c r="AC20" s="11">
        <f>SUM('UPS RATES'!AC20-'FedEx Rates'!AC19)/('UPS RATES'!AC20)</f>
        <v>0.52375666074600358</v>
      </c>
    </row>
    <row r="21" spans="1:29" x14ac:dyDescent="0.25">
      <c r="A21">
        <v>19</v>
      </c>
      <c r="B21" s="11">
        <f>SUM('UPS RATES'!B21-'FedEx Rates'!B20)/('UPS RATES'!B21)</f>
        <v>0.23970037453183526</v>
      </c>
      <c r="C21" s="11">
        <f>SUM('UPS RATES'!C21-'FedEx Rates'!C20)/('UPS RATES'!C21)</f>
        <v>0.23958333333333334</v>
      </c>
      <c r="D21" s="11">
        <f>SUM('UPS RATES'!D21-'FedEx Rates'!D20)/('UPS RATES'!D21)</f>
        <v>0.24229346485819975</v>
      </c>
      <c r="E21" s="11">
        <f>SUM('UPS RATES'!E21-'FedEx Rates'!E20)/('UPS RATES'!E21)</f>
        <v>0.23879966187658488</v>
      </c>
      <c r="F21" s="11">
        <f>SUM('UPS RATES'!F21-'FedEx Rates'!F20)/('UPS RATES'!F21)</f>
        <v>0.23901882487164866</v>
      </c>
      <c r="G21" s="11">
        <f>SUM('UPS RATES'!G21-'FedEx Rates'!G20)/('UPS RATES'!G21)</f>
        <v>0.23891497130933759</v>
      </c>
      <c r="H21" s="11">
        <f>SUM('UPS RATES'!H21-'FedEx Rates'!H20)/('UPS RATES'!H21)</f>
        <v>0.23884381338742391</v>
      </c>
      <c r="I21" s="11">
        <f>SUM('UPS RATES'!I21-'FedEx Rates'!I20)/('UPS RATES'!I21)</f>
        <v>0.27881040892193309</v>
      </c>
      <c r="J21" s="11">
        <f>SUM('UPS RATES'!J21-'FedEx Rates'!J20)/('UPS RATES'!J21)</f>
        <v>0.29788838612368018</v>
      </c>
      <c r="K21" s="11">
        <f>SUM('UPS RATES'!K21-'FedEx Rates'!K20)/('UPS RATES'!K21)</f>
        <v>0.3054701905347264</v>
      </c>
      <c r="L21" s="11">
        <f>SUM('UPS RATES'!L21-'FedEx Rates'!L20)/('UPS RATES'!L21)</f>
        <v>0.35027985074626872</v>
      </c>
      <c r="M21" s="11">
        <f>SUM('UPS RATES'!M21-'FedEx Rates'!M20)/('UPS RATES'!M21)</f>
        <v>0.41320132013201316</v>
      </c>
      <c r="N21" s="11">
        <f>SUM('UPS RATES'!N21-'FedEx Rates'!N20)/('UPS RATES'!N21)</f>
        <v>0.39221140472879001</v>
      </c>
      <c r="O21" s="11">
        <f>SUM('UPS RATES'!O21-'FedEx Rates'!O20)/('UPS RATES'!O21)</f>
        <v>0.37853802608909676</v>
      </c>
      <c r="P21" s="11">
        <f>SUM('UPS RATES'!P21-'FedEx Rates'!P20)/('UPS RATES'!P21)</f>
        <v>0.19768934531450577</v>
      </c>
      <c r="Q21" s="11">
        <f>SUM('UPS RATES'!Q21-'FedEx Rates'!Q20)/('UPS RATES'!Q21)</f>
        <v>0.27459954233409617</v>
      </c>
      <c r="R21" s="11">
        <f>SUM('UPS RATES'!R21-'FedEx Rates'!R20)/('UPS RATES'!R21)</f>
        <v>0.2756696428571429</v>
      </c>
      <c r="S21" s="11">
        <f>SUM('UPS RATES'!S21-'FedEx Rates'!S20)/('UPS RATES'!S21)</f>
        <v>0.27485928705440899</v>
      </c>
      <c r="T21" s="11">
        <f>SUM('UPS RATES'!T21-'FedEx Rates'!T20)/('UPS RATES'!T21)</f>
        <v>0.27483974358974356</v>
      </c>
      <c r="U21" s="11">
        <f>SUM('UPS RATES'!U21-'FedEx Rates'!U20)/('UPS RATES'!U21)</f>
        <v>0.27590759075907589</v>
      </c>
      <c r="V21" s="11">
        <f>SUM('UPS RATES'!V21-'FedEx Rates'!V20)/('UPS RATES'!V21)</f>
        <v>0.27547393364928902</v>
      </c>
      <c r="W21" s="11">
        <f>SUM('UPS RATES'!W21-'FedEx Rates'!W20)/('UPS RATES'!W21)</f>
        <v>0.42741935483870974</v>
      </c>
      <c r="X21" s="11">
        <f>SUM('UPS RATES'!X21-'FedEx Rates'!X20)/('UPS RATES'!X21)</f>
        <v>0.52344152498712004</v>
      </c>
      <c r="Y21" s="11">
        <f>SUM('UPS RATES'!Y21-'FedEx Rates'!Y20)/('UPS RATES'!Y21)</f>
        <v>0.52198421645997739</v>
      </c>
      <c r="Z21" s="11">
        <f>SUM('UPS RATES'!Z21-'FedEx Rates'!Z20)/('UPS RATES'!Z21)</f>
        <v>0.52209038121686446</v>
      </c>
      <c r="AA21" s="11">
        <f>SUM('UPS RATES'!AA21-'FedEx Rates'!AA20)/('UPS RATES'!AA21)</f>
        <v>0.52368031573754315</v>
      </c>
      <c r="AB21" s="11">
        <f>SUM('UPS RATES'!AB21-'FedEx Rates'!AB20)/('UPS RATES'!AB21)</f>
        <v>0.52364788413668251</v>
      </c>
      <c r="AC21" s="11">
        <f>SUM('UPS RATES'!AC21-'FedEx Rates'!AC20)/('UPS RATES'!AC21)</f>
        <v>0.52373558118899732</v>
      </c>
    </row>
    <row r="22" spans="1:29" x14ac:dyDescent="0.25">
      <c r="A22">
        <v>20</v>
      </c>
      <c r="B22" s="11">
        <f>SUM('UPS RATES'!B22-'FedEx Rates'!B21)/('UPS RATES'!B22)</f>
        <v>0.23891402714932131</v>
      </c>
      <c r="C22" s="11">
        <f>SUM('UPS RATES'!C22-'FedEx Rates'!C21)/('UPS RATES'!C22)</f>
        <v>0.238863287250384</v>
      </c>
      <c r="D22" s="11">
        <f>SUM('UPS RATES'!D22-'FedEx Rates'!D21)/('UPS RATES'!D22)</f>
        <v>0.24272997032640958</v>
      </c>
      <c r="E22" s="11">
        <f>SUM('UPS RATES'!E22-'FedEx Rates'!E21)/('UPS RATES'!E22)</f>
        <v>0.23869143780290791</v>
      </c>
      <c r="F22" s="11">
        <f>SUM('UPS RATES'!F22-'FedEx Rates'!F21)/('UPS RATES'!F22)</f>
        <v>0.23884297520661155</v>
      </c>
      <c r="G22" s="11">
        <f>SUM('UPS RATES'!G22-'FedEx Rates'!G21)/('UPS RATES'!G22)</f>
        <v>0.23877962682803822</v>
      </c>
      <c r="H22" s="11">
        <f>SUM('UPS RATES'!H22-'FedEx Rates'!H21)/('UPS RATES'!H22)</f>
        <v>0.23887530562347187</v>
      </c>
      <c r="I22" s="11">
        <f>SUM('UPS RATES'!I22-'FedEx Rates'!I21)/('UPS RATES'!I22)</f>
        <v>0.29257246376811591</v>
      </c>
      <c r="J22" s="11">
        <f>SUM('UPS RATES'!J22-'FedEx Rates'!J21)/('UPS RATES'!J22)</f>
        <v>0.3025147928994083</v>
      </c>
      <c r="K22" s="11">
        <f>SUM('UPS RATES'!K22-'FedEx Rates'!K21)/('UPS RATES'!K22)</f>
        <v>0.3013947847180109</v>
      </c>
      <c r="L22" s="11">
        <f>SUM('UPS RATES'!L22-'FedEx Rates'!L21)/('UPS RATES'!L22)</f>
        <v>0.34874326750448836</v>
      </c>
      <c r="M22" s="11">
        <f>SUM('UPS RATES'!M22-'FedEx Rates'!M21)/('UPS RATES'!M22)</f>
        <v>0.41204588910133844</v>
      </c>
      <c r="N22" s="11">
        <f>SUM('UPS RATES'!N22-'FedEx Rates'!N21)/('UPS RATES'!N22)</f>
        <v>0.39195561719833555</v>
      </c>
      <c r="O22" s="11">
        <f>SUM('UPS RATES'!O22-'FedEx Rates'!O21)/('UPS RATES'!O22)</f>
        <v>0.37428707224334601</v>
      </c>
      <c r="P22" s="11">
        <f>SUM('UPS RATES'!P22-'FedEx Rates'!P21)/('UPS RATES'!P22)</f>
        <v>0.20280612244897958</v>
      </c>
      <c r="Q22" s="11">
        <f>SUM('UPS RATES'!Q22-'FedEx Rates'!Q21)/('UPS RATES'!Q22)</f>
        <v>0.27551020408163274</v>
      </c>
      <c r="R22" s="11">
        <f>SUM('UPS RATES'!R22-'FedEx Rates'!R21)/('UPS RATES'!R22)</f>
        <v>0.27444444444444444</v>
      </c>
      <c r="S22" s="11">
        <f>SUM('UPS RATES'!S22-'FedEx Rates'!S21)/('UPS RATES'!S22)</f>
        <v>0.27527075812274376</v>
      </c>
      <c r="T22" s="11">
        <f>SUM('UPS RATES'!T22-'FedEx Rates'!T21)/('UPS RATES'!T22)</f>
        <v>0.27575522850503487</v>
      </c>
      <c r="U22" s="11">
        <f>SUM('UPS RATES'!U22-'FedEx Rates'!U21)/('UPS RATES'!U22)</f>
        <v>0.27515923566878975</v>
      </c>
      <c r="V22" s="11">
        <f>SUM('UPS RATES'!V22-'FedEx Rates'!V21)/('UPS RATES'!V22)</f>
        <v>0.2803632236095347</v>
      </c>
      <c r="W22" s="11">
        <f>SUM('UPS RATES'!W22-'FedEx Rates'!W21)/('UPS RATES'!W22)</f>
        <v>0.43034281546316566</v>
      </c>
      <c r="X22" s="11">
        <f>SUM('UPS RATES'!X22-'FedEx Rates'!X21)/('UPS RATES'!X22)</f>
        <v>0.52385838891739356</v>
      </c>
      <c r="Y22" s="11">
        <f>SUM('UPS RATES'!Y22-'FedEx Rates'!Y21)/('UPS RATES'!Y22)</f>
        <v>0.52</v>
      </c>
      <c r="Z22" s="11">
        <f>SUM('UPS RATES'!Z22-'FedEx Rates'!Z21)/('UPS RATES'!Z22)</f>
        <v>0.52385735811150169</v>
      </c>
      <c r="AA22" s="11">
        <f>SUM('UPS RATES'!AA22-'FedEx Rates'!AA21)/('UPS RATES'!AA22)</f>
        <v>0.52361042793900636</v>
      </c>
      <c r="AB22" s="11">
        <f>SUM('UPS RATES'!AB22-'FedEx Rates'!AB21)/('UPS RATES'!AB22)</f>
        <v>0.52369133574007221</v>
      </c>
      <c r="AC22" s="11">
        <f>SUM('UPS RATES'!AC22-'FedEx Rates'!AC21)/('UPS RATES'!AC22)</f>
        <v>0.5218258364724131</v>
      </c>
    </row>
    <row r="23" spans="1:29" x14ac:dyDescent="0.25">
      <c r="A23">
        <v>21</v>
      </c>
      <c r="B23" s="11">
        <f>SUM('UPS RATES'!B23-'FedEx Rates'!B22)/('UPS RATES'!B23)</f>
        <v>0.23875432525951554</v>
      </c>
      <c r="C23" s="11">
        <f>SUM('UPS RATES'!C23-'FedEx Rates'!C22)/('UPS RATES'!C23)</f>
        <v>0.23816568047337269</v>
      </c>
      <c r="D23" s="11">
        <f>SUM('UPS RATES'!D23-'FedEx Rates'!D22)/('UPS RATES'!D23)</f>
        <v>0.24313501144164759</v>
      </c>
      <c r="E23" s="11">
        <f>SUM('UPS RATES'!E23-'FedEx Rates'!E22)/('UPS RATES'!E23)</f>
        <v>0.23906250000000004</v>
      </c>
      <c r="F23" s="11">
        <f>SUM('UPS RATES'!F23-'FedEx Rates'!F22)/('UPS RATES'!F23)</f>
        <v>0.23902305159165746</v>
      </c>
      <c r="G23" s="11">
        <f>SUM('UPS RATES'!G23-'FedEx Rates'!G22)/('UPS RATES'!G23)</f>
        <v>0.23866406630911755</v>
      </c>
      <c r="H23" s="11">
        <f>SUM('UPS RATES'!H23-'FedEx Rates'!H22)/('UPS RATES'!H23)</f>
        <v>0.24651382651855361</v>
      </c>
      <c r="I23" s="11">
        <f>SUM('UPS RATES'!I23-'FedEx Rates'!I22)/('UPS RATES'!I23)</f>
        <v>0.3029513888888889</v>
      </c>
      <c r="J23" s="11">
        <f>SUM('UPS RATES'!J23-'FedEx Rates'!J22)/('UPS RATES'!J23)</f>
        <v>0.33651226158038144</v>
      </c>
      <c r="K23" s="11">
        <f>SUM('UPS RATES'!K23-'FedEx Rates'!K22)/('UPS RATES'!K23)</f>
        <v>0.30409356725146203</v>
      </c>
      <c r="L23" s="11">
        <f>SUM('UPS RATES'!L23-'FedEx Rates'!L22)/('UPS RATES'!L23)</f>
        <v>0.36926406926406929</v>
      </c>
      <c r="M23" s="11">
        <f>SUM('UPS RATES'!M23-'FedEx Rates'!M22)/('UPS RATES'!M23)</f>
        <v>0.39700374531835203</v>
      </c>
      <c r="N23" s="11">
        <f>SUM('UPS RATES'!N23-'FedEx Rates'!N22)/('UPS RATES'!N23)</f>
        <v>0.39324675324675329</v>
      </c>
      <c r="O23" s="11">
        <f>SUM('UPS RATES'!O23-'FedEx Rates'!O22)/('UPS RATES'!O23)</f>
        <v>0.3755167661920073</v>
      </c>
      <c r="P23" s="11">
        <f>SUM('UPS RATES'!P23-'FedEx Rates'!P22)/('UPS RATES'!P23)</f>
        <v>0.19768934531450577</v>
      </c>
      <c r="Q23" s="11">
        <f>SUM('UPS RATES'!Q23-'FedEx Rates'!Q22)/('UPS RATES'!Q23)</f>
        <v>0.24459613196814559</v>
      </c>
      <c r="R23" s="11">
        <f>SUM('UPS RATES'!R23-'FedEx Rates'!R22)/('UPS RATES'!R23)</f>
        <v>0.24505494505494502</v>
      </c>
      <c r="S23" s="11">
        <f>SUM('UPS RATES'!S23-'FedEx Rates'!S22)/('UPS RATES'!S23)</f>
        <v>0.24465116279069773</v>
      </c>
      <c r="T23" s="11">
        <f>SUM('UPS RATES'!T23-'FedEx Rates'!T22)/('UPS RATES'!T23)</f>
        <v>0.24902723735408555</v>
      </c>
      <c r="U23" s="11">
        <f>SUM('UPS RATES'!U23-'FedEx Rates'!U22)/('UPS RATES'!U23)</f>
        <v>0.24903722721437746</v>
      </c>
      <c r="V23" s="11">
        <f>SUM('UPS RATES'!V23-'FedEx Rates'!V22)/('UPS RATES'!V23)</f>
        <v>0.24928202182653647</v>
      </c>
      <c r="W23" s="11">
        <f>SUM('UPS RATES'!W23-'FedEx Rates'!W22)/('UPS RATES'!W23)</f>
        <v>0.45460893854748607</v>
      </c>
      <c r="X23" s="11">
        <f>SUM('UPS RATES'!X23-'FedEx Rates'!X22)/('UPS RATES'!X23)</f>
        <v>0.52355250245338558</v>
      </c>
      <c r="Y23" s="11">
        <f>SUM('UPS RATES'!Y23-'FedEx Rates'!Y22)/('UPS RATES'!Y23)</f>
        <v>0.51876779704892573</v>
      </c>
      <c r="Z23" s="11">
        <f>SUM('UPS RATES'!Z23-'FedEx Rates'!Z22)/('UPS RATES'!Z23)</f>
        <v>0.51939497438399618</v>
      </c>
      <c r="AA23" s="11">
        <f>SUM('UPS RATES'!AA23-'FedEx Rates'!AA22)/('UPS RATES'!AA23)</f>
        <v>0.52375434530706833</v>
      </c>
      <c r="AB23" s="11">
        <f>SUM('UPS RATES'!AB23-'FedEx Rates'!AB22)/('UPS RATES'!AB23)</f>
        <v>0.52266894781864837</v>
      </c>
      <c r="AC23" s="11">
        <f>SUM('UPS RATES'!AC23-'FedEx Rates'!AC22)/('UPS RATES'!AC23)</f>
        <v>0.52199354317998381</v>
      </c>
    </row>
    <row r="24" spans="1:29" x14ac:dyDescent="0.25">
      <c r="A24">
        <v>22</v>
      </c>
      <c r="B24" s="11">
        <f>SUM('UPS RATES'!B24-'FedEx Rates'!B23)/('UPS RATES'!B24)</f>
        <v>0.2390939597315436</v>
      </c>
      <c r="C24" s="11">
        <f>SUM('UPS RATES'!C24-'FedEx Rates'!C23)/('UPS RATES'!C24)</f>
        <v>0.23923782639378974</v>
      </c>
      <c r="D24" s="11">
        <f>SUM('UPS RATES'!D24-'FedEx Rates'!D23)/('UPS RATES'!D24)</f>
        <v>0.24220489977728291</v>
      </c>
      <c r="E24" s="11">
        <f>SUM('UPS RATES'!E24-'FedEx Rates'!E23)/('UPS RATES'!E24)</f>
        <v>0.2389817629179331</v>
      </c>
      <c r="F24" s="11">
        <f>SUM('UPS RATES'!F24-'FedEx Rates'!F23)/('UPS RATES'!F24)</f>
        <v>0.23879443585780524</v>
      </c>
      <c r="G24" s="11">
        <f>SUM('UPS RATES'!G24-'FedEx Rates'!G23)/('UPS RATES'!G24)</f>
        <v>0.23878844799248652</v>
      </c>
      <c r="H24" s="11">
        <f>SUM('UPS RATES'!H24-'FedEx Rates'!H23)/('UPS RATES'!H24)</f>
        <v>0.24641638225255982</v>
      </c>
      <c r="I24" s="11">
        <f>SUM('UPS RATES'!I24-'FedEx Rates'!I23)/('UPS RATES'!I24)</f>
        <v>0.27403035413153459</v>
      </c>
      <c r="J24" s="11">
        <f>SUM('UPS RATES'!J24-'FedEx Rates'!J23)/('UPS RATES'!J24)</f>
        <v>0.30417227456258411</v>
      </c>
      <c r="K24" s="11">
        <f>SUM('UPS RATES'!K24-'FedEx Rates'!K23)/('UPS RATES'!K24)</f>
        <v>0.29150028522532806</v>
      </c>
      <c r="L24" s="11">
        <f>SUM('UPS RATES'!L24-'FedEx Rates'!L23)/('UPS RATES'!L24)</f>
        <v>0.34723978086809948</v>
      </c>
      <c r="M24" s="11">
        <f>SUM('UPS RATES'!M24-'FedEx Rates'!M23)/('UPS RATES'!M24)</f>
        <v>0.40328358208955228</v>
      </c>
      <c r="N24" s="11">
        <f>SUM('UPS RATES'!N24-'FedEx Rates'!N23)/('UPS RATES'!N24)</f>
        <v>0.39245087900723891</v>
      </c>
      <c r="O24" s="11">
        <f>SUM('UPS RATES'!O24-'FedEx Rates'!O23)/('UPS RATES'!O24)</f>
        <v>0.37505538325210458</v>
      </c>
      <c r="P24" s="11">
        <f>SUM('UPS RATES'!P24-'FedEx Rates'!P23)/('UPS RATES'!P24)</f>
        <v>0.20076726342711002</v>
      </c>
      <c r="Q24" s="11">
        <f>SUM('UPS RATES'!Q24-'FedEx Rates'!Q23)/('UPS RATES'!Q24)</f>
        <v>0.24351747463359633</v>
      </c>
      <c r="R24" s="11">
        <f>SUM('UPS RATES'!R24-'FedEx Rates'!R23)/('UPS RATES'!R24)</f>
        <v>0.2449197860962567</v>
      </c>
      <c r="S24" s="11">
        <f>SUM('UPS RATES'!S24-'FedEx Rates'!S23)/('UPS RATES'!S24)</f>
        <v>0.24910071942446041</v>
      </c>
      <c r="T24" s="11">
        <f>SUM('UPS RATES'!T24-'FedEx Rates'!T23)/('UPS RATES'!T24)</f>
        <v>0.24962630792227217</v>
      </c>
      <c r="U24" s="11">
        <f>SUM('UPS RATES'!U24-'FedEx Rates'!U23)/('UPS RATES'!U24)</f>
        <v>0.24938118811881185</v>
      </c>
      <c r="V24" s="11">
        <f>SUM('UPS RATES'!V24-'FedEx Rates'!V23)/('UPS RATES'!V24)</f>
        <v>0.24931205283434235</v>
      </c>
      <c r="W24" s="11">
        <f>SUM('UPS RATES'!W24-'FedEx Rates'!W23)/('UPS RATES'!W24)</f>
        <v>0.47828991315965269</v>
      </c>
      <c r="X24" s="11">
        <f>SUM('UPS RATES'!X24-'FedEx Rates'!X23)/('UPS RATES'!X24)</f>
        <v>0.52347745234774523</v>
      </c>
      <c r="Y24" s="11">
        <f>SUM('UPS RATES'!Y24-'FedEx Rates'!Y23)/('UPS RATES'!Y24)</f>
        <v>0.52098517215380746</v>
      </c>
      <c r="Z24" s="11">
        <f>SUM('UPS RATES'!Z24-'FedEx Rates'!Z23)/('UPS RATES'!Z24)</f>
        <v>0.52361927144535836</v>
      </c>
      <c r="AA24" s="11">
        <f>SUM('UPS RATES'!AA24-'FedEx Rates'!AA23)/('UPS RATES'!AA24)</f>
        <v>0.52359033371691599</v>
      </c>
      <c r="AB24" s="11">
        <f>SUM('UPS RATES'!AB24-'FedEx Rates'!AB23)/('UPS RATES'!AB24)</f>
        <v>0.5236933089282082</v>
      </c>
      <c r="AC24" s="11">
        <f>SUM('UPS RATES'!AC24-'FedEx Rates'!AC23)/('UPS RATES'!AC24)</f>
        <v>0.52371695178849142</v>
      </c>
    </row>
    <row r="25" spans="1:29" x14ac:dyDescent="0.25">
      <c r="A25">
        <v>23</v>
      </c>
      <c r="B25" s="11">
        <f>SUM('UPS RATES'!B25-'FedEx Rates'!B24)/('UPS RATES'!B25)</f>
        <v>0.23914823914823927</v>
      </c>
      <c r="C25" s="11">
        <f>SUM('UPS RATES'!C25-'FedEx Rates'!C24)/('UPS RATES'!C25)</f>
        <v>0.23878536922015189</v>
      </c>
      <c r="D25" s="11">
        <f>SUM('UPS RATES'!D25-'FedEx Rates'!D24)/('UPS RATES'!D25)</f>
        <v>0.24288017195056419</v>
      </c>
      <c r="E25" s="11">
        <f>SUM('UPS RATES'!E25-'FedEx Rates'!E24)/('UPS RATES'!E25)</f>
        <v>0.23864056150720359</v>
      </c>
      <c r="F25" s="11">
        <f>SUM('UPS RATES'!F25-'FedEx Rates'!F24)/('UPS RATES'!F25)</f>
        <v>0.23893585280954749</v>
      </c>
      <c r="G25" s="11">
        <f>SUM('UPS RATES'!G25-'FedEx Rates'!G24)/('UPS RATES'!G25)</f>
        <v>0.23869061150261422</v>
      </c>
      <c r="H25" s="11">
        <f>SUM('UPS RATES'!H25-'FedEx Rates'!H24)/('UPS RATES'!H25)</f>
        <v>0.2462046204620463</v>
      </c>
      <c r="I25" s="11">
        <f>SUM('UPS RATES'!I25-'FedEx Rates'!I24)/('UPS RATES'!I25)</f>
        <v>0.26600985221674878</v>
      </c>
      <c r="J25" s="11">
        <f>SUM('UPS RATES'!J25-'FedEx Rates'!J24)/('UPS RATES'!J25)</f>
        <v>0.30643044619422571</v>
      </c>
      <c r="K25" s="11">
        <f>SUM('UPS RATES'!K25-'FedEx Rates'!K24)/('UPS RATES'!K25)</f>
        <v>0.2906852248394004</v>
      </c>
      <c r="L25" s="11">
        <f>SUM('UPS RATES'!L25-'FedEx Rates'!L24)/('UPS RATES'!L25)</f>
        <v>0.34498355263157898</v>
      </c>
      <c r="M25" s="11">
        <f>SUM('UPS RATES'!M25-'FedEx Rates'!M24)/('UPS RATES'!M25)</f>
        <v>0.39617169373549876</v>
      </c>
      <c r="N25" s="11">
        <f>SUM('UPS RATES'!N25-'FedEx Rates'!N24)/('UPS RATES'!N25)</f>
        <v>0.39178213091256564</v>
      </c>
      <c r="O25" s="11">
        <f>SUM('UPS RATES'!O25-'FedEx Rates'!O24)/('UPS RATES'!O25)</f>
        <v>0.38979416809605488</v>
      </c>
      <c r="P25" s="11">
        <f>SUM('UPS RATES'!P25-'FedEx Rates'!P24)/('UPS RATES'!P25)</f>
        <v>0.20382165605095537</v>
      </c>
      <c r="Q25" s="11">
        <f>SUM('UPS RATES'!Q25-'FedEx Rates'!Q24)/('UPS RATES'!Q25)</f>
        <v>0.24530386740331497</v>
      </c>
      <c r="R25" s="11">
        <f>SUM('UPS RATES'!R25-'FedEx Rates'!R24)/('UPS RATES'!R25)</f>
        <v>0.24948024948024944</v>
      </c>
      <c r="S25" s="11">
        <f>SUM('UPS RATES'!S25-'FedEx Rates'!S24)/('UPS RATES'!S25)</f>
        <v>0.24977934686672551</v>
      </c>
      <c r="T25" s="11">
        <f>SUM('UPS RATES'!T25-'FedEx Rates'!T24)/('UPS RATES'!T25)</f>
        <v>0.24927953890489918</v>
      </c>
      <c r="U25" s="11">
        <f>SUM('UPS RATES'!U25-'FedEx Rates'!U24)/('UPS RATES'!U25)</f>
        <v>0.24954682779456197</v>
      </c>
      <c r="V25" s="11">
        <f>SUM('UPS RATES'!V25-'FedEx Rates'!V24)/('UPS RATES'!V25)</f>
        <v>0.2493382742191636</v>
      </c>
      <c r="W25" s="11">
        <f>SUM('UPS RATES'!W25-'FedEx Rates'!W24)/('UPS RATES'!W25)</f>
        <v>0.4810631229235881</v>
      </c>
      <c r="X25" s="11">
        <f>SUM('UPS RATES'!X25-'FedEx Rates'!X24)/('UPS RATES'!X25)</f>
        <v>0.52380952380952372</v>
      </c>
      <c r="Y25" s="11">
        <f>SUM('UPS RATES'!Y25-'FedEx Rates'!Y24)/('UPS RATES'!Y25)</f>
        <v>0.52184525262387116</v>
      </c>
      <c r="Z25" s="11">
        <f>SUM('UPS RATES'!Z25-'FedEx Rates'!Z24)/('UPS RATES'!Z25)</f>
        <v>0.52194463200540175</v>
      </c>
      <c r="AA25" s="11">
        <f>SUM('UPS RATES'!AA25-'FedEx Rates'!AA24)/('UPS RATES'!AA25)</f>
        <v>0.52353567625133124</v>
      </c>
      <c r="AB25" s="11">
        <f>SUM('UPS RATES'!AB25-'FedEx Rates'!AB24)/('UPS RATES'!AB25)</f>
        <v>0.52371770150404939</v>
      </c>
      <c r="AC25" s="11">
        <f>SUM('UPS RATES'!AC25-'FedEx Rates'!AC24)/('UPS RATES'!AC25)</f>
        <v>0.52362948960302458</v>
      </c>
    </row>
    <row r="26" spans="1:29" x14ac:dyDescent="0.25">
      <c r="A26">
        <v>24</v>
      </c>
      <c r="B26" s="11">
        <f>SUM('UPS RATES'!B26-'FedEx Rates'!B25)/('UPS RATES'!B26)</f>
        <v>0.23939151321056848</v>
      </c>
      <c r="C26" s="11">
        <f>SUM('UPS RATES'!C26-'FedEx Rates'!C25)/('UPS RATES'!C26)</f>
        <v>0.23837981407702521</v>
      </c>
      <c r="D26" s="11">
        <f>SUM('UPS RATES'!D26-'FedEx Rates'!D25)/('UPS RATES'!D26)</f>
        <v>0.24270833333333336</v>
      </c>
      <c r="E26" s="11">
        <f>SUM('UPS RATES'!E26-'FedEx Rates'!E25)/('UPS RATES'!E26)</f>
        <v>0.23862019914651494</v>
      </c>
      <c r="F26" s="11">
        <f>SUM('UPS RATES'!F26-'FedEx Rates'!F25)/('UPS RATES'!F26)</f>
        <v>0.23866634684576638</v>
      </c>
      <c r="G26" s="11">
        <f>SUM('UPS RATES'!G26-'FedEx Rates'!G25)/('UPS RATES'!G26)</f>
        <v>0.2462802576060405</v>
      </c>
      <c r="H26" s="11">
        <f>SUM('UPS RATES'!H26-'FedEx Rates'!H25)/('UPS RATES'!H26)</f>
        <v>0.24624428478118882</v>
      </c>
      <c r="I26" s="11">
        <f>SUM('UPS RATES'!I26-'FedEx Rates'!I25)/('UPS RATES'!I26)</f>
        <v>0.26633986928104575</v>
      </c>
      <c r="J26" s="11">
        <f>SUM('UPS RATES'!J26-'FedEx Rates'!J25)/('UPS RATES'!J26)</f>
        <v>0.28178913738019168</v>
      </c>
      <c r="K26" s="11">
        <f>SUM('UPS RATES'!K26-'FedEx Rates'!K25)/('UPS RATES'!K26)</f>
        <v>0.29012023000522735</v>
      </c>
      <c r="L26" s="11">
        <f>SUM('UPS RATES'!L26-'FedEx Rates'!L25)/('UPS RATES'!L26)</f>
        <v>0.34378721714966254</v>
      </c>
      <c r="M26" s="11">
        <f>SUM('UPS RATES'!M26-'FedEx Rates'!M25)/('UPS RATES'!M26)</f>
        <v>0.39680314077397633</v>
      </c>
      <c r="N26" s="11">
        <f>SUM('UPS RATES'!N26-'FedEx Rates'!N25)/('UPS RATES'!N26)</f>
        <v>0.39189189189189194</v>
      </c>
      <c r="O26" s="11">
        <f>SUM('UPS RATES'!O26-'FedEx Rates'!O25)/('UPS RATES'!O26)</f>
        <v>0.40552899605071707</v>
      </c>
      <c r="P26" s="11">
        <f>SUM('UPS RATES'!P26-'FedEx Rates'!P25)/('UPS RATES'!P26)</f>
        <v>0.22456575682382138</v>
      </c>
      <c r="Q26" s="11">
        <f>SUM('UPS RATES'!Q26-'FedEx Rates'!Q25)/('UPS RATES'!Q26)</f>
        <v>0.24442082890541975</v>
      </c>
      <c r="R26" s="11">
        <f>SUM('UPS RATES'!R26-'FedEx Rates'!R25)/('UPS RATES'!R26)</f>
        <v>0.24402390438247007</v>
      </c>
      <c r="S26" s="11">
        <f>SUM('UPS RATES'!S26-'FedEx Rates'!S25)/('UPS RATES'!S26)</f>
        <v>0.24895222129086328</v>
      </c>
      <c r="T26" s="11">
        <f>SUM('UPS RATES'!T26-'FedEx Rates'!T25)/('UPS RATES'!T26)</f>
        <v>0.24965612104539198</v>
      </c>
      <c r="U26" s="11">
        <f>SUM('UPS RATES'!U26-'FedEx Rates'!U25)/('UPS RATES'!U26)</f>
        <v>0.24912280701754394</v>
      </c>
      <c r="V26" s="11">
        <f>SUM('UPS RATES'!V26-'FedEx Rates'!V25)/('UPS RATES'!V26)</f>
        <v>0.24974974974974976</v>
      </c>
      <c r="W26" s="11">
        <f>SUM('UPS RATES'!W26-'FedEx Rates'!W25)/('UPS RATES'!W26)</f>
        <v>0.49449838187702266</v>
      </c>
      <c r="X26" s="11">
        <f>SUM('UPS RATES'!X26-'FedEx Rates'!X25)/('UPS RATES'!X26)</f>
        <v>0.52348066298342544</v>
      </c>
      <c r="Y26" s="11">
        <f>SUM('UPS RATES'!Y26-'FedEx Rates'!Y25)/('UPS RATES'!Y26)</f>
        <v>0.52189605389797877</v>
      </c>
      <c r="Z26" s="11">
        <f>SUM('UPS RATES'!Z26-'FedEx Rates'!Z25)/('UPS RATES'!Z26)</f>
        <v>0.52217174994592253</v>
      </c>
      <c r="AA26" s="11">
        <f>SUM('UPS RATES'!AA26-'FedEx Rates'!AA25)/('UPS RATES'!AA26)</f>
        <v>0.52377932783766645</v>
      </c>
      <c r="AB26" s="11">
        <f>SUM('UPS RATES'!AB26-'FedEx Rates'!AB25)/('UPS RATES'!AB26)</f>
        <v>0.52308856926570779</v>
      </c>
      <c r="AC26" s="11">
        <f>SUM('UPS RATES'!AC26-'FedEx Rates'!AC25)/('UPS RATES'!AC26)</f>
        <v>0.52362423568649252</v>
      </c>
    </row>
    <row r="27" spans="1:29" x14ac:dyDescent="0.25">
      <c r="A27">
        <v>25</v>
      </c>
      <c r="B27" s="11">
        <f>SUM('UPS RATES'!B27-'FedEx Rates'!B26)/('UPS RATES'!B27)</f>
        <v>0.23953488372093021</v>
      </c>
      <c r="C27" s="11">
        <f>SUM('UPS RATES'!C27-'FedEx Rates'!C26)/('UPS RATES'!C27)</f>
        <v>0.23886378308586192</v>
      </c>
      <c r="D27" s="11">
        <f>SUM('UPS RATES'!D27-'FedEx Rates'!D26)/('UPS RATES'!D27)</f>
        <v>0.24284253578732098</v>
      </c>
      <c r="E27" s="11">
        <f>SUM('UPS RATES'!E27-'FedEx Rates'!E26)/('UPS RATES'!E27)</f>
        <v>0.23891371605362666</v>
      </c>
      <c r="F27" s="11">
        <f>SUM('UPS RATES'!F27-'FedEx Rates'!F26)/('UPS RATES'!F27)</f>
        <v>0.23861524163568765</v>
      </c>
      <c r="G27" s="11">
        <f>SUM('UPS RATES'!G27-'FedEx Rates'!G26)/('UPS RATES'!G27)</f>
        <v>0.23879966187658488</v>
      </c>
      <c r="H27" s="11">
        <f>SUM('UPS RATES'!H27-'FedEx Rates'!H26)/('UPS RATES'!H27)</f>
        <v>0.23894523326571998</v>
      </c>
      <c r="I27" s="11">
        <f>SUM('UPS RATES'!I27-'FedEx Rates'!I26)/('UPS RATES'!I27)</f>
        <v>0.28841607565011823</v>
      </c>
      <c r="J27" s="11">
        <f>SUM('UPS RATES'!J27-'FedEx Rates'!J26)/('UPS RATES'!J27)</f>
        <v>0.289572864321608</v>
      </c>
      <c r="K27" s="11">
        <f>SUM('UPS RATES'!K27-'FedEx Rates'!K26)/('UPS RATES'!K27)</f>
        <v>0.2917718324078748</v>
      </c>
      <c r="L27" s="11">
        <f>SUM('UPS RATES'!L27-'FedEx Rates'!L26)/('UPS RATES'!L27)</f>
        <v>0.3436900652090526</v>
      </c>
      <c r="M27" s="11">
        <f>SUM('UPS RATES'!M27-'FedEx Rates'!M26)/('UPS RATES'!M27)</f>
        <v>0.39606664845670581</v>
      </c>
      <c r="N27" s="11">
        <f>SUM('UPS RATES'!N27-'FedEx Rates'!N26)/('UPS RATES'!N27)</f>
        <v>0.39227506139763341</v>
      </c>
      <c r="O27" s="11">
        <f>SUM('UPS RATES'!O27-'FedEx Rates'!O26)/('UPS RATES'!O27)</f>
        <v>0.3734406438631791</v>
      </c>
      <c r="P27" s="11">
        <f>SUM('UPS RATES'!P27-'FedEx Rates'!P26)/('UPS RATES'!P27)</f>
        <v>0.22648514851485149</v>
      </c>
      <c r="Q27" s="11">
        <f>SUM('UPS RATES'!Q27-'FedEx Rates'!Q26)/('UPS RATES'!Q27)</f>
        <v>0.24444444444444441</v>
      </c>
      <c r="R27" s="11">
        <f>SUM('UPS RATES'!R27-'FedEx Rates'!R26)/('UPS RATES'!R27)</f>
        <v>0.24479682854311197</v>
      </c>
      <c r="S27" s="11">
        <f>SUM('UPS RATES'!S27-'FedEx Rates'!S26)/('UPS RATES'!S27)</f>
        <v>0.24420529801324498</v>
      </c>
      <c r="T27" s="11">
        <f>SUM('UPS RATES'!T27-'FedEx Rates'!T26)/('UPS RATES'!T27)</f>
        <v>0.24983299933199732</v>
      </c>
      <c r="U27" s="11">
        <f>SUM('UPS RATES'!U27-'FedEx Rates'!U26)/('UPS RATES'!U27)</f>
        <v>0.24930747922437671</v>
      </c>
      <c r="V27" s="11">
        <f>SUM('UPS RATES'!V27-'FedEx Rates'!V26)/('UPS RATES'!V27)</f>
        <v>0.24963574550752796</v>
      </c>
      <c r="W27" s="11">
        <f>SUM('UPS RATES'!W27-'FedEx Rates'!W26)/('UPS RATES'!W27)</f>
        <v>0.49710238248551192</v>
      </c>
      <c r="X27" s="11">
        <f>SUM('UPS RATES'!X27-'FedEx Rates'!X26)/('UPS RATES'!X27)</f>
        <v>0.52407152682255842</v>
      </c>
      <c r="Y27" s="11">
        <f>SUM('UPS RATES'!Y27-'FedEx Rates'!Y26)/('UPS RATES'!Y27)</f>
        <v>0.52210330386226145</v>
      </c>
      <c r="Z27" s="11">
        <f>SUM('UPS RATES'!Z27-'FedEx Rates'!Z26)/('UPS RATES'!Z27)</f>
        <v>0.52208575737987495</v>
      </c>
      <c r="AA27" s="11">
        <f>SUM('UPS RATES'!AA27-'FedEx Rates'!AA26)/('UPS RATES'!AA27)</f>
        <v>0.52374041053286335</v>
      </c>
      <c r="AB27" s="11">
        <f>SUM('UPS RATES'!AB27-'FedEx Rates'!AB26)/('UPS RATES'!AB27)</f>
        <v>0.52365692742695569</v>
      </c>
      <c r="AC27" s="11">
        <f>SUM('UPS RATES'!AC27-'FedEx Rates'!AC26)/('UPS RATES'!AC27)</f>
        <v>0.52365988909426986</v>
      </c>
    </row>
    <row r="28" spans="1:29" x14ac:dyDescent="0.25">
      <c r="A28">
        <v>26</v>
      </c>
      <c r="B28" s="11">
        <f>SUM('UPS RATES'!B28-'FedEx Rates'!B27)/('UPS RATES'!B28)</f>
        <v>0.23870481927710843</v>
      </c>
      <c r="C28" s="11">
        <f>SUM('UPS RATES'!C28-'FedEx Rates'!C27)/('UPS RATES'!C28)</f>
        <v>0.23932160804020103</v>
      </c>
      <c r="D28" s="11">
        <f>SUM('UPS RATES'!D28-'FedEx Rates'!D27)/('UPS RATES'!D28)</f>
        <v>0.24248398225726961</v>
      </c>
      <c r="E28" s="11">
        <f>SUM('UPS RATES'!E28-'FedEx Rates'!E27)/('UPS RATES'!E28)</f>
        <v>0.23868175765645799</v>
      </c>
      <c r="F28" s="11">
        <f>SUM('UPS RATES'!F28-'FedEx Rates'!F27)/('UPS RATES'!F28)</f>
        <v>0.23865168539325837</v>
      </c>
      <c r="G28" s="11">
        <f>SUM('UPS RATES'!G28-'FedEx Rates'!G27)/('UPS RATES'!G28)</f>
        <v>0.23901940755873344</v>
      </c>
      <c r="H28" s="11">
        <f>SUM('UPS RATES'!H28-'FedEx Rates'!H27)/('UPS RATES'!H28)</f>
        <v>0.23884721673904452</v>
      </c>
      <c r="I28" s="11">
        <f>SUM('UPS RATES'!I28-'FedEx Rates'!I27)/('UPS RATES'!I28)</f>
        <v>0.27178729689807973</v>
      </c>
      <c r="J28" s="11">
        <f>SUM('UPS RATES'!J28-'FedEx Rates'!J27)/('UPS RATES'!J28)</f>
        <v>0.28964691801316583</v>
      </c>
      <c r="K28" s="11">
        <f>SUM('UPS RATES'!K28-'FedEx Rates'!K27)/('UPS RATES'!K28)</f>
        <v>0.29074889867841408</v>
      </c>
      <c r="L28" s="11">
        <f>SUM('UPS RATES'!L28-'FedEx Rates'!L27)/('UPS RATES'!L28)</f>
        <v>0.34227188081936688</v>
      </c>
      <c r="M28" s="11">
        <f>SUM('UPS RATES'!M28-'FedEx Rates'!M27)/('UPS RATES'!M28)</f>
        <v>0.39565102094935034</v>
      </c>
      <c r="N28" s="11">
        <f>SUM('UPS RATES'!N28-'FedEx Rates'!N27)/('UPS RATES'!N28)</f>
        <v>0.39218648823656377</v>
      </c>
      <c r="O28" s="11">
        <f>SUM('UPS RATES'!O28-'FedEx Rates'!O27)/('UPS RATES'!O28)</f>
        <v>0.37331510060558704</v>
      </c>
      <c r="P28" s="11">
        <f>SUM('UPS RATES'!P28-'FedEx Rates'!P27)/('UPS RATES'!P28)</f>
        <v>0.24528301886792453</v>
      </c>
      <c r="Q28" s="11">
        <f>SUM('UPS RATES'!Q28-'FedEx Rates'!Q27)/('UPS RATES'!Q28)</f>
        <v>0.24462640736949845</v>
      </c>
      <c r="R28" s="11">
        <f>SUM('UPS RATES'!R28-'FedEx Rates'!R27)/('UPS RATES'!R28)</f>
        <v>0.24452901998097046</v>
      </c>
      <c r="S28" s="11">
        <f>SUM('UPS RATES'!S28-'FedEx Rates'!S27)/('UPS RATES'!S28)</f>
        <v>0.24483306836248014</v>
      </c>
      <c r="T28" s="11">
        <f>SUM('UPS RATES'!T28-'FedEx Rates'!T27)/('UPS RATES'!T28)</f>
        <v>0.24951644100580267</v>
      </c>
      <c r="U28" s="11">
        <f>SUM('UPS RATES'!U28-'FedEx Rates'!U27)/('UPS RATES'!U28)</f>
        <v>0.24920127795527164</v>
      </c>
      <c r="V28" s="11">
        <f>SUM('UPS RATES'!V28-'FedEx Rates'!V27)/('UPS RATES'!V28)</f>
        <v>0.24953358208955229</v>
      </c>
      <c r="W28" s="11">
        <f>SUM('UPS RATES'!W28-'FedEx Rates'!W27)/('UPS RATES'!W28)</f>
        <v>0.52305825242718451</v>
      </c>
      <c r="X28" s="11">
        <f>SUM('UPS RATES'!X28-'FedEx Rates'!X27)/('UPS RATES'!X28)</f>
        <v>0.52378929481733216</v>
      </c>
      <c r="Y28" s="11">
        <f>SUM('UPS RATES'!Y28-'FedEx Rates'!Y27)/('UPS RATES'!Y28)</f>
        <v>0.52210248515504731</v>
      </c>
      <c r="Z28" s="11">
        <f>SUM('UPS RATES'!Z28-'FedEx Rates'!Z27)/('UPS RATES'!Z28)</f>
        <v>0.52207216287038904</v>
      </c>
      <c r="AA28" s="11">
        <f>SUM('UPS RATES'!AA28-'FedEx Rates'!AA27)/('UPS RATES'!AA28)</f>
        <v>0.52372718539865515</v>
      </c>
      <c r="AB28" s="11">
        <f>SUM('UPS RATES'!AB28-'FedEx Rates'!AB27)/('UPS RATES'!AB28)</f>
        <v>0.52363435718226958</v>
      </c>
      <c r="AC28" s="11">
        <f>SUM('UPS RATES'!AC28-'FedEx Rates'!AC27)/('UPS RATES'!AC28)</f>
        <v>0.52376760563380276</v>
      </c>
    </row>
    <row r="29" spans="1:29" x14ac:dyDescent="0.25">
      <c r="A29">
        <v>27</v>
      </c>
      <c r="B29" s="11">
        <f>SUM('UPS RATES'!B29-'FedEx Rates'!B28)/('UPS RATES'!B29)</f>
        <v>0.23924142961342093</v>
      </c>
      <c r="C29" s="11">
        <f>SUM('UPS RATES'!C29-'FedEx Rates'!C28)/('UPS RATES'!C29)</f>
        <v>0.23870573870573861</v>
      </c>
      <c r="D29" s="11">
        <f>SUM('UPS RATES'!D29-'FedEx Rates'!D28)/('UPS RATES'!D29)</f>
        <v>0.24315233061028346</v>
      </c>
      <c r="E29" s="11">
        <f>SUM('UPS RATES'!E29-'FedEx Rates'!E28)/('UPS RATES'!E29)</f>
        <v>0.23858520900321548</v>
      </c>
      <c r="F29" s="11">
        <f>SUM('UPS RATES'!F29-'FedEx Rates'!F28)/('UPS RATES'!F29)</f>
        <v>0.23886111714844588</v>
      </c>
      <c r="G29" s="11">
        <f>SUM('UPS RATES'!G29-'FedEx Rates'!G28)/('UPS RATES'!G29)</f>
        <v>0.23878236805692835</v>
      </c>
      <c r="H29" s="11">
        <f>SUM('UPS RATES'!H29-'FedEx Rates'!H28)/('UPS RATES'!H29)</f>
        <v>0.23885167464114826</v>
      </c>
      <c r="I29" s="11">
        <f>SUM('UPS RATES'!I29-'FedEx Rates'!I28)/('UPS RATES'!I29)</f>
        <v>0.27077363896848144</v>
      </c>
      <c r="J29" s="11">
        <f>SUM('UPS RATES'!J29-'FedEx Rates'!J28)/('UPS RATES'!J29)</f>
        <v>0.28829353523587659</v>
      </c>
      <c r="K29" s="11">
        <f>SUM('UPS RATES'!K29-'FedEx Rates'!K28)/('UPS RATES'!K29)</f>
        <v>0.28989612842304063</v>
      </c>
      <c r="L29" s="11">
        <f>SUM('UPS RATES'!L29-'FedEx Rates'!L28)/('UPS RATES'!L29)</f>
        <v>0.3440253789213959</v>
      </c>
      <c r="M29" s="11">
        <f>SUM('UPS RATES'!M29-'FedEx Rates'!M28)/('UPS RATES'!M29)</f>
        <v>0.40331632653061228</v>
      </c>
      <c r="N29" s="11">
        <f>SUM('UPS RATES'!N29-'FedEx Rates'!N28)/('UPS RATES'!N29)</f>
        <v>0.39220183486238536</v>
      </c>
      <c r="O29" s="11">
        <f>SUM('UPS RATES'!O29-'FedEx Rates'!O28)/('UPS RATES'!O29)</f>
        <v>0.37533056290139777</v>
      </c>
      <c r="P29" s="11">
        <f>SUM('UPS RATES'!P29-'FedEx Rates'!P28)/('UPS RATES'!P29)</f>
        <v>0.24454649827784164</v>
      </c>
      <c r="Q29" s="11">
        <f>SUM('UPS RATES'!Q29-'FedEx Rates'!Q28)/('UPS RATES'!Q29)</f>
        <v>0.24400000000000005</v>
      </c>
      <c r="R29" s="11">
        <f>SUM('UPS RATES'!R29-'FedEx Rates'!R28)/('UPS RATES'!R29)</f>
        <v>0.24440298507462693</v>
      </c>
      <c r="S29" s="11">
        <f>SUM('UPS RATES'!S29-'FedEx Rates'!S28)/('UPS RATES'!S29)</f>
        <v>0.24413145539906098</v>
      </c>
      <c r="T29" s="11">
        <f>SUM('UPS RATES'!T29-'FedEx Rates'!T28)/('UPS RATES'!T29)</f>
        <v>0.24969021065675348</v>
      </c>
      <c r="U29" s="11">
        <f>SUM('UPS RATES'!U29-'FedEx Rates'!U28)/('UPS RATES'!U29)</f>
        <v>0.24934657605854676</v>
      </c>
      <c r="V29" s="11">
        <f>SUM('UPS RATES'!V29-'FedEx Rates'!V28)/('UPS RATES'!V29)</f>
        <v>0.24954128440366977</v>
      </c>
      <c r="W29" s="11">
        <f>SUM('UPS RATES'!W29-'FedEx Rates'!W28)/('UPS RATES'!W29)</f>
        <v>0.52176541717049574</v>
      </c>
      <c r="X29" s="11">
        <f>SUM('UPS RATES'!X29-'FedEx Rates'!X28)/('UPS RATES'!X29)</f>
        <v>0.52382960776043863</v>
      </c>
      <c r="Y29" s="11">
        <f>SUM('UPS RATES'!Y29-'FedEx Rates'!Y28)/('UPS RATES'!Y29)</f>
        <v>0.52107526881720434</v>
      </c>
      <c r="Z29" s="11">
        <f>SUM('UPS RATES'!Z29-'FedEx Rates'!Z28)/('UPS RATES'!Z29)</f>
        <v>0.52126805778491181</v>
      </c>
      <c r="AA29" s="11">
        <f>SUM('UPS RATES'!AA29-'FedEx Rates'!AA28)/('UPS RATES'!AA29)</f>
        <v>0.5223768333960136</v>
      </c>
      <c r="AB29" s="11">
        <f>SUM('UPS RATES'!AB29-'FedEx Rates'!AB28)/('UPS RATES'!AB29)</f>
        <v>0.52369838420107717</v>
      </c>
      <c r="AC29" s="11">
        <f>SUM('UPS RATES'!AC29-'FedEx Rates'!AC28)/('UPS RATES'!AC29)</f>
        <v>0.52376137512639032</v>
      </c>
    </row>
    <row r="30" spans="1:29" x14ac:dyDescent="0.25">
      <c r="A30">
        <v>28</v>
      </c>
      <c r="B30" s="11">
        <f>SUM('UPS RATES'!B30-'FedEx Rates'!B29)/('UPS RATES'!B30)</f>
        <v>0.23886925795053007</v>
      </c>
      <c r="C30" s="11">
        <f>SUM('UPS RATES'!C30-'FedEx Rates'!C29)/('UPS RATES'!C30)</f>
        <v>0.23877068557919626</v>
      </c>
      <c r="D30" s="11">
        <f>SUM('UPS RATES'!D30-'FedEx Rates'!D29)/('UPS RATES'!D30)</f>
        <v>0.2424812030075188</v>
      </c>
      <c r="E30" s="11">
        <f>SUM('UPS RATES'!E30-'FedEx Rates'!E29)/('UPS RATES'!E30)</f>
        <v>0.23869346733668345</v>
      </c>
      <c r="F30" s="11">
        <f>SUM('UPS RATES'!F30-'FedEx Rates'!F29)/('UPS RATES'!F30)</f>
        <v>0.23882178427632966</v>
      </c>
      <c r="G30" s="11">
        <f>SUM('UPS RATES'!G30-'FedEx Rates'!G29)/('UPS RATES'!G30)</f>
        <v>0.23877433031412604</v>
      </c>
      <c r="H30" s="11">
        <f>SUM('UPS RATES'!H30-'FedEx Rates'!H29)/('UPS RATES'!H30)</f>
        <v>0.23883386282937771</v>
      </c>
      <c r="I30" s="11">
        <f>SUM('UPS RATES'!I30-'FedEx Rates'!I29)/('UPS RATES'!I30)</f>
        <v>0.27152777777777776</v>
      </c>
      <c r="J30" s="11">
        <f>SUM('UPS RATES'!J30-'FedEx Rates'!J29)/('UPS RATES'!J30)</f>
        <v>0.29262672811059909</v>
      </c>
      <c r="K30" s="11">
        <f>SUM('UPS RATES'!K30-'FedEx Rates'!K29)/('UPS RATES'!K30)</f>
        <v>0.28953434762563396</v>
      </c>
      <c r="L30" s="11">
        <f>SUM('UPS RATES'!L30-'FedEx Rates'!L29)/('UPS RATES'!L30)</f>
        <v>0.3418923672177277</v>
      </c>
      <c r="M30" s="11">
        <f>SUM('UPS RATES'!M30-'FedEx Rates'!M29)/('UPS RATES'!M30)</f>
        <v>0.37037037037037035</v>
      </c>
      <c r="N30" s="11">
        <f>SUM('UPS RATES'!N30-'FedEx Rates'!N29)/('UPS RATES'!N30)</f>
        <v>0.39190283400809717</v>
      </c>
      <c r="O30" s="11">
        <f>SUM('UPS RATES'!O30-'FedEx Rates'!O29)/('UPS RATES'!O30)</f>
        <v>0.37334801762114533</v>
      </c>
      <c r="P30" s="11">
        <f>SUM('UPS RATES'!P30-'FedEx Rates'!P29)/('UPS RATES'!P30)</f>
        <v>0.24354657687991021</v>
      </c>
      <c r="Q30" s="11">
        <f>SUM('UPS RATES'!Q30-'FedEx Rates'!Q29)/('UPS RATES'!Q30)</f>
        <v>0.244140625</v>
      </c>
      <c r="R30" s="11">
        <f>SUM('UPS RATES'!R30-'FedEx Rates'!R29)/('UPS RATES'!R30)</f>
        <v>0.24353256021409458</v>
      </c>
      <c r="S30" s="11">
        <f>SUM('UPS RATES'!S30-'FedEx Rates'!S29)/('UPS RATES'!S30)</f>
        <v>0.24779411764705878</v>
      </c>
      <c r="T30" s="11">
        <f>SUM('UPS RATES'!T30-'FedEx Rates'!T29)/('UPS RATES'!T30)</f>
        <v>0.24940898345153675</v>
      </c>
      <c r="U30" s="11">
        <f>SUM('UPS RATES'!U30-'FedEx Rates'!U29)/('UPS RATES'!U30)</f>
        <v>0.24962481240620304</v>
      </c>
      <c r="V30" s="11">
        <f>SUM('UPS RATES'!V30-'FedEx Rates'!V29)/('UPS RATES'!V30)</f>
        <v>0.24922669023420244</v>
      </c>
      <c r="W30" s="11">
        <f>SUM('UPS RATES'!W30-'FedEx Rates'!W29)/('UPS RATES'!W30)</f>
        <v>0.52220248667850799</v>
      </c>
      <c r="X30" s="11">
        <f>SUM('UPS RATES'!X30-'FedEx Rates'!X29)/('UPS RATES'!X30)</f>
        <v>0.52352941176470591</v>
      </c>
      <c r="Y30" s="11">
        <f>SUM('UPS RATES'!Y30-'FedEx Rates'!Y29)/('UPS RATES'!Y30)</f>
        <v>0.52125654450261782</v>
      </c>
      <c r="Z30" s="11">
        <f>SUM('UPS RATES'!Z30-'FedEx Rates'!Z29)/('UPS RATES'!Z30)</f>
        <v>0.52124756335282652</v>
      </c>
      <c r="AA30" s="11">
        <f>SUM('UPS RATES'!AA30-'FedEx Rates'!AA29)/('UPS RATES'!AA30)</f>
        <v>0.52313167259786475</v>
      </c>
      <c r="AB30" s="11">
        <f>SUM('UPS RATES'!AB30-'FedEx Rates'!AB29)/('UPS RATES'!AB30)</f>
        <v>0.52370916754478392</v>
      </c>
      <c r="AC30" s="11">
        <f>SUM('UPS RATES'!AC30-'FedEx Rates'!AC29)/('UPS RATES'!AC30)</f>
        <v>0.52376253905607628</v>
      </c>
    </row>
    <row r="31" spans="1:29" x14ac:dyDescent="0.25">
      <c r="A31">
        <v>29</v>
      </c>
      <c r="B31" s="11">
        <f>SUM('UPS RATES'!B31-'FedEx Rates'!B30)/('UPS RATES'!B31)</f>
        <v>0.23914541695382499</v>
      </c>
      <c r="C31" s="11">
        <f>SUM('UPS RATES'!C31-'FedEx Rates'!C30)/('UPS RATES'!C31)</f>
        <v>0.23853743470690661</v>
      </c>
      <c r="D31" s="11">
        <f>SUM('UPS RATES'!D31-'FedEx Rates'!D30)/('UPS RATES'!D31)</f>
        <v>0.24235508900045635</v>
      </c>
      <c r="E31" s="11">
        <f>SUM('UPS RATES'!E31-'FedEx Rates'!E30)/('UPS RATES'!E31)</f>
        <v>0.23895705521472399</v>
      </c>
      <c r="F31" s="11">
        <f>SUM('UPS RATES'!F31-'FedEx Rates'!F30)/('UPS RATES'!F31)</f>
        <v>0.2387536112257532</v>
      </c>
      <c r="G31" s="11">
        <f>SUM('UPS RATES'!G31-'FedEx Rates'!G30)/('UPS RATES'!G31)</f>
        <v>0.23890977443609024</v>
      </c>
      <c r="H31" s="11">
        <f>SUM('UPS RATES'!H31-'FedEx Rates'!H30)/('UPS RATES'!H31)</f>
        <v>0.23883847549909262</v>
      </c>
      <c r="I31" s="11">
        <f>SUM('UPS RATES'!I31-'FedEx Rates'!I30)/('UPS RATES'!I31)</f>
        <v>0.26976421636615816</v>
      </c>
      <c r="J31" s="11">
        <f>SUM('UPS RATES'!J31-'FedEx Rates'!J30)/('UPS RATES'!J31)</f>
        <v>0.27882960413080893</v>
      </c>
      <c r="K31" s="11">
        <f>SUM('UPS RATES'!K31-'FedEx Rates'!K30)/('UPS RATES'!K31)</f>
        <v>0.2887892376681615</v>
      </c>
      <c r="L31" s="11">
        <f>SUM('UPS RATES'!L31-'FedEx Rates'!L30)/('UPS RATES'!L31)</f>
        <v>0.34133790737564323</v>
      </c>
      <c r="M31" s="11">
        <f>SUM('UPS RATES'!M31-'FedEx Rates'!M30)/('UPS RATES'!M31)</f>
        <v>0.36965914546327405</v>
      </c>
      <c r="N31" s="11">
        <f>SUM('UPS RATES'!N31-'FedEx Rates'!N30)/('UPS RATES'!N31)</f>
        <v>0.39221851051287093</v>
      </c>
      <c r="O31" s="11">
        <f>SUM('UPS RATES'!O31-'FedEx Rates'!O30)/('UPS RATES'!O31)</f>
        <v>0.37559851037417979</v>
      </c>
      <c r="P31" s="11">
        <f>SUM('UPS RATES'!P31-'FedEx Rates'!P30)/('UPS RATES'!P31)</f>
        <v>0.24412094064949605</v>
      </c>
      <c r="Q31" s="11">
        <f>SUM('UPS RATES'!Q31-'FedEx Rates'!Q30)/('UPS RATES'!Q31)</f>
        <v>0.24352828379674019</v>
      </c>
      <c r="R31" s="11">
        <f>SUM('UPS RATES'!R31-'FedEx Rates'!R30)/('UPS RATES'!R31)</f>
        <v>0.24999999999999997</v>
      </c>
      <c r="S31" s="11">
        <f>SUM('UPS RATES'!S31-'FedEx Rates'!S30)/('UPS RATES'!S31)</f>
        <v>0.24944974321349964</v>
      </c>
      <c r="T31" s="11">
        <f>SUM('UPS RATES'!T31-'FedEx Rates'!T30)/('UPS RATES'!T31)</f>
        <v>0.24942528735632175</v>
      </c>
      <c r="U31" s="11">
        <f>SUM('UPS RATES'!U31-'FedEx Rates'!U30)/('UPS RATES'!U31)</f>
        <v>0.24951076320939339</v>
      </c>
      <c r="V31" s="11">
        <f>SUM('UPS RATES'!V31-'FedEx Rates'!V30)/('UPS RATES'!V31)</f>
        <v>0.2495697074010326</v>
      </c>
      <c r="W31" s="11">
        <f>SUM('UPS RATES'!W31-'FedEx Rates'!W30)/('UPS RATES'!W31)</f>
        <v>0.52179034157832749</v>
      </c>
      <c r="X31" s="11">
        <f>SUM('UPS RATES'!X31-'FedEx Rates'!X30)/('UPS RATES'!X31)</f>
        <v>0.52363028021748226</v>
      </c>
      <c r="Y31" s="11">
        <f>SUM('UPS RATES'!Y31-'FedEx Rates'!Y30)/('UPS RATES'!Y31)</f>
        <v>0.52129402129402136</v>
      </c>
      <c r="Z31" s="11">
        <f>SUM('UPS RATES'!Z31-'FedEx Rates'!Z30)/('UPS RATES'!Z31)</f>
        <v>0.52108843537414973</v>
      </c>
      <c r="AA31" s="11">
        <f>SUM('UPS RATES'!AA31-'FedEx Rates'!AA30)/('UPS RATES'!AA31)</f>
        <v>0.5237383177570093</v>
      </c>
      <c r="AB31" s="11">
        <f>SUM('UPS RATES'!AB31-'FedEx Rates'!AB30)/('UPS RATES'!AB31)</f>
        <v>0.52209660842754368</v>
      </c>
      <c r="AC31" s="11">
        <f>SUM('UPS RATES'!AC31-'FedEx Rates'!AC30)/('UPS RATES'!AC31)</f>
        <v>0.52363814820873555</v>
      </c>
    </row>
    <row r="32" spans="1:29" x14ac:dyDescent="0.25">
      <c r="A32">
        <v>30</v>
      </c>
      <c r="B32" s="11">
        <f>SUM('UPS RATES'!B32-'FedEx Rates'!B31)/('UPS RATES'!B32)</f>
        <v>0.23884694577899795</v>
      </c>
      <c r="C32" s="11">
        <f>SUM('UPS RATES'!C32-'FedEx Rates'!C31)/('UPS RATES'!C32)</f>
        <v>0.23898305084745755</v>
      </c>
      <c r="D32" s="11">
        <f>SUM('UPS RATES'!D32-'FedEx Rates'!D31)/('UPS RATES'!D32)</f>
        <v>0.24261138067931184</v>
      </c>
      <c r="E32" s="11">
        <f>SUM('UPS RATES'!E32-'FedEx Rates'!E31)/('UPS RATES'!E32)</f>
        <v>0.23856209150326793</v>
      </c>
      <c r="F32" s="11">
        <f>SUM('UPS RATES'!F32-'FedEx Rates'!F31)/('UPS RATES'!F32)</f>
        <v>0.23880297248443463</v>
      </c>
      <c r="G32" s="11">
        <f>SUM('UPS RATES'!G32-'FedEx Rates'!G31)/('UPS RATES'!G32)</f>
        <v>0.2388797364085668</v>
      </c>
      <c r="H32" s="11">
        <f>SUM('UPS RATES'!H32-'FedEx Rates'!H31)/('UPS RATES'!H32)</f>
        <v>0.23876106194690269</v>
      </c>
      <c r="I32" s="11">
        <f>SUM('UPS RATES'!I32-'FedEx Rates'!I31)/('UPS RATES'!I32)</f>
        <v>0.27849829351535837</v>
      </c>
      <c r="J32" s="11">
        <f>SUM('UPS RATES'!J32-'FedEx Rates'!J31)/('UPS RATES'!J32)</f>
        <v>0.26964386659129458</v>
      </c>
      <c r="K32" s="11">
        <f>SUM('UPS RATES'!K32-'FedEx Rates'!K31)/('UPS RATES'!K32)</f>
        <v>0.2911279536335265</v>
      </c>
      <c r="L32" s="11">
        <f>SUM('UPS RATES'!L32-'FedEx Rates'!L31)/('UPS RATES'!L32)</f>
        <v>0.34153641503159293</v>
      </c>
      <c r="M32" s="11">
        <f>SUM('UPS RATES'!M32-'FedEx Rates'!M31)/('UPS RATES'!M32)</f>
        <v>0.37035315985130107</v>
      </c>
      <c r="N32" s="11">
        <f>SUM('UPS RATES'!N32-'FedEx Rates'!N31)/('UPS RATES'!N32)</f>
        <v>0.39080911233307153</v>
      </c>
      <c r="O32" s="11">
        <f>SUM('UPS RATES'!O32-'FedEx Rates'!O31)/('UPS RATES'!O32)</f>
        <v>0.37374610861293667</v>
      </c>
      <c r="P32" s="11">
        <f>SUM('UPS RATES'!P32-'FedEx Rates'!P31)/('UPS RATES'!P32)</f>
        <v>0.24889867841409688</v>
      </c>
      <c r="Q32" s="11">
        <f>SUM('UPS RATES'!Q32-'FedEx Rates'!Q31)/('UPS RATES'!Q32)</f>
        <v>0.24415341440598687</v>
      </c>
      <c r="R32" s="11">
        <f>SUM('UPS RATES'!R32-'FedEx Rates'!R31)/('UPS RATES'!R32)</f>
        <v>0.24936601859678775</v>
      </c>
      <c r="S32" s="11">
        <f>SUM('UPS RATES'!S32-'FedEx Rates'!S31)/('UPS RATES'!S32)</f>
        <v>0.24982357092448829</v>
      </c>
      <c r="T32" s="11">
        <f>SUM('UPS RATES'!T32-'FedEx Rates'!T31)/('UPS RATES'!T32)</f>
        <v>0.2494343891402715</v>
      </c>
      <c r="U32" s="11">
        <f>SUM('UPS RATES'!U32-'FedEx Rates'!U31)/('UPS RATES'!U32)</f>
        <v>0.24963503649635038</v>
      </c>
      <c r="V32" s="11">
        <f>SUM('UPS RATES'!V32-'FedEx Rates'!V31)/('UPS RATES'!V32)</f>
        <v>0.24948368442792229</v>
      </c>
      <c r="W32" s="11">
        <f>SUM('UPS RATES'!W32-'FedEx Rates'!W31)/('UPS RATES'!W32)</f>
        <v>0.52140762463343104</v>
      </c>
      <c r="X32" s="11">
        <f>SUM('UPS RATES'!X32-'FedEx Rates'!X31)/('UPS RATES'!X32)</f>
        <v>0.52378964941569284</v>
      </c>
      <c r="Y32" s="11">
        <f>SUM('UPS RATES'!Y32-'FedEx Rates'!Y31)/('UPS RATES'!Y32)</f>
        <v>0.52134831460674158</v>
      </c>
      <c r="Z32" s="11">
        <f>SUM('UPS RATES'!Z32-'FedEx Rates'!Z31)/('UPS RATES'!Z32)</f>
        <v>0.52119460500963388</v>
      </c>
      <c r="AA32" s="11">
        <f>SUM('UPS RATES'!AA32-'FedEx Rates'!AA31)/('UPS RATES'!AA32)</f>
        <v>0.52309985096870337</v>
      </c>
      <c r="AB32" s="11">
        <f>SUM('UPS RATES'!AB32-'FedEx Rates'!AB31)/('UPS RATES'!AB32)</f>
        <v>0.52216916780354705</v>
      </c>
      <c r="AC32" s="11">
        <f>SUM('UPS RATES'!AC32-'FedEx Rates'!AC31)/('UPS RATES'!AC32)</f>
        <v>0.52273470722930981</v>
      </c>
    </row>
    <row r="33" spans="1:29" x14ac:dyDescent="0.25">
      <c r="A33">
        <v>31</v>
      </c>
      <c r="B33" s="11">
        <f>SUM('UPS RATES'!B33-'FedEx Rates'!B32)/('UPS RATES'!B33)</f>
        <v>0.23923444976076555</v>
      </c>
      <c r="C33" s="11">
        <f>SUM('UPS RATES'!C33-'FedEx Rates'!C32)/('UPS RATES'!C33)</f>
        <v>0.23879781420765031</v>
      </c>
      <c r="D33" s="11">
        <f>SUM('UPS RATES'!D33-'FedEx Rates'!D32)/('UPS RATES'!D33)</f>
        <v>0.2422680412371134</v>
      </c>
      <c r="E33" s="11">
        <f>SUM('UPS RATES'!E33-'FedEx Rates'!E32)/('UPS RATES'!E33)</f>
        <v>0.23881464264962238</v>
      </c>
      <c r="F33" s="11">
        <f>SUM('UPS RATES'!F33-'FedEx Rates'!F32)/('UPS RATES'!F33)</f>
        <v>0.23880597014925378</v>
      </c>
      <c r="G33" s="11">
        <f>SUM('UPS RATES'!G33-'FedEx Rates'!G32)/('UPS RATES'!G33)</f>
        <v>0.23880329630956643</v>
      </c>
      <c r="H33" s="11">
        <f>SUM('UPS RATES'!H33-'FedEx Rates'!H32)/('UPS RATES'!H33)</f>
        <v>0.23892432339251854</v>
      </c>
      <c r="I33" s="11">
        <f>SUM('UPS RATES'!I33-'FedEx Rates'!I32)/('UPS RATES'!I33)</f>
        <v>0.28252299605781872</v>
      </c>
      <c r="J33" s="11">
        <f>SUM('UPS RATES'!J33-'FedEx Rates'!J32)/('UPS RATES'!J33)</f>
        <v>0.28854166666666664</v>
      </c>
      <c r="K33" s="11">
        <f>SUM('UPS RATES'!K33-'FedEx Rates'!K32)/('UPS RATES'!K33)</f>
        <v>0.30340425531914889</v>
      </c>
      <c r="L33" s="11">
        <f>SUM('UPS RATES'!L33-'FedEx Rates'!L32)/('UPS RATES'!L33)</f>
        <v>0.34223069590085797</v>
      </c>
      <c r="M33" s="11">
        <f>SUM('UPS RATES'!M33-'FedEx Rates'!M32)/('UPS RATES'!M33)</f>
        <v>0.36963258078795924</v>
      </c>
      <c r="N33" s="11">
        <f>SUM('UPS RATES'!N33-'FedEx Rates'!N32)/('UPS RATES'!N33)</f>
        <v>0.40814429155820015</v>
      </c>
      <c r="O33" s="11">
        <f>SUM('UPS RATES'!O33-'FedEx Rates'!O32)/('UPS RATES'!O33)</f>
        <v>0.37384278740952692</v>
      </c>
      <c r="P33" s="11">
        <f>SUM('UPS RATES'!P33-'FedEx Rates'!P32)/('UPS RATES'!P33)</f>
        <v>0.21175166297117509</v>
      </c>
      <c r="Q33" s="11">
        <f>SUM('UPS RATES'!Q33-'FedEx Rates'!Q32)/('UPS RATES'!Q33)</f>
        <v>0.21203438395415478</v>
      </c>
      <c r="R33" s="11">
        <f>SUM('UPS RATES'!R33-'FedEx Rates'!R32)/('UPS RATES'!R33)</f>
        <v>0.21148825065274149</v>
      </c>
      <c r="S33" s="11">
        <f>SUM('UPS RATES'!S33-'FedEx Rates'!S32)/('UPS RATES'!S33)</f>
        <v>0.21156661786237194</v>
      </c>
      <c r="T33" s="11">
        <f>SUM('UPS RATES'!T33-'FedEx Rates'!T32)/('UPS RATES'!T33)</f>
        <v>0.21222606689734716</v>
      </c>
      <c r="U33" s="11">
        <f>SUM('UPS RATES'!U33-'FedEx Rates'!U32)/('UPS RATES'!U33)</f>
        <v>0.2160705536501715</v>
      </c>
      <c r="V33" s="11">
        <f>SUM('UPS RATES'!V33-'FedEx Rates'!V32)/('UPS RATES'!V33)</f>
        <v>0.21589958158995817</v>
      </c>
      <c r="W33" s="11">
        <f>SUM('UPS RATES'!W33-'FedEx Rates'!W32)/('UPS RATES'!W33)</f>
        <v>0.52311161217587365</v>
      </c>
      <c r="X33" s="11">
        <f>SUM('UPS RATES'!X33-'FedEx Rates'!X32)/('UPS RATES'!X33)</f>
        <v>0.52375152253349566</v>
      </c>
      <c r="Y33" s="11">
        <f>SUM('UPS RATES'!Y33-'FedEx Rates'!Y32)/('UPS RATES'!Y33)</f>
        <v>0.52126200274348422</v>
      </c>
      <c r="Z33" s="11">
        <f>SUM('UPS RATES'!Z33-'FedEx Rates'!Z32)/('UPS RATES'!Z33)</f>
        <v>0.5212098856510512</v>
      </c>
      <c r="AA33" s="11">
        <f>SUM('UPS RATES'!AA33-'FedEx Rates'!AA32)/('UPS RATES'!AA33)</f>
        <v>0.52210562532255289</v>
      </c>
      <c r="AB33" s="11">
        <f>SUM('UPS RATES'!AB33-'FedEx Rates'!AB32)/('UPS RATES'!AB33)</f>
        <v>0.52366863905325445</v>
      </c>
      <c r="AC33" s="11">
        <f>SUM('UPS RATES'!AC33-'FedEx Rates'!AC32)/('UPS RATES'!AC33)</f>
        <v>0.52353960006298217</v>
      </c>
    </row>
    <row r="34" spans="1:29" x14ac:dyDescent="0.25">
      <c r="A34">
        <v>32</v>
      </c>
      <c r="B34" s="11">
        <f>SUM('UPS RATES'!B34-'FedEx Rates'!B33)/('UPS RATES'!B34)</f>
        <v>0.23893805309734512</v>
      </c>
      <c r="C34" s="11">
        <f>SUM('UPS RATES'!C34-'FedEx Rates'!C33)/('UPS RATES'!C34)</f>
        <v>0.23903743315508016</v>
      </c>
      <c r="D34" s="11">
        <f>SUM('UPS RATES'!D34-'FedEx Rates'!D33)/('UPS RATES'!D34)</f>
        <v>0.24258872651356989</v>
      </c>
      <c r="E34" s="11">
        <f>SUM('UPS RATES'!E34-'FedEx Rates'!E33)/('UPS RATES'!E34)</f>
        <v>0.23886524822695041</v>
      </c>
      <c r="F34" s="11">
        <f>SUM('UPS RATES'!F34-'FedEx Rates'!F33)/('UPS RATES'!F34)</f>
        <v>0.23884013735215573</v>
      </c>
      <c r="G34" s="11">
        <f>SUM('UPS RATES'!G34-'FedEx Rates'!G33)/('UPS RATES'!G34)</f>
        <v>0.23880076695136826</v>
      </c>
      <c r="H34" s="11">
        <f>SUM('UPS RATES'!H34-'FedEx Rates'!H33)/('UPS RATES'!H34)</f>
        <v>0.23884867867362394</v>
      </c>
      <c r="I34" s="11">
        <f>SUM('UPS RATES'!I34-'FedEx Rates'!I33)/('UPS RATES'!I34)</f>
        <v>0.28036769533814837</v>
      </c>
      <c r="J34" s="11">
        <f>SUM('UPS RATES'!J34-'FedEx Rates'!J33)/('UPS RATES'!J34)</f>
        <v>0.2858627858627858</v>
      </c>
      <c r="K34" s="11">
        <f>SUM('UPS RATES'!K34-'FedEx Rates'!K33)/('UPS RATES'!K34)</f>
        <v>0.28704487722269267</v>
      </c>
      <c r="L34" s="11">
        <f>SUM('UPS RATES'!L34-'FedEx Rates'!L33)/('UPS RATES'!L34)</f>
        <v>0.34136291600633911</v>
      </c>
      <c r="M34" s="11">
        <f>SUM('UPS RATES'!M34-'FedEx Rates'!M33)/('UPS RATES'!M34)</f>
        <v>0.37001981069777679</v>
      </c>
      <c r="N34" s="11">
        <f>SUM('UPS RATES'!N34-'FedEx Rates'!N33)/('UPS RATES'!N34)</f>
        <v>0.403792526491913</v>
      </c>
      <c r="O34" s="11">
        <f>SUM('UPS RATES'!O34-'FedEx Rates'!O33)/('UPS RATES'!O34)</f>
        <v>0.37376279147793995</v>
      </c>
      <c r="P34" s="11">
        <f>SUM('UPS RATES'!P34-'FedEx Rates'!P33)/('UPS RATES'!P34)</f>
        <v>0.21151716500553702</v>
      </c>
      <c r="Q34" s="11">
        <f>SUM('UPS RATES'!Q34-'FedEx Rates'!Q33)/('UPS RATES'!Q34)</f>
        <v>0.21183206106870234</v>
      </c>
      <c r="R34" s="11">
        <f>SUM('UPS RATES'!R34-'FedEx Rates'!R33)/('UPS RATES'!R34)</f>
        <v>0.21217391304347821</v>
      </c>
      <c r="S34" s="11">
        <f>SUM('UPS RATES'!S34-'FedEx Rates'!S33)/('UPS RATES'!S34)</f>
        <v>0.21156661786237194</v>
      </c>
      <c r="T34" s="11">
        <f>SUM('UPS RATES'!T34-'FedEx Rates'!T33)/('UPS RATES'!T34)</f>
        <v>0.21629374641422833</v>
      </c>
      <c r="U34" s="11">
        <f>SUM('UPS RATES'!U34-'FedEx Rates'!U33)/('UPS RATES'!U34)</f>
        <v>0.21568627450980388</v>
      </c>
      <c r="V34" s="11">
        <f>SUM('UPS RATES'!V34-'FedEx Rates'!V33)/('UPS RATES'!V34)</f>
        <v>0.21597021100537867</v>
      </c>
      <c r="W34" s="11">
        <f>SUM('UPS RATES'!W34-'FedEx Rates'!W33)/('UPS RATES'!W34)</f>
        <v>0.52224052718286662</v>
      </c>
      <c r="X34" s="11">
        <f>SUM('UPS RATES'!X34-'FedEx Rates'!X33)/('UPS RATES'!X34)</f>
        <v>0.5237906423473434</v>
      </c>
      <c r="Y34" s="11">
        <f>SUM('UPS RATES'!Y34-'FedEx Rates'!Y33)/('UPS RATES'!Y34)</f>
        <v>0.52101324122049508</v>
      </c>
      <c r="Z34" s="11">
        <f>SUM('UPS RATES'!Z34-'FedEx Rates'!Z33)/('UPS RATES'!Z34)</f>
        <v>0.52200220022002197</v>
      </c>
      <c r="AA34" s="11">
        <f>SUM('UPS RATES'!AA34-'FedEx Rates'!AA33)/('UPS RATES'!AA34)</f>
        <v>0.52307954351899166</v>
      </c>
      <c r="AB34" s="11">
        <f>SUM('UPS RATES'!AB34-'FedEx Rates'!AB33)/('UPS RATES'!AB34)</f>
        <v>0.52387962054301607</v>
      </c>
      <c r="AC34" s="11">
        <f>SUM('UPS RATES'!AC34-'FedEx Rates'!AC33)/('UPS RATES'!AC34)</f>
        <v>0.5211026319887867</v>
      </c>
    </row>
    <row r="35" spans="1:29" x14ac:dyDescent="0.25">
      <c r="A35">
        <v>33</v>
      </c>
      <c r="B35" s="11">
        <f>SUM('UPS RATES'!B35-'FedEx Rates'!B34)/('UPS RATES'!B35)</f>
        <v>0.23947203016970461</v>
      </c>
      <c r="C35" s="11">
        <f>SUM('UPS RATES'!C35-'FedEx Rates'!C34)/('UPS RATES'!C35)</f>
        <v>0.23866597186034402</v>
      </c>
      <c r="D35" s="11">
        <f>SUM('UPS RATES'!D35-'FedEx Rates'!D34)/('UPS RATES'!D35)</f>
        <v>0.24289195775792038</v>
      </c>
      <c r="E35" s="11">
        <f>SUM('UPS RATES'!E35-'FedEx Rates'!E34)/('UPS RATES'!E35)</f>
        <v>0.23910024993057483</v>
      </c>
      <c r="F35" s="11">
        <f>SUM('UPS RATES'!F35-'FedEx Rates'!F34)/('UPS RATES'!F35)</f>
        <v>0.23875882571534748</v>
      </c>
      <c r="G35" s="11">
        <f>SUM('UPS RATES'!G35-'FedEx Rates'!G34)/('UPS RATES'!G35)</f>
        <v>0.23871187595842561</v>
      </c>
      <c r="H35" s="11">
        <f>SUM('UPS RATES'!H35-'FedEx Rates'!H34)/('UPS RATES'!H35)</f>
        <v>0.23896274413261123</v>
      </c>
      <c r="I35" s="11">
        <f>SUM('UPS RATES'!I35-'FedEx Rates'!I34)/('UPS RATES'!I35)</f>
        <v>0.26242038216560504</v>
      </c>
      <c r="J35" s="11">
        <f>SUM('UPS RATES'!J35-'FedEx Rates'!J34)/('UPS RATES'!J35)</f>
        <v>0.27530991735537191</v>
      </c>
      <c r="K35" s="11">
        <f>SUM('UPS RATES'!K35-'FedEx Rates'!K34)/('UPS RATES'!K35)</f>
        <v>0.28924949290060847</v>
      </c>
      <c r="L35" s="11">
        <f>SUM('UPS RATES'!L35-'FedEx Rates'!L34)/('UPS RATES'!L35)</f>
        <v>0.34276923076923077</v>
      </c>
      <c r="M35" s="11">
        <f>SUM('UPS RATES'!M35-'FedEx Rates'!M34)/('UPS RATES'!M35)</f>
        <v>0.37086092715231794</v>
      </c>
      <c r="N35" s="11">
        <f>SUM('UPS RATES'!N35-'FedEx Rates'!N34)/('UPS RATES'!N35)</f>
        <v>0.3887030843552583</v>
      </c>
      <c r="O35" s="11">
        <f>SUM('UPS RATES'!O35-'FedEx Rates'!O34)/('UPS RATES'!O35)</f>
        <v>0.37162502096260275</v>
      </c>
      <c r="P35" s="11">
        <f>SUM('UPS RATES'!P35-'FedEx Rates'!P34)/('UPS RATES'!P35)</f>
        <v>0.2123212321232123</v>
      </c>
      <c r="Q35" s="11">
        <f>SUM('UPS RATES'!Q35-'FedEx Rates'!Q34)/('UPS RATES'!Q35)</f>
        <v>0.21166509877704609</v>
      </c>
      <c r="R35" s="11">
        <f>SUM('UPS RATES'!R35-'FedEx Rates'!R34)/('UPS RATES'!R35)</f>
        <v>0.21214642262895167</v>
      </c>
      <c r="S35" s="11">
        <f>SUM('UPS RATES'!S35-'FedEx Rates'!S34)/('UPS RATES'!S35)</f>
        <v>0.21174004192872126</v>
      </c>
      <c r="T35" s="11">
        <f>SUM('UPS RATES'!T35-'FedEx Rates'!T34)/('UPS RATES'!T35)</f>
        <v>0.21172638436482094</v>
      </c>
      <c r="U35" s="11">
        <f>SUM('UPS RATES'!U35-'FedEx Rates'!U34)/('UPS RATES'!U35)</f>
        <v>0.21584440227703974</v>
      </c>
      <c r="V35" s="11">
        <f>SUM('UPS RATES'!V35-'FedEx Rates'!V34)/('UPS RATES'!V35)</f>
        <v>0.2159548751007252</v>
      </c>
      <c r="W35" s="11">
        <f>SUM('UPS RATES'!W35-'FedEx Rates'!W34)/('UPS RATES'!W35)</f>
        <v>0.52145922746781115</v>
      </c>
      <c r="X35" s="11">
        <f>SUM('UPS RATES'!X35-'FedEx Rates'!X34)/('UPS RATES'!X35)</f>
        <v>0.52382739212007501</v>
      </c>
      <c r="Y35" s="11">
        <f>SUM('UPS RATES'!Y35-'FedEx Rates'!Y34)/('UPS RATES'!Y35)</f>
        <v>0.52205050885789672</v>
      </c>
      <c r="Z35" s="11">
        <f>SUM('UPS RATES'!Z35-'FedEx Rates'!Z34)/('UPS RATES'!Z35)</f>
        <v>0.51902455897613287</v>
      </c>
      <c r="AA35" s="11">
        <f>SUM('UPS RATES'!AA35-'FedEx Rates'!AA34)/('UPS RATES'!AA35)</f>
        <v>0.52365034263747279</v>
      </c>
      <c r="AB35" s="11">
        <f>SUM('UPS RATES'!AB35-'FedEx Rates'!AB34)/('UPS RATES'!AB35)</f>
        <v>0.52216367017978926</v>
      </c>
      <c r="AC35" s="11">
        <f>SUM('UPS RATES'!AC35-'FedEx Rates'!AC34)/('UPS RATES'!AC35)</f>
        <v>0.52297821545807222</v>
      </c>
    </row>
    <row r="36" spans="1:29" x14ac:dyDescent="0.25">
      <c r="A36">
        <v>34</v>
      </c>
      <c r="B36" s="11">
        <f>SUM('UPS RATES'!B36-'FedEx Rates'!B35)/('UPS RATES'!B36)</f>
        <v>0.2384146341463414</v>
      </c>
      <c r="C36" s="11">
        <f>SUM('UPS RATES'!C36-'FedEx Rates'!C35)/('UPS RATES'!C36)</f>
        <v>0.23848515864892522</v>
      </c>
      <c r="D36" s="11">
        <f>SUM('UPS RATES'!D36-'FedEx Rates'!D35)/('UPS RATES'!D36)</f>
        <v>0.24273776362912847</v>
      </c>
      <c r="E36" s="11">
        <f>SUM('UPS RATES'!E36-'FedEx Rates'!E35)/('UPS RATES'!E36)</f>
        <v>0.23879796082640198</v>
      </c>
      <c r="F36" s="11">
        <f>SUM('UPS RATES'!F36-'FedEx Rates'!F35)/('UPS RATES'!F36)</f>
        <v>0.23895401262398555</v>
      </c>
      <c r="G36" s="11">
        <f>SUM('UPS RATES'!G36-'FedEx Rates'!G35)/('UPS RATES'!G36)</f>
        <v>0.2389027431421446</v>
      </c>
      <c r="H36" s="11">
        <f>SUM('UPS RATES'!H36-'FedEx Rates'!H35)/('UPS RATES'!H36)</f>
        <v>0.23870554309516179</v>
      </c>
      <c r="I36" s="11">
        <f>SUM('UPS RATES'!I36-'FedEx Rates'!I35)/('UPS RATES'!I36)</f>
        <v>0.26187499999999997</v>
      </c>
      <c r="J36" s="11">
        <f>SUM('UPS RATES'!J36-'FedEx Rates'!J35)/('UPS RATES'!J36)</f>
        <v>0.28759493670886077</v>
      </c>
      <c r="K36" s="11">
        <f>SUM('UPS RATES'!K36-'FedEx Rates'!K35)/('UPS RATES'!K36)</f>
        <v>0.28843042071197406</v>
      </c>
      <c r="L36" s="11">
        <f>SUM('UPS RATES'!L36-'FedEx Rates'!L35)/('UPS RATES'!L36)</f>
        <v>0.34066927946940007</v>
      </c>
      <c r="M36" s="11">
        <f>SUM('UPS RATES'!M36-'FedEx Rates'!M35)/('UPS RATES'!M36)</f>
        <v>0.37567793074676675</v>
      </c>
      <c r="N36" s="11">
        <f>SUM('UPS RATES'!N36-'FedEx Rates'!N35)/('UPS RATES'!N36)</f>
        <v>0.39154013015184386</v>
      </c>
      <c r="O36" s="11">
        <f>SUM('UPS RATES'!O36-'FedEx Rates'!O35)/('UPS RATES'!O36)</f>
        <v>0.36995936230071891</v>
      </c>
      <c r="P36" s="11">
        <f>SUM('UPS RATES'!P36-'FedEx Rates'!P35)/('UPS RATES'!P36)</f>
        <v>0.21225382932166306</v>
      </c>
      <c r="Q36" s="11">
        <f>SUM('UPS RATES'!Q36-'FedEx Rates'!Q35)/('UPS RATES'!Q36)</f>
        <v>0.21159153633854638</v>
      </c>
      <c r="R36" s="11">
        <f>SUM('UPS RATES'!R36-'FedEx Rates'!R35)/('UPS RATES'!R36)</f>
        <v>0.21146085552865221</v>
      </c>
      <c r="S36" s="11">
        <f>SUM('UPS RATES'!S36-'FedEx Rates'!S35)/('UPS RATES'!S36)</f>
        <v>0.21148648648648652</v>
      </c>
      <c r="T36" s="11">
        <f>SUM('UPS RATES'!T36-'FedEx Rates'!T35)/('UPS RATES'!T36)</f>
        <v>0.21640582838640049</v>
      </c>
      <c r="U36" s="11">
        <f>SUM('UPS RATES'!U36-'FedEx Rates'!U35)/('UPS RATES'!U36)</f>
        <v>0.21566820276497695</v>
      </c>
      <c r="V36" s="11">
        <f>SUM('UPS RATES'!V36-'FedEx Rates'!V35)/('UPS RATES'!V36)</f>
        <v>0.21568627450980402</v>
      </c>
      <c r="W36" s="11">
        <f>SUM('UPS RATES'!W36-'FedEx Rates'!W35)/('UPS RATES'!W36)</f>
        <v>0.52230971128608927</v>
      </c>
      <c r="X36" s="11">
        <f>SUM('UPS RATES'!X36-'FedEx Rates'!X35)/('UPS RATES'!X36)</f>
        <v>0.52370287420679362</v>
      </c>
      <c r="Y36" s="11">
        <f>SUM('UPS RATES'!Y36-'FedEx Rates'!Y35)/('UPS RATES'!Y36)</f>
        <v>0.52116842299870592</v>
      </c>
      <c r="Z36" s="11">
        <f>SUM('UPS RATES'!Z36-'FedEx Rates'!Z35)/('UPS RATES'!Z36)</f>
        <v>0.52121108450222375</v>
      </c>
      <c r="AA36" s="11">
        <f>SUM('UPS RATES'!AA36-'FedEx Rates'!AA35)/('UPS RATES'!AA36)</f>
        <v>0.52369035702369038</v>
      </c>
      <c r="AB36" s="11">
        <f>SUM('UPS RATES'!AB36-'FedEx Rates'!AB35)/('UPS RATES'!AB36)</f>
        <v>0.52367983053412015</v>
      </c>
      <c r="AC36" s="11">
        <f>SUM('UPS RATES'!AC36-'FedEx Rates'!AC35)/('UPS RATES'!AC36)</f>
        <v>0.5235835063779295</v>
      </c>
    </row>
    <row r="37" spans="1:29" x14ac:dyDescent="0.25">
      <c r="A37">
        <v>35</v>
      </c>
      <c r="B37" s="11">
        <f>SUM('UPS RATES'!B37-'FedEx Rates'!B36)/('UPS RATES'!B37)</f>
        <v>0.23894862604540015</v>
      </c>
      <c r="C37" s="11">
        <f>SUM('UPS RATES'!C37-'FedEx Rates'!C36)/('UPS RATES'!C37)</f>
        <v>0.23882820258192652</v>
      </c>
      <c r="D37" s="11">
        <f>SUM('UPS RATES'!D37-'FedEx Rates'!D36)/('UPS RATES'!D37)</f>
        <v>0.24269575379820801</v>
      </c>
      <c r="E37" s="11">
        <f>SUM('UPS RATES'!E37-'FedEx Rates'!E36)/('UPS RATES'!E37)</f>
        <v>0.2386842105263158</v>
      </c>
      <c r="F37" s="11">
        <f>SUM('UPS RATES'!F37-'FedEx Rates'!F36)/('UPS RATES'!F37)</f>
        <v>0.23879551820728293</v>
      </c>
      <c r="G37" s="11">
        <f>SUM('UPS RATES'!G37-'FedEx Rates'!G36)/('UPS RATES'!G37)</f>
        <v>0.24116120661693152</v>
      </c>
      <c r="H37" s="11">
        <f>SUM('UPS RATES'!H37-'FedEx Rates'!H36)/('UPS RATES'!H37)</f>
        <v>0.2464866571924838</v>
      </c>
      <c r="I37" s="11">
        <f>SUM('UPS RATES'!I37-'FedEx Rates'!I36)/('UPS RATES'!I37)</f>
        <v>0.26044226044226054</v>
      </c>
      <c r="J37" s="11">
        <f>SUM('UPS RATES'!J37-'FedEx Rates'!J36)/('UPS RATES'!J37)</f>
        <v>0.28654686741136476</v>
      </c>
      <c r="K37" s="11">
        <f>SUM('UPS RATES'!K37-'FedEx Rates'!K36)/('UPS RATES'!K37)</f>
        <v>0.28740157480314948</v>
      </c>
      <c r="L37" s="11">
        <f>SUM('UPS RATES'!L37-'FedEx Rates'!L36)/('UPS RATES'!L37)</f>
        <v>0.3403942335981171</v>
      </c>
      <c r="M37" s="11">
        <f>SUM('UPS RATES'!M37-'FedEx Rates'!M36)/('UPS RATES'!M37)</f>
        <v>0.38791343405471618</v>
      </c>
      <c r="N37" s="11">
        <f>SUM('UPS RATES'!N37-'FedEx Rates'!N36)/('UPS RATES'!N37)</f>
        <v>0.38324102197605853</v>
      </c>
      <c r="O37" s="11">
        <f>SUM('UPS RATES'!O37-'FedEx Rates'!O36)/('UPS RATES'!O37)</f>
        <v>0.38288493692050468</v>
      </c>
      <c r="P37" s="11">
        <f>SUM('UPS RATES'!P37-'FedEx Rates'!P36)/('UPS RATES'!P37)</f>
        <v>0.2107526881720431</v>
      </c>
      <c r="Q37" s="11">
        <f>SUM('UPS RATES'!Q37-'FedEx Rates'!Q36)/('UPS RATES'!Q37)</f>
        <v>0.21222707423580786</v>
      </c>
      <c r="R37" s="11">
        <f>SUM('UPS RATES'!R37-'FedEx Rates'!R36)/('UPS RATES'!R37)</f>
        <v>0.21233411397345828</v>
      </c>
      <c r="S37" s="11">
        <f>SUM('UPS RATES'!S37-'FedEx Rates'!S36)/('UPS RATES'!S37)</f>
        <v>0.21108179419525061</v>
      </c>
      <c r="T37" s="11">
        <f>SUM('UPS RATES'!T37-'FedEx Rates'!T36)/('UPS RATES'!T37)</f>
        <v>0.21602972399150744</v>
      </c>
      <c r="U37" s="11">
        <f>SUM('UPS RATES'!U37-'FedEx Rates'!U36)/('UPS RATES'!U37)</f>
        <v>0.21598563089357875</v>
      </c>
      <c r="V37" s="11">
        <f>SUM('UPS RATES'!V37-'FedEx Rates'!V36)/('UPS RATES'!V37)</f>
        <v>0.21603053435114505</v>
      </c>
      <c r="W37" s="11">
        <f>SUM('UPS RATES'!W37-'FedEx Rates'!W36)/('UPS RATES'!W37)</f>
        <v>0.52185089974293053</v>
      </c>
      <c r="X37" s="11">
        <f>SUM('UPS RATES'!X37-'FedEx Rates'!X36)/('UPS RATES'!X37)</f>
        <v>0.52363230368440639</v>
      </c>
      <c r="Y37" s="11">
        <f>SUM('UPS RATES'!Y37-'FedEx Rates'!Y36)/('UPS RATES'!Y37)</f>
        <v>0.52191528545119703</v>
      </c>
      <c r="Z37" s="11">
        <f>SUM('UPS RATES'!Z37-'FedEx Rates'!Z36)/('UPS RATES'!Z37)</f>
        <v>0.5212711430035879</v>
      </c>
      <c r="AA37" s="11">
        <f>SUM('UPS RATES'!AA37-'FedEx Rates'!AA36)/('UPS RATES'!AA37)</f>
        <v>0.52365089940039966</v>
      </c>
      <c r="AB37" s="11">
        <f>SUM('UPS RATES'!AB37-'FedEx Rates'!AB36)/('UPS RATES'!AB37)</f>
        <v>0.52360965372507862</v>
      </c>
      <c r="AC37" s="11">
        <f>SUM('UPS RATES'!AC37-'FedEx Rates'!AC36)/('UPS RATES'!AC37)</f>
        <v>0.52373254959588544</v>
      </c>
    </row>
    <row r="38" spans="1:29" x14ac:dyDescent="0.25">
      <c r="A38">
        <v>36</v>
      </c>
      <c r="B38" s="11">
        <f>SUM('UPS RATES'!B38-'FedEx Rates'!B37)/('UPS RATES'!B38)</f>
        <v>0.23882352941176474</v>
      </c>
      <c r="C38" s="11">
        <f>SUM('UPS RATES'!C38-'FedEx Rates'!C37)/('UPS RATES'!C38)</f>
        <v>0.23906705539358594</v>
      </c>
      <c r="D38" s="11">
        <f>SUM('UPS RATES'!D38-'FedEx Rates'!D37)/('UPS RATES'!D38)</f>
        <v>0.24236641221374039</v>
      </c>
      <c r="E38" s="11">
        <f>SUM('UPS RATES'!E38-'FedEx Rates'!E37)/('UPS RATES'!E38)</f>
        <v>0.23897911832946636</v>
      </c>
      <c r="F38" s="11">
        <f>SUM('UPS RATES'!F38-'FedEx Rates'!F37)/('UPS RATES'!F38)</f>
        <v>0.23870417732310317</v>
      </c>
      <c r="G38" s="11">
        <f>SUM('UPS RATES'!G38-'FedEx Rates'!G37)/('UPS RATES'!G38)</f>
        <v>0.24528301886792456</v>
      </c>
      <c r="H38" s="11">
        <f>SUM('UPS RATES'!H38-'FedEx Rates'!H37)/('UPS RATES'!H38)</f>
        <v>0.24645935960591123</v>
      </c>
      <c r="I38" s="11">
        <f>SUM('UPS RATES'!I38-'FedEx Rates'!I37)/('UPS RATES'!I38)</f>
        <v>0.26745562130177503</v>
      </c>
      <c r="J38" s="11">
        <f>SUM('UPS RATES'!J38-'FedEx Rates'!J37)/('UPS RATES'!J38)</f>
        <v>0.28848886783514921</v>
      </c>
      <c r="K38" s="11">
        <f>SUM('UPS RATES'!K38-'FedEx Rates'!K37)/('UPS RATES'!K38)</f>
        <v>0.28809704321455643</v>
      </c>
      <c r="L38" s="11">
        <f>SUM('UPS RATES'!L38-'FedEx Rates'!L37)/('UPS RATES'!L38)</f>
        <v>0.35326243173325667</v>
      </c>
      <c r="M38" s="11">
        <f>SUM('UPS RATES'!M38-'FedEx Rates'!M37)/('UPS RATES'!M38)</f>
        <v>0.40242207663291635</v>
      </c>
      <c r="N38" s="11">
        <f>SUM('UPS RATES'!N38-'FedEx Rates'!N37)/('UPS RATES'!N38)</f>
        <v>0.39181488516663787</v>
      </c>
      <c r="O38" s="11">
        <f>SUM('UPS RATES'!O38-'FedEx Rates'!O37)/('UPS RATES'!O38)</f>
        <v>0.37043090638930165</v>
      </c>
      <c r="P38" s="11">
        <f>SUM('UPS RATES'!P38-'FedEx Rates'!P37)/('UPS RATES'!P38)</f>
        <v>0.21269841269841261</v>
      </c>
      <c r="Q38" s="11">
        <f>SUM('UPS RATES'!Q38-'FedEx Rates'!Q37)/('UPS RATES'!Q38)</f>
        <v>0.21135371179039303</v>
      </c>
      <c r="R38" s="11">
        <f>SUM('UPS RATES'!R38-'FedEx Rates'!R37)/('UPS RATES'!R38)</f>
        <v>0.21223857474825719</v>
      </c>
      <c r="S38" s="11">
        <f>SUM('UPS RATES'!S38-'FedEx Rates'!S37)/('UPS RATES'!S38)</f>
        <v>0.21625079974408193</v>
      </c>
      <c r="T38" s="11">
        <f>SUM('UPS RATES'!T38-'FedEx Rates'!T37)/('UPS RATES'!T38)</f>
        <v>0.21599592460519607</v>
      </c>
      <c r="U38" s="11">
        <f>SUM('UPS RATES'!U38-'FedEx Rates'!U37)/('UPS RATES'!U38)</f>
        <v>0.21589921807124235</v>
      </c>
      <c r="V38" s="11">
        <f>SUM('UPS RATES'!V38-'FedEx Rates'!V37)/('UPS RATES'!V38)</f>
        <v>0.21593830334190228</v>
      </c>
      <c r="W38" s="11">
        <f>SUM('UPS RATES'!W38-'FedEx Rates'!W37)/('UPS RATES'!W38)</f>
        <v>0.52171767028627847</v>
      </c>
      <c r="X38" s="11">
        <f>SUM('UPS RATES'!X38-'FedEx Rates'!X37)/('UPS RATES'!X38)</f>
        <v>0.52354874041621025</v>
      </c>
      <c r="Y38" s="11">
        <f>SUM('UPS RATES'!Y38-'FedEx Rates'!Y37)/('UPS RATES'!Y38)</f>
        <v>0.52120674356699204</v>
      </c>
      <c r="Z38" s="11">
        <f>SUM('UPS RATES'!Z38-'FedEx Rates'!Z37)/('UPS RATES'!Z38)</f>
        <v>0.52118573103332777</v>
      </c>
      <c r="AA38" s="11">
        <f>SUM('UPS RATES'!AA38-'FedEx Rates'!AA37)/('UPS RATES'!AA38)</f>
        <v>0.52365626005793364</v>
      </c>
      <c r="AB38" s="11">
        <f>SUM('UPS RATES'!AB38-'FedEx Rates'!AB37)/('UPS RATES'!AB38)</f>
        <v>0.52265324252294942</v>
      </c>
      <c r="AC38" s="11">
        <f>SUM('UPS RATES'!AC38-'FedEx Rates'!AC37)/('UPS RATES'!AC38)</f>
        <v>0.52367247085911639</v>
      </c>
    </row>
    <row r="39" spans="1:29" x14ac:dyDescent="0.25">
      <c r="A39">
        <v>37</v>
      </c>
      <c r="B39" s="11">
        <f>SUM('UPS RATES'!B39-'FedEx Rates'!B38)/('UPS RATES'!B39)</f>
        <v>0.23916811091854415</v>
      </c>
      <c r="C39" s="11">
        <f>SUM('UPS RATES'!C39-'FedEx Rates'!C38)/('UPS RATES'!C39)</f>
        <v>0.23898467432950185</v>
      </c>
      <c r="D39" s="11">
        <f>SUM('UPS RATES'!D39-'FedEx Rates'!D38)/('UPS RATES'!D39)</f>
        <v>0.24254843517138605</v>
      </c>
      <c r="E39" s="11">
        <f>SUM('UPS RATES'!E39-'FedEx Rates'!E38)/('UPS RATES'!E39)</f>
        <v>0.23875345564212114</v>
      </c>
      <c r="F39" s="11">
        <f>SUM('UPS RATES'!F39-'FedEx Rates'!F38)/('UPS RATES'!F39)</f>
        <v>0.23883817427385892</v>
      </c>
      <c r="G39" s="11">
        <f>SUM('UPS RATES'!G39-'FedEx Rates'!G38)/('UPS RATES'!G39)</f>
        <v>0.23878082401592896</v>
      </c>
      <c r="H39" s="11">
        <f>SUM('UPS RATES'!H39-'FedEx Rates'!H38)/('UPS RATES'!H39)</f>
        <v>0.23882370414376947</v>
      </c>
      <c r="I39" s="11">
        <f>SUM('UPS RATES'!I39-'FedEx Rates'!I38)/('UPS RATES'!I39)</f>
        <v>0.27421236872812138</v>
      </c>
      <c r="J39" s="11">
        <f>SUM('UPS RATES'!J39-'FedEx Rates'!J38)/('UPS RATES'!J39)</f>
        <v>0.28833490122295391</v>
      </c>
      <c r="K39" s="11">
        <f>SUM('UPS RATES'!K39-'FedEx Rates'!K38)/('UPS RATES'!K39)</f>
        <v>0.28905660377358489</v>
      </c>
      <c r="L39" s="11">
        <f>SUM('UPS RATES'!L39-'FedEx Rates'!L38)/('UPS RATES'!L39)</f>
        <v>0.34248878923766812</v>
      </c>
      <c r="M39" s="11">
        <f>SUM('UPS RATES'!M39-'FedEx Rates'!M38)/('UPS RATES'!M39)</f>
        <v>0.37042801556420235</v>
      </c>
      <c r="N39" s="11">
        <f>SUM('UPS RATES'!N39-'FedEx Rates'!N38)/('UPS RATES'!N39)</f>
        <v>0.39173861520230235</v>
      </c>
      <c r="O39" s="11">
        <f>SUM('UPS RATES'!O39-'FedEx Rates'!O38)/('UPS RATES'!O39)</f>
        <v>0.36953622758927246</v>
      </c>
      <c r="P39" s="11">
        <f>SUM('UPS RATES'!P39-'FedEx Rates'!P38)/('UPS RATES'!P39)</f>
        <v>0.21272158498435872</v>
      </c>
      <c r="Q39" s="11">
        <f>SUM('UPS RATES'!Q39-'FedEx Rates'!Q38)/('UPS RATES'!Q39)</f>
        <v>0.2120689655172413</v>
      </c>
      <c r="R39" s="11">
        <f>SUM('UPS RATES'!R39-'FedEx Rates'!R38)/('UPS RATES'!R39)</f>
        <v>0.21586575133485891</v>
      </c>
      <c r="S39" s="11">
        <f>SUM('UPS RATES'!S39-'FedEx Rates'!S38)/('UPS RATES'!S39)</f>
        <v>0.21603005635566694</v>
      </c>
      <c r="T39" s="11">
        <f>SUM('UPS RATES'!T39-'FedEx Rates'!T38)/('UPS RATES'!T39)</f>
        <v>0.216024340770791</v>
      </c>
      <c r="U39" s="11">
        <f>SUM('UPS RATES'!U39-'FedEx Rates'!U38)/('UPS RATES'!U39)</f>
        <v>0.21581825830879256</v>
      </c>
      <c r="V39" s="11">
        <f>SUM('UPS RATES'!V39-'FedEx Rates'!V38)/('UPS RATES'!V39)</f>
        <v>0.21571480538377591</v>
      </c>
      <c r="W39" s="11">
        <f>SUM('UPS RATES'!W39-'FedEx Rates'!W38)/('UPS RATES'!W39)</f>
        <v>0.5235294117647058</v>
      </c>
      <c r="X39" s="11">
        <f>SUM('UPS RATES'!X39-'FedEx Rates'!X38)/('UPS RATES'!X39)</f>
        <v>0.52377694149846055</v>
      </c>
      <c r="Y39" s="11">
        <f>SUM('UPS RATES'!Y39-'FedEx Rates'!Y38)/('UPS RATES'!Y39)</f>
        <v>0.52207027869136235</v>
      </c>
      <c r="Z39" s="11">
        <f>SUM('UPS RATES'!Z39-'FedEx Rates'!Z38)/('UPS RATES'!Z39)</f>
        <v>0.52215738842453874</v>
      </c>
      <c r="AA39" s="11">
        <f>SUM('UPS RATES'!AA39-'FedEx Rates'!AA38)/('UPS RATES'!AA39)</f>
        <v>0.52356101304681513</v>
      </c>
      <c r="AB39" s="11">
        <f>SUM('UPS RATES'!AB39-'FedEx Rates'!AB38)/('UPS RATES'!AB39)</f>
        <v>0.52374141876430214</v>
      </c>
      <c r="AC39" s="11">
        <f>SUM('UPS RATES'!AC39-'FedEx Rates'!AC38)/('UPS RATES'!AC39)</f>
        <v>0.52372999304105772</v>
      </c>
    </row>
    <row r="40" spans="1:29" x14ac:dyDescent="0.25">
      <c r="A40">
        <v>38</v>
      </c>
      <c r="B40" s="11">
        <f>SUM('UPS RATES'!B40-'FedEx Rates'!B39)/('UPS RATES'!B40)</f>
        <v>0.23920454545454548</v>
      </c>
      <c r="C40" s="11">
        <f>SUM('UPS RATES'!C40-'FedEx Rates'!C39)/('UPS RATES'!C40)</f>
        <v>0.23879188296366219</v>
      </c>
      <c r="D40" s="11">
        <f>SUM('UPS RATES'!D40-'FedEx Rates'!D39)/('UPS RATES'!D40)</f>
        <v>0.24273255813953487</v>
      </c>
      <c r="E40" s="11">
        <f>SUM('UPS RATES'!E40-'FedEx Rates'!E39)/('UPS RATES'!E40)</f>
        <v>0.23897511702389757</v>
      </c>
      <c r="F40" s="11">
        <f>SUM('UPS RATES'!F40-'FedEx Rates'!F39)/('UPS RATES'!F40)</f>
        <v>0.2387504046617028</v>
      </c>
      <c r="G40" s="11">
        <f>SUM('UPS RATES'!G40-'FedEx Rates'!G39)/('UPS RATES'!G40)</f>
        <v>0.23869234214061794</v>
      </c>
      <c r="H40" s="11">
        <f>SUM('UPS RATES'!H40-'FedEx Rates'!H39)/('UPS RATES'!H40)</f>
        <v>0.23883186352464944</v>
      </c>
      <c r="I40" s="11">
        <f>SUM('UPS RATES'!I40-'FedEx Rates'!I39)/('UPS RATES'!I40)</f>
        <v>0.27372685185185186</v>
      </c>
      <c r="J40" s="11">
        <f>SUM('UPS RATES'!J40-'FedEx Rates'!J39)/('UPS RATES'!J40)</f>
        <v>0.29137529137529139</v>
      </c>
      <c r="K40" s="11">
        <f>SUM('UPS RATES'!K40-'FedEx Rates'!K39)/('UPS RATES'!K40)</f>
        <v>0.28765613519470973</v>
      </c>
      <c r="L40" s="11">
        <f>SUM('UPS RATES'!L40-'FedEx Rates'!L39)/('UPS RATES'!L40)</f>
        <v>0.34327133479212252</v>
      </c>
      <c r="M40" s="11">
        <f>SUM('UPS RATES'!M40-'FedEx Rates'!M39)/('UPS RATES'!M40)</f>
        <v>0.37030684200495523</v>
      </c>
      <c r="N40" s="11">
        <f>SUM('UPS RATES'!N40-'FedEx Rates'!N39)/('UPS RATES'!N40)</f>
        <v>0.38845319539462708</v>
      </c>
      <c r="O40" s="11">
        <f>SUM('UPS RATES'!O40-'FedEx Rates'!O39)/('UPS RATES'!O40)</f>
        <v>0.37040319007532113</v>
      </c>
      <c r="P40" s="11">
        <f>SUM('UPS RATES'!P40-'FedEx Rates'!P39)/('UPS RATES'!P40)</f>
        <v>0.21171634121274413</v>
      </c>
      <c r="Q40" s="11">
        <f>SUM('UPS RATES'!Q40-'FedEx Rates'!Q39)/('UPS RATES'!Q40)</f>
        <v>0.21222410865874364</v>
      </c>
      <c r="R40" s="11">
        <f>SUM('UPS RATES'!R40-'FedEx Rates'!R39)/('UPS RATES'!R40)</f>
        <v>0.21115241635687731</v>
      </c>
      <c r="S40" s="11">
        <f>SUM('UPS RATES'!S40-'FedEx Rates'!S39)/('UPS RATES'!S40)</f>
        <v>0.21590214067278293</v>
      </c>
      <c r="T40" s="11">
        <f>SUM('UPS RATES'!T40-'FedEx Rates'!T39)/('UPS RATES'!T40)</f>
        <v>0.21577380952380951</v>
      </c>
      <c r="U40" s="11">
        <f>SUM('UPS RATES'!U40-'FedEx Rates'!U39)/('UPS RATES'!U40)</f>
        <v>0.2158424140821458</v>
      </c>
      <c r="V40" s="11">
        <f>SUM('UPS RATES'!V40-'FedEx Rates'!V39)/('UPS RATES'!V40)</f>
        <v>0.21571428571428569</v>
      </c>
      <c r="W40" s="11">
        <f>SUM('UPS RATES'!W40-'FedEx Rates'!W39)/('UPS RATES'!W40)</f>
        <v>0.52346041055718473</v>
      </c>
      <c r="X40" s="11">
        <f>SUM('UPS RATES'!X40-'FedEx Rates'!X39)/('UPS RATES'!X40)</f>
        <v>0.52379333786539772</v>
      </c>
      <c r="Y40" s="11">
        <f>SUM('UPS RATES'!Y40-'FedEx Rates'!Y39)/('UPS RATES'!Y40)</f>
        <v>0.52117486338797814</v>
      </c>
      <c r="Z40" s="11">
        <f>SUM('UPS RATES'!Z40-'FedEx Rates'!Z39)/('UPS RATES'!Z40)</f>
        <v>0.52113118617439125</v>
      </c>
      <c r="AA40" s="11">
        <f>SUM('UPS RATES'!AA40-'FedEx Rates'!AA39)/('UPS RATES'!AA40)</f>
        <v>0.5235578375113259</v>
      </c>
      <c r="AB40" s="11">
        <f>SUM('UPS RATES'!AB40-'FedEx Rates'!AB39)/('UPS RATES'!AB40)</f>
        <v>0.52366695181066447</v>
      </c>
      <c r="AC40" s="11">
        <f>SUM('UPS RATES'!AC40-'FedEx Rates'!AC39)/('UPS RATES'!AC40)</f>
        <v>0.52378970731030661</v>
      </c>
    </row>
    <row r="41" spans="1:29" x14ac:dyDescent="0.25">
      <c r="A41">
        <v>39</v>
      </c>
      <c r="B41" s="11">
        <f>SUM('UPS RATES'!B41-'FedEx Rates'!B40)/('UPS RATES'!B41)</f>
        <v>0.23843612334801761</v>
      </c>
      <c r="C41" s="11">
        <f>SUM('UPS RATES'!C41-'FedEx Rates'!C40)/('UPS RATES'!C41)</f>
        <v>0.23862068965517247</v>
      </c>
      <c r="D41" s="11">
        <f>SUM('UPS RATES'!D41-'FedEx Rates'!D40)/('UPS RATES'!D41)</f>
        <v>0.24231593995711226</v>
      </c>
      <c r="E41" s="11">
        <f>SUM('UPS RATES'!E41-'FedEx Rates'!E40)/('UPS RATES'!E41)</f>
        <v>0.23888888888888882</v>
      </c>
      <c r="F41" s="11">
        <f>SUM('UPS RATES'!F41-'FedEx Rates'!F40)/('UPS RATES'!F41)</f>
        <v>0.2389380530973452</v>
      </c>
      <c r="G41" s="11">
        <f>SUM('UPS RATES'!G41-'FedEx Rates'!G40)/('UPS RATES'!G41)</f>
        <v>0.23876690417333132</v>
      </c>
      <c r="H41" s="11">
        <f>SUM('UPS RATES'!H41-'FedEx Rates'!H40)/('UPS RATES'!H41)</f>
        <v>0.2387260428410371</v>
      </c>
      <c r="I41" s="11">
        <f>SUM('UPS RATES'!I41-'FedEx Rates'!I40)/('UPS RATES'!I41)</f>
        <v>0.29166666666666674</v>
      </c>
      <c r="J41" s="11">
        <f>SUM('UPS RATES'!J41-'FedEx Rates'!J40)/('UPS RATES'!J41)</f>
        <v>0.29370952821461616</v>
      </c>
      <c r="K41" s="11">
        <f>SUM('UPS RATES'!K41-'FedEx Rates'!K40)/('UPS RATES'!K41)</f>
        <v>0.28890489913544676</v>
      </c>
      <c r="L41" s="11">
        <f>SUM('UPS RATES'!L41-'FedEx Rates'!L40)/('UPS RATES'!L41)</f>
        <v>0.34138486312399352</v>
      </c>
      <c r="M41" s="11">
        <f>SUM('UPS RATES'!M41-'FedEx Rates'!M40)/('UPS RATES'!M41)</f>
        <v>0.36997019374068552</v>
      </c>
      <c r="N41" s="11">
        <f>SUM('UPS RATES'!N41-'FedEx Rates'!N40)/('UPS RATES'!N41)</f>
        <v>0.38849262957679509</v>
      </c>
      <c r="O41" s="11">
        <f>SUM('UPS RATES'!O41-'FedEx Rates'!O40)/('UPS RATES'!O41)</f>
        <v>0.38117219191495305</v>
      </c>
      <c r="P41" s="11">
        <f>SUM('UPS RATES'!P41-'FedEx Rates'!P40)/('UPS RATES'!P41)</f>
        <v>0.21094527363184087</v>
      </c>
      <c r="Q41" s="11">
        <f>SUM('UPS RATES'!Q41-'FedEx Rates'!Q40)/('UPS RATES'!Q41)</f>
        <v>0.21160130718954248</v>
      </c>
      <c r="R41" s="11">
        <f>SUM('UPS RATES'!R41-'FedEx Rates'!R40)/('UPS RATES'!R41)</f>
        <v>0.21168923734853878</v>
      </c>
      <c r="S41" s="11">
        <f>SUM('UPS RATES'!S41-'FedEx Rates'!S40)/('UPS RATES'!S41)</f>
        <v>0.21168753726893255</v>
      </c>
      <c r="T41" s="11">
        <f>SUM('UPS RATES'!T41-'FedEx Rates'!T40)/('UPS RATES'!T41)</f>
        <v>0.21135496183206104</v>
      </c>
      <c r="U41" s="11">
        <f>SUM('UPS RATES'!U41-'FedEx Rates'!U40)/('UPS RATES'!U41)</f>
        <v>0.21572580645161296</v>
      </c>
      <c r="V41" s="11">
        <f>SUM('UPS RATES'!V41-'FedEx Rates'!V40)/('UPS RATES'!V41)</f>
        <v>0.21588523442967106</v>
      </c>
      <c r="W41" s="11">
        <f>SUM('UPS RATES'!W41-'FedEx Rates'!W40)/('UPS RATES'!W41)</f>
        <v>0.52360097323600974</v>
      </c>
      <c r="X41" s="11">
        <f>SUM('UPS RATES'!X41-'FedEx Rates'!X40)/('UPS RATES'!X41)</f>
        <v>0.52390640895218721</v>
      </c>
      <c r="Y41" s="11">
        <f>SUM('UPS RATES'!Y41-'FedEx Rates'!Y40)/('UPS RATES'!Y41)</f>
        <v>0.52131587781134603</v>
      </c>
      <c r="Z41" s="11">
        <f>SUM('UPS RATES'!Z41-'FedEx Rates'!Z40)/('UPS RATES'!Z41)</f>
        <v>0.52111791490029835</v>
      </c>
      <c r="AA41" s="11">
        <f>SUM('UPS RATES'!AA41-'FedEx Rates'!AA40)/('UPS RATES'!AA41)</f>
        <v>0.5235223160434257</v>
      </c>
      <c r="AB41" s="11">
        <f>SUM('UPS RATES'!AB41-'FedEx Rates'!AB40)/('UPS RATES'!AB41)</f>
        <v>0.52371019329717705</v>
      </c>
      <c r="AC41" s="11">
        <f>SUM('UPS RATES'!AC41-'FedEx Rates'!AC40)/('UPS RATES'!AC41)</f>
        <v>0.52378356276407256</v>
      </c>
    </row>
    <row r="42" spans="1:29" x14ac:dyDescent="0.25">
      <c r="A42">
        <v>40</v>
      </c>
      <c r="B42" s="11">
        <f>SUM('UPS RATES'!B42-'FedEx Rates'!B41)/('UPS RATES'!B42)</f>
        <v>0.23874862788144896</v>
      </c>
      <c r="C42" s="11">
        <f>SUM('UPS RATES'!C42-'FedEx Rates'!C41)/('UPS RATES'!C42)</f>
        <v>0.23869234214061794</v>
      </c>
      <c r="D42" s="11">
        <f>SUM('UPS RATES'!D42-'FedEx Rates'!D41)/('UPS RATES'!D42)</f>
        <v>0.2425828970331588</v>
      </c>
      <c r="E42" s="11">
        <f>SUM('UPS RATES'!E42-'FedEx Rates'!E41)/('UPS RATES'!E42)</f>
        <v>0.23883770375620128</v>
      </c>
      <c r="F42" s="11">
        <f>SUM('UPS RATES'!F42-'FedEx Rates'!F41)/('UPS RATES'!F42)</f>
        <v>0.2389120692319579</v>
      </c>
      <c r="G42" s="11">
        <f>SUM('UPS RATES'!G42-'FedEx Rates'!G41)/('UPS RATES'!G42)</f>
        <v>0.23885892705080886</v>
      </c>
      <c r="H42" s="11">
        <f>SUM('UPS RATES'!H42-'FedEx Rates'!H41)/('UPS RATES'!H42)</f>
        <v>0.23879773886667585</v>
      </c>
      <c r="I42" s="11">
        <f>SUM('UPS RATES'!I42-'FedEx Rates'!I41)/('UPS RATES'!I42)</f>
        <v>0.29313232830820768</v>
      </c>
      <c r="J42" s="11">
        <f>SUM('UPS RATES'!J42-'FedEx Rates'!J41)/('UPS RATES'!J42)</f>
        <v>0.29191685912240178</v>
      </c>
      <c r="K42" s="11">
        <f>SUM('UPS RATES'!K42-'FedEx Rates'!K41)/('UPS RATES'!K42)</f>
        <v>0.29397074562968256</v>
      </c>
      <c r="L42" s="11">
        <f>SUM('UPS RATES'!L42-'FedEx Rates'!L41)/('UPS RATES'!L42)</f>
        <v>0.34113890367216598</v>
      </c>
      <c r="M42" s="11">
        <f>SUM('UPS RATES'!M42-'FedEx Rates'!M41)/('UPS RATES'!M42)</f>
        <v>0.38210641399416917</v>
      </c>
      <c r="N42" s="11">
        <f>SUM('UPS RATES'!N42-'FedEx Rates'!N41)/('UPS RATES'!N42)</f>
        <v>0.38742297361352501</v>
      </c>
      <c r="O42" s="11">
        <f>SUM('UPS RATES'!O42-'FedEx Rates'!O41)/('UPS RATES'!O42)</f>
        <v>0.36972363536367386</v>
      </c>
      <c r="P42" s="11">
        <f>SUM('UPS RATES'!P42-'FedEx Rates'!P41)/('UPS RATES'!P42)</f>
        <v>0.21151936444885797</v>
      </c>
      <c r="Q42" s="11">
        <f>SUM('UPS RATES'!Q42-'FedEx Rates'!Q41)/('UPS RATES'!Q42)</f>
        <v>0.21236777868185513</v>
      </c>
      <c r="R42" s="11">
        <f>SUM('UPS RATES'!R42-'FedEx Rates'!R41)/('UPS RATES'!R42)</f>
        <v>0.21225071225071218</v>
      </c>
      <c r="S42" s="11">
        <f>SUM('UPS RATES'!S42-'FedEx Rates'!S41)/('UPS RATES'!S42)</f>
        <v>0.21309523809523809</v>
      </c>
      <c r="T42" s="11">
        <f>SUM('UPS RATES'!T42-'FedEx Rates'!T41)/('UPS RATES'!T42)</f>
        <v>0.21601136901942203</v>
      </c>
      <c r="U42" s="11">
        <f>SUM('UPS RATES'!U42-'FedEx Rates'!U41)/('UPS RATES'!U42)</f>
        <v>0.21604191858121724</v>
      </c>
      <c r="V42" s="11">
        <f>SUM('UPS RATES'!V42-'FedEx Rates'!V41)/('UPS RATES'!V42)</f>
        <v>0.21615949632738718</v>
      </c>
      <c r="W42" s="11">
        <f>SUM('UPS RATES'!W42-'FedEx Rates'!W41)/('UPS RATES'!W42)</f>
        <v>0.52378640776699026</v>
      </c>
      <c r="X42" s="11">
        <f>SUM('UPS RATES'!X42-'FedEx Rates'!X41)/('UPS RATES'!X42)</f>
        <v>0.52384173148461277</v>
      </c>
      <c r="Y42" s="11">
        <f>SUM('UPS RATES'!Y42-'FedEx Rates'!Y41)/('UPS RATES'!Y42)</f>
        <v>0.52128016085790885</v>
      </c>
      <c r="Z42" s="11">
        <f>SUM('UPS RATES'!Z42-'FedEx Rates'!Z41)/('UPS RATES'!Z42)</f>
        <v>0.52214744091407106</v>
      </c>
      <c r="AA42" s="11">
        <f>SUM('UPS RATES'!AA42-'FedEx Rates'!AA41)/('UPS RATES'!AA42)</f>
        <v>0.52368064952638704</v>
      </c>
      <c r="AB42" s="11">
        <f>SUM('UPS RATES'!AB42-'FedEx Rates'!AB41)/('UPS RATES'!AB42)</f>
        <v>0.52365099181578578</v>
      </c>
      <c r="AC42" s="11">
        <f>SUM('UPS RATES'!AC42-'FedEx Rates'!AC41)/('UPS RATES'!AC42)</f>
        <v>0.52373181014551884</v>
      </c>
    </row>
    <row r="43" spans="1:29" x14ac:dyDescent="0.25">
      <c r="A43">
        <v>41</v>
      </c>
      <c r="B43" s="11">
        <f>SUM('UPS RATES'!B43-'FedEx Rates'!B42)/('UPS RATES'!B43)</f>
        <v>0.2387434554973823</v>
      </c>
      <c r="C43" s="11">
        <f>SUM('UPS RATES'!C43-'FedEx Rates'!C42)/('UPS RATES'!C43)</f>
        <v>0.23874070835155228</v>
      </c>
      <c r="D43" s="11">
        <f>SUM('UPS RATES'!D43-'FedEx Rates'!D42)/('UPS RATES'!D43)</f>
        <v>0.2425810904071774</v>
      </c>
      <c r="E43" s="11">
        <f>SUM('UPS RATES'!E43-'FedEx Rates'!E42)/('UPS RATES'!E43)</f>
        <v>0.23892368360009272</v>
      </c>
      <c r="F43" s="11">
        <f>SUM('UPS RATES'!F43-'FedEx Rates'!F42)/('UPS RATES'!F43)</f>
        <v>0.23877890282605416</v>
      </c>
      <c r="G43" s="11">
        <f>SUM('UPS RATES'!G43-'FedEx Rates'!G42)/('UPS RATES'!G43)</f>
        <v>0.23886583679114795</v>
      </c>
      <c r="H43" s="11">
        <f>SUM('UPS RATES'!H43-'FedEx Rates'!H42)/('UPS RATES'!H43)</f>
        <v>0.23868975701436429</v>
      </c>
      <c r="I43" s="11">
        <f>SUM('UPS RATES'!I43-'FedEx Rates'!I42)/('UPS RATES'!I43)</f>
        <v>0.25172231054584004</v>
      </c>
      <c r="J43" s="11">
        <f>SUM('UPS RATES'!J43-'FedEx Rates'!J42)/('UPS RATES'!J43)</f>
        <v>0.28491859468723219</v>
      </c>
      <c r="K43" s="11">
        <f>SUM('UPS RATES'!K43-'FedEx Rates'!K42)/('UPS RATES'!K43)</f>
        <v>0.28695652173913044</v>
      </c>
      <c r="L43" s="11">
        <f>SUM('UPS RATES'!L43-'FedEx Rates'!L42)/('UPS RATES'!L43)</f>
        <v>0.3401955738548636</v>
      </c>
      <c r="M43" s="11">
        <f>SUM('UPS RATES'!M43-'FedEx Rates'!M42)/('UPS RATES'!M43)</f>
        <v>0.36987282822855094</v>
      </c>
      <c r="N43" s="11">
        <f>SUM('UPS RATES'!N43-'FedEx Rates'!N42)/('UPS RATES'!N43)</f>
        <v>0.38881889763779526</v>
      </c>
      <c r="O43" s="11">
        <f>SUM('UPS RATES'!O43-'FedEx Rates'!O42)/('UPS RATES'!O43)</f>
        <v>0.36981690899299946</v>
      </c>
      <c r="P43" s="11">
        <f>SUM('UPS RATES'!P43-'FedEx Rates'!P42)/('UPS RATES'!P43)</f>
        <v>0.2118561710398445</v>
      </c>
      <c r="Q43" s="11">
        <f>SUM('UPS RATES'!Q43-'FedEx Rates'!Q42)/('UPS RATES'!Q43)</f>
        <v>0.21216848673946961</v>
      </c>
      <c r="R43" s="11">
        <f>SUM('UPS RATES'!R43-'FedEx Rates'!R42)/('UPS RATES'!R43)</f>
        <v>0.2113652113652113</v>
      </c>
      <c r="S43" s="11">
        <f>SUM('UPS RATES'!S43-'FedEx Rates'!S42)/('UPS RATES'!S43)</f>
        <v>0.21185952792170415</v>
      </c>
      <c r="T43" s="11">
        <f>SUM('UPS RATES'!T43-'FedEx Rates'!T42)/('UPS RATES'!T43)</f>
        <v>0.21170553269318712</v>
      </c>
      <c r="U43" s="11">
        <f>SUM('UPS RATES'!U43-'FedEx Rates'!U42)/('UPS RATES'!U43)</f>
        <v>0.21587798201016814</v>
      </c>
      <c r="V43" s="11">
        <f>SUM('UPS RATES'!V43-'FedEx Rates'!V42)/('UPS RATES'!V43)</f>
        <v>0.21604314122008764</v>
      </c>
      <c r="W43" s="11">
        <f>SUM('UPS RATES'!W43-'FedEx Rates'!W42)/('UPS RATES'!W43)</f>
        <v>0.52347745234774523</v>
      </c>
      <c r="X43" s="11">
        <f>SUM('UPS RATES'!X43-'FedEx Rates'!X42)/('UPS RATES'!X43)</f>
        <v>0.52356358941252412</v>
      </c>
      <c r="Y43" s="11">
        <f>SUM('UPS RATES'!Y43-'FedEx Rates'!Y42)/('UPS RATES'!Y43)</f>
        <v>0.52137305699481873</v>
      </c>
      <c r="Z43" s="11">
        <f>SUM('UPS RATES'!Z43-'FedEx Rates'!Z42)/('UPS RATES'!Z43)</f>
        <v>0.5236573862771946</v>
      </c>
      <c r="AA43" s="11">
        <f>SUM('UPS RATES'!AA43-'FedEx Rates'!AA42)/('UPS RATES'!AA43)</f>
        <v>0.5235788573870922</v>
      </c>
      <c r="AB43" s="11">
        <f>SUM('UPS RATES'!AB43-'FedEx Rates'!AB42)/('UPS RATES'!AB43)</f>
        <v>0.52373136369853646</v>
      </c>
      <c r="AC43" s="11">
        <f>SUM('UPS RATES'!AC43-'FedEx Rates'!AC42)/('UPS RATES'!AC43)</f>
        <v>0.52359228362877996</v>
      </c>
    </row>
    <row r="44" spans="1:29" x14ac:dyDescent="0.25">
      <c r="A44">
        <v>42</v>
      </c>
      <c r="B44" s="11">
        <f>SUM('UPS RATES'!B44-'FedEx Rates'!B43)/('UPS RATES'!B44)</f>
        <v>0.23905203503348793</v>
      </c>
      <c r="C44" s="11">
        <f>SUM('UPS RATES'!C44-'FedEx Rates'!C43)/('UPS RATES'!C44)</f>
        <v>0.23900981647460526</v>
      </c>
      <c r="D44" s="11">
        <f>SUM('UPS RATES'!D44-'FedEx Rates'!D43)/('UPS RATES'!D44)</f>
        <v>0.24247548190733859</v>
      </c>
      <c r="E44" s="11">
        <f>SUM('UPS RATES'!E44-'FedEx Rates'!E43)/('UPS RATES'!E44)</f>
        <v>0.23875511131303961</v>
      </c>
      <c r="F44" s="11">
        <f>SUM('UPS RATES'!F44-'FedEx Rates'!F43)/('UPS RATES'!F44)</f>
        <v>0.23879272081668887</v>
      </c>
      <c r="G44" s="11">
        <f>SUM('UPS RATES'!G44-'FedEx Rates'!G43)/('UPS RATES'!G44)</f>
        <v>0.23893088552915762</v>
      </c>
      <c r="H44" s="11">
        <f>SUM('UPS RATES'!H44-'FedEx Rates'!H43)/('UPS RATES'!H44)</f>
        <v>0.23886851754845473</v>
      </c>
      <c r="I44" s="11">
        <f>SUM('UPS RATES'!I44-'FedEx Rates'!I43)/('UPS RATES'!I44)</f>
        <v>0.24947807933194152</v>
      </c>
      <c r="J44" s="11">
        <f>SUM('UPS RATES'!J44-'FedEx Rates'!J43)/('UPS RATES'!J44)</f>
        <v>0.28720300125052095</v>
      </c>
      <c r="K44" s="11">
        <f>SUM('UPS RATES'!K44-'FedEx Rates'!K43)/('UPS RATES'!K44)</f>
        <v>0.29664429530201342</v>
      </c>
      <c r="L44" s="11">
        <f>SUM('UPS RATES'!L44-'FedEx Rates'!L43)/('UPS RATES'!L44)</f>
        <v>0.34142678347934924</v>
      </c>
      <c r="M44" s="11">
        <f>SUM('UPS RATES'!M44-'FedEx Rates'!M43)/('UPS RATES'!M44)</f>
        <v>0.37009116409537168</v>
      </c>
      <c r="N44" s="11">
        <f>SUM('UPS RATES'!N44-'FedEx Rates'!N43)/('UPS RATES'!N44)</f>
        <v>0.38842592592592584</v>
      </c>
      <c r="O44" s="11">
        <f>SUM('UPS RATES'!O44-'FedEx Rates'!O43)/('UPS RATES'!O44)</f>
        <v>0.36941331575477915</v>
      </c>
      <c r="P44" s="11">
        <f>SUM('UPS RATES'!P44-'FedEx Rates'!P43)/('UPS RATES'!P44)</f>
        <v>0.21165048543689333</v>
      </c>
      <c r="Q44" s="11">
        <f>SUM('UPS RATES'!Q44-'FedEx Rates'!Q43)/('UPS RATES'!Q44)</f>
        <v>0.2115085536547433</v>
      </c>
      <c r="R44" s="11">
        <f>SUM('UPS RATES'!R44-'FedEx Rates'!R43)/('UPS RATES'!R44)</f>
        <v>0.21133333333333332</v>
      </c>
      <c r="S44" s="11">
        <f>SUM('UPS RATES'!S44-'FedEx Rates'!S43)/('UPS RATES'!S44)</f>
        <v>0.21170395869191047</v>
      </c>
      <c r="T44" s="11">
        <f>SUM('UPS RATES'!T44-'FedEx Rates'!T43)/('UPS RATES'!T44)</f>
        <v>0.21593481213218649</v>
      </c>
      <c r="U44" s="11">
        <f>SUM('UPS RATES'!U44-'FedEx Rates'!U43)/('UPS RATES'!U44)</f>
        <v>0.21576923076923074</v>
      </c>
      <c r="V44" s="11">
        <f>SUM('UPS RATES'!V44-'FedEx Rates'!V43)/('UPS RATES'!V44)</f>
        <v>0.21596244131455403</v>
      </c>
      <c r="W44" s="11">
        <f>SUM('UPS RATES'!W44-'FedEx Rates'!W43)/('UPS RATES'!W44)</f>
        <v>0.52383134738771764</v>
      </c>
      <c r="X44" s="11">
        <f>SUM('UPS RATES'!X44-'FedEx Rates'!X43)/('UPS RATES'!X44)</f>
        <v>0.52345758354755778</v>
      </c>
      <c r="Y44" s="11">
        <f>SUM('UPS RATES'!Y44-'FedEx Rates'!Y43)/('UPS RATES'!Y44)</f>
        <v>0.52126638951071302</v>
      </c>
      <c r="Z44" s="11">
        <f>SUM('UPS RATES'!Z44-'FedEx Rates'!Z43)/('UPS RATES'!Z44)</f>
        <v>0.52352412346418942</v>
      </c>
      <c r="AA44" s="11">
        <f>SUM('UPS RATES'!AA44-'FedEx Rates'!AA43)/('UPS RATES'!AA44)</f>
        <v>0.5236678004535148</v>
      </c>
      <c r="AB44" s="11">
        <f>SUM('UPS RATES'!AB44-'FedEx Rates'!AB43)/('UPS RATES'!AB44)</f>
        <v>0.52371218315617329</v>
      </c>
      <c r="AC44" s="11">
        <f>SUM('UPS RATES'!AC44-'FedEx Rates'!AC43)/('UPS RATES'!AC44)</f>
        <v>0.52213408393039917</v>
      </c>
    </row>
    <row r="45" spans="1:29" x14ac:dyDescent="0.25">
      <c r="A45">
        <v>43</v>
      </c>
      <c r="B45" s="11">
        <f>SUM('UPS RATES'!B45-'FedEx Rates'!B44)/('UPS RATES'!B45)</f>
        <v>0.23864783047426844</v>
      </c>
      <c r="C45" s="11">
        <f>SUM('UPS RATES'!C45-'FedEx Rates'!C44)/('UPS RATES'!C45)</f>
        <v>0.23881221246340448</v>
      </c>
      <c r="D45" s="11">
        <f>SUM('UPS RATES'!D45-'FedEx Rates'!D44)/('UPS RATES'!D45)</f>
        <v>0.24275724275724284</v>
      </c>
      <c r="E45" s="11">
        <f>SUM('UPS RATES'!E45-'FedEx Rates'!E44)/('UPS RATES'!E45)</f>
        <v>0.23865921787709496</v>
      </c>
      <c r="F45" s="11">
        <f>SUM('UPS RATES'!F45-'FedEx Rates'!F44)/('UPS RATES'!F45)</f>
        <v>0.23879734027175498</v>
      </c>
      <c r="G45" s="11">
        <f>SUM('UPS RATES'!G45-'FedEx Rates'!G44)/('UPS RATES'!G45)</f>
        <v>0.23883366467859513</v>
      </c>
      <c r="H45" s="11">
        <f>SUM('UPS RATES'!H45-'FedEx Rates'!H44)/('UPS RATES'!H45)</f>
        <v>0.23884043099025132</v>
      </c>
      <c r="I45" s="11">
        <f>SUM('UPS RATES'!I45-'FedEx Rates'!I44)/('UPS RATES'!I45)</f>
        <v>0.25051124744376274</v>
      </c>
      <c r="J45" s="11">
        <f>SUM('UPS RATES'!J45-'FedEx Rates'!J44)/('UPS RATES'!J45)</f>
        <v>0.28426189507930044</v>
      </c>
      <c r="K45" s="11">
        <f>SUM('UPS RATES'!K45-'FedEx Rates'!K44)/('UPS RATES'!K45)</f>
        <v>0.29700362199539015</v>
      </c>
      <c r="L45" s="11">
        <f>SUM('UPS RATES'!L45-'FedEx Rates'!L44)/('UPS RATES'!L45)</f>
        <v>0.34112149532710279</v>
      </c>
      <c r="M45" s="11">
        <f>SUM('UPS RATES'!M45-'FedEx Rates'!M44)/('UPS RATES'!M45)</f>
        <v>0.36999484447499575</v>
      </c>
      <c r="N45" s="11">
        <f>SUM('UPS RATES'!N45-'FedEx Rates'!N44)/('UPS RATES'!N45)</f>
        <v>0.38843599033816423</v>
      </c>
      <c r="O45" s="11">
        <f>SUM('UPS RATES'!O45-'FedEx Rates'!O44)/('UPS RATES'!O45)</f>
        <v>0.3698171516868401</v>
      </c>
      <c r="P45" s="11">
        <f>SUM('UPS RATES'!P45-'FedEx Rates'!P44)/('UPS RATES'!P45)</f>
        <v>0.21238095238095242</v>
      </c>
      <c r="Q45" s="11">
        <f>SUM('UPS RATES'!Q45-'FedEx Rates'!Q44)/('UPS RATES'!Q45)</f>
        <v>0.21165644171779141</v>
      </c>
      <c r="R45" s="11">
        <f>SUM('UPS RATES'!R45-'FedEx Rates'!R44)/('UPS RATES'!R45)</f>
        <v>0.21224218230206252</v>
      </c>
      <c r="S45" s="11">
        <f>SUM('UPS RATES'!S45-'FedEx Rates'!S44)/('UPS RATES'!S45)</f>
        <v>0.21190606226105949</v>
      </c>
      <c r="T45" s="11">
        <f>SUM('UPS RATES'!T45-'FedEx Rates'!T44)/('UPS RATES'!T45)</f>
        <v>0.21123110151187893</v>
      </c>
      <c r="U45" s="11">
        <f>SUM('UPS RATES'!U45-'FedEx Rates'!U44)/('UPS RATES'!U45)</f>
        <v>0.21566443949517453</v>
      </c>
      <c r="V45" s="11">
        <f>SUM('UPS RATES'!V45-'FedEx Rates'!V44)/('UPS RATES'!V45)</f>
        <v>0.21580150179562518</v>
      </c>
      <c r="W45" s="11">
        <f>SUM('UPS RATES'!W45-'FedEx Rates'!W44)/('UPS RATES'!W45)</f>
        <v>0.52387327086122271</v>
      </c>
      <c r="X45" s="11">
        <f>SUM('UPS RATES'!X45-'FedEx Rates'!X44)/('UPS RATES'!X45)</f>
        <v>0.52371916508538907</v>
      </c>
      <c r="Y45" s="11">
        <f>SUM('UPS RATES'!Y45-'FedEx Rates'!Y44)/('UPS RATES'!Y45)</f>
        <v>0.52127825409197193</v>
      </c>
      <c r="Z45" s="11">
        <f>SUM('UPS RATES'!Z45-'FedEx Rates'!Z44)/('UPS RATES'!Z45)</f>
        <v>0.52364273204903677</v>
      </c>
      <c r="AA45" s="11">
        <f>SUM('UPS RATES'!AA45-'FedEx Rates'!AA44)/('UPS RATES'!AA45)</f>
        <v>0.52372999304105772</v>
      </c>
      <c r="AB45" s="11">
        <f>SUM('UPS RATES'!AB45-'FedEx Rates'!AB44)/('UPS RATES'!AB45)</f>
        <v>0.52209620649198285</v>
      </c>
      <c r="AC45" s="11">
        <f>SUM('UPS RATES'!AC45-'FedEx Rates'!AC44)/('UPS RATES'!AC45)</f>
        <v>0.52236092594836991</v>
      </c>
    </row>
    <row r="46" spans="1:29" x14ac:dyDescent="0.25">
      <c r="A46">
        <v>44</v>
      </c>
      <c r="B46" s="11">
        <f>SUM('UPS RATES'!B46-'FedEx Rates'!B45)/('UPS RATES'!B46)</f>
        <v>0.23870967741935478</v>
      </c>
      <c r="C46" s="11">
        <f>SUM('UPS RATES'!C46-'FedEx Rates'!C45)/('UPS RATES'!C46)</f>
        <v>0.23842975206611569</v>
      </c>
      <c r="D46" s="11">
        <f>SUM('UPS RATES'!D46-'FedEx Rates'!D45)/('UPS RATES'!D46)</f>
        <v>0.24259198957994135</v>
      </c>
      <c r="E46" s="11">
        <f>SUM('UPS RATES'!E46-'FedEx Rates'!E45)/('UPS RATES'!E46)</f>
        <v>0.2388583973655323</v>
      </c>
      <c r="F46" s="11">
        <f>SUM('UPS RATES'!F46-'FedEx Rates'!F45)/('UPS RATES'!F46)</f>
        <v>0.23890543031334185</v>
      </c>
      <c r="G46" s="11">
        <f>SUM('UPS RATES'!G46-'FedEx Rates'!G45)/('UPS RATES'!G46)</f>
        <v>0.23885848318999217</v>
      </c>
      <c r="H46" s="11">
        <f>SUM('UPS RATES'!H46-'FedEx Rates'!H45)/('UPS RATES'!H46)</f>
        <v>0.23877217260032707</v>
      </c>
      <c r="I46" s="11">
        <f>SUM('UPS RATES'!I46-'FedEx Rates'!I45)/('UPS RATES'!I46)</f>
        <v>0.25190065889508367</v>
      </c>
      <c r="J46" s="11">
        <f>SUM('UPS RATES'!J46-'FedEx Rates'!J45)/('UPS RATES'!J46)</f>
        <v>0.29059485530546625</v>
      </c>
      <c r="K46" s="11">
        <f>SUM('UPS RATES'!K46-'FedEx Rates'!K45)/('UPS RATES'!K46)</f>
        <v>0.29852185089974304</v>
      </c>
      <c r="L46" s="11">
        <f>SUM('UPS RATES'!L46-'FedEx Rates'!L45)/('UPS RATES'!L46)</f>
        <v>0.34143992294726699</v>
      </c>
      <c r="M46" s="11">
        <f>SUM('UPS RATES'!M46-'FedEx Rates'!M45)/('UPS RATES'!M46)</f>
        <v>0.37033912603340646</v>
      </c>
      <c r="N46" s="11">
        <f>SUM('UPS RATES'!N46-'FedEx Rates'!N45)/('UPS RATES'!N46)</f>
        <v>0.38814135738577549</v>
      </c>
      <c r="O46" s="11">
        <f>SUM('UPS RATES'!O46-'FedEx Rates'!O45)/('UPS RATES'!O46)</f>
        <v>0.36843460350154483</v>
      </c>
      <c r="P46" s="11">
        <f>SUM('UPS RATES'!P46-'FedEx Rates'!P45)/('UPS RATES'!P46)</f>
        <v>0.21220657276995303</v>
      </c>
      <c r="Q46" s="11">
        <f>SUM('UPS RATES'!Q46-'FedEx Rates'!Q45)/('UPS RATES'!Q46)</f>
        <v>0.21207547169811325</v>
      </c>
      <c r="R46" s="11">
        <f>SUM('UPS RATES'!R46-'FedEx Rates'!R45)/('UPS RATES'!R46)</f>
        <v>0.21155094094743671</v>
      </c>
      <c r="S46" s="11">
        <f>SUM('UPS RATES'!S46-'FedEx Rates'!S45)/('UPS RATES'!S46)</f>
        <v>0.21148684916800858</v>
      </c>
      <c r="T46" s="11">
        <f>SUM('UPS RATES'!T46-'FedEx Rates'!T45)/('UPS RATES'!T46)</f>
        <v>0.21370449678800862</v>
      </c>
      <c r="U46" s="11">
        <f>SUM('UPS RATES'!U46-'FedEx Rates'!U45)/('UPS RATES'!U46)</f>
        <v>0.21136445892146219</v>
      </c>
      <c r="V46" s="11">
        <f>SUM('UPS RATES'!V46-'FedEx Rates'!V45)/('UPS RATES'!V46)</f>
        <v>0.2158319870759289</v>
      </c>
      <c r="W46" s="11">
        <f>SUM('UPS RATES'!W46-'FedEx Rates'!W45)/('UPS RATES'!W46)</f>
        <v>0.52378873854212138</v>
      </c>
      <c r="X46" s="11">
        <f>SUM('UPS RATES'!X46-'FedEx Rates'!X45)/('UPS RATES'!X46)</f>
        <v>0.52359483017733699</v>
      </c>
      <c r="Y46" s="11">
        <f>SUM('UPS RATES'!Y46-'FedEx Rates'!Y45)/('UPS RATES'!Y46)</f>
        <v>0.52131248083409998</v>
      </c>
      <c r="Z46" s="11">
        <f>SUM('UPS RATES'!Z46-'FedEx Rates'!Z45)/('UPS RATES'!Z46)</f>
        <v>0.52134189864382585</v>
      </c>
      <c r="AA46" s="11">
        <f>SUM('UPS RATES'!AA46-'FedEx Rates'!AA45)/('UPS RATES'!AA46)</f>
        <v>0.5236662106703146</v>
      </c>
      <c r="AB46" s="11">
        <f>SUM('UPS RATES'!AB46-'FedEx Rates'!AB45)/('UPS RATES'!AB46)</f>
        <v>0.52219086711133911</v>
      </c>
      <c r="AC46" s="11">
        <f>SUM('UPS RATES'!AC46-'FedEx Rates'!AC45)/('UPS RATES'!AC46)</f>
        <v>0.52247800409786671</v>
      </c>
    </row>
    <row r="47" spans="1:29" x14ac:dyDescent="0.25">
      <c r="A47">
        <v>45</v>
      </c>
      <c r="B47" s="11">
        <f>SUM('UPS RATES'!B47-'FedEx Rates'!B46)/('UPS RATES'!B47)</f>
        <v>0.23863636363636356</v>
      </c>
      <c r="C47" s="11">
        <f>SUM('UPS RATES'!C47-'FedEx Rates'!C46)/('UPS RATES'!C47)</f>
        <v>0.23870967741935489</v>
      </c>
      <c r="D47" s="11">
        <f>SUM('UPS RATES'!D47-'FedEx Rates'!D46)/('UPS RATES'!D47)</f>
        <v>0.24269662921348312</v>
      </c>
      <c r="E47" s="11">
        <f>SUM('UPS RATES'!E47-'FedEx Rates'!E46)/('UPS RATES'!E47)</f>
        <v>0.23884798614118669</v>
      </c>
      <c r="F47" s="11">
        <f>SUM('UPS RATES'!F47-'FedEx Rates'!F46)/('UPS RATES'!F47)</f>
        <v>0.23893065998329155</v>
      </c>
      <c r="G47" s="11">
        <f>SUM('UPS RATES'!G47-'FedEx Rates'!G46)/('UPS RATES'!G47)</f>
        <v>0.23883842906485866</v>
      </c>
      <c r="H47" s="11">
        <f>SUM('UPS RATES'!H47-'FedEx Rates'!H46)/('UPS RATES'!H47)</f>
        <v>0.23875046485682416</v>
      </c>
      <c r="I47" s="11">
        <f>SUM('UPS RATES'!I47-'FedEx Rates'!I46)/('UPS RATES'!I47)</f>
        <v>0.25912956478239113</v>
      </c>
      <c r="J47" s="11">
        <f>SUM('UPS RATES'!J47-'FedEx Rates'!J46)/('UPS RATES'!J47)</f>
        <v>0.29689984101748801</v>
      </c>
      <c r="K47" s="11">
        <f>SUM('UPS RATES'!K47-'FedEx Rates'!K46)/('UPS RATES'!K47)</f>
        <v>0.30914826498422715</v>
      </c>
      <c r="L47" s="11">
        <f>SUM('UPS RATES'!L47-'FedEx Rates'!L46)/('UPS RATES'!L47)</f>
        <v>0.3400236127508855</v>
      </c>
      <c r="M47" s="11">
        <f>SUM('UPS RATES'!M47-'FedEx Rates'!M46)/('UPS RATES'!M47)</f>
        <v>0.37989382879893824</v>
      </c>
      <c r="N47" s="11">
        <f>SUM('UPS RATES'!N47-'FedEx Rates'!N46)/('UPS RATES'!N47)</f>
        <v>0.38658146964856227</v>
      </c>
      <c r="O47" s="11">
        <f>SUM('UPS RATES'!O47-'FedEx Rates'!O46)/('UPS RATES'!O47)</f>
        <v>0.36942593541773455</v>
      </c>
      <c r="P47" s="11">
        <f>SUM('UPS RATES'!P47-'FedEx Rates'!P46)/('UPS RATES'!P47)</f>
        <v>0.21126760563380281</v>
      </c>
      <c r="Q47" s="11">
        <f>SUM('UPS RATES'!Q47-'FedEx Rates'!Q46)/('UPS RATES'!Q47)</f>
        <v>0.21207547169811325</v>
      </c>
      <c r="R47" s="11">
        <f>SUM('UPS RATES'!R47-'FedEx Rates'!R46)/('UPS RATES'!R47)</f>
        <v>0.21155094094743671</v>
      </c>
      <c r="S47" s="11">
        <f>SUM('UPS RATES'!S47-'FedEx Rates'!S46)/('UPS RATES'!S47)</f>
        <v>0.21137339055793997</v>
      </c>
      <c r="T47" s="11">
        <f>SUM('UPS RATES'!T47-'FedEx Rates'!T46)/('UPS RATES'!T47)</f>
        <v>0.21596244131455394</v>
      </c>
      <c r="U47" s="11">
        <f>SUM('UPS RATES'!U47-'FedEx Rates'!U46)/('UPS RATES'!U47)</f>
        <v>0.21602541475467693</v>
      </c>
      <c r="V47" s="11">
        <f>SUM('UPS RATES'!V47-'FedEx Rates'!V46)/('UPS RATES'!V47)</f>
        <v>0.21591273660571061</v>
      </c>
      <c r="W47" s="11">
        <f>SUM('UPS RATES'!W47-'FedEx Rates'!W46)/('UPS RATES'!W47)</f>
        <v>0.52095557418273264</v>
      </c>
      <c r="X47" s="11">
        <f>SUM('UPS RATES'!X47-'FedEx Rates'!X46)/('UPS RATES'!X47)</f>
        <v>0.52386462250506216</v>
      </c>
      <c r="Y47" s="11">
        <f>SUM('UPS RATES'!Y47-'FedEx Rates'!Y46)/('UPS RATES'!Y47)</f>
        <v>0.52218016654049959</v>
      </c>
      <c r="Z47" s="11">
        <f>SUM('UPS RATES'!Z47-'FedEx Rates'!Z46)/('UPS RATES'!Z47)</f>
        <v>0.52362869198312234</v>
      </c>
      <c r="AA47" s="11">
        <f>SUM('UPS RATES'!AA47-'FedEx Rates'!AA46)/('UPS RATES'!AA47)</f>
        <v>0.52369247576129996</v>
      </c>
      <c r="AB47" s="11">
        <f>SUM('UPS RATES'!AB47-'FedEx Rates'!AB46)/('UPS RATES'!AB47)</f>
        <v>0.52365374937091091</v>
      </c>
      <c r="AC47" s="11">
        <f>SUM('UPS RATES'!AC47-'FedEx Rates'!AC46)/('UPS RATES'!AC47)</f>
        <v>0.52226233453670268</v>
      </c>
    </row>
    <row r="48" spans="1:29" x14ac:dyDescent="0.25">
      <c r="A48">
        <v>46</v>
      </c>
      <c r="B48" s="11">
        <f>SUM('UPS RATES'!B48-'FedEx Rates'!B47)/('UPS RATES'!B48)</f>
        <v>0.23862002874940105</v>
      </c>
      <c r="C48" s="11">
        <f>SUM('UPS RATES'!C48-'FedEx Rates'!C47)/('UPS RATES'!C48)</f>
        <v>0.2388357256778309</v>
      </c>
      <c r="D48" s="11">
        <f>SUM('UPS RATES'!D48-'FedEx Rates'!D47)/('UPS RATES'!D48)</f>
        <v>0.24260541220893644</v>
      </c>
      <c r="E48" s="11">
        <f>SUM('UPS RATES'!E48-'FedEx Rates'!E47)/('UPS RATES'!E48)</f>
        <v>0.23879957127545554</v>
      </c>
      <c r="F48" s="11">
        <f>SUM('UPS RATES'!F48-'FedEx Rates'!F47)/('UPS RATES'!F48)</f>
        <v>0.2388059701492537</v>
      </c>
      <c r="G48" s="11">
        <f>SUM('UPS RATES'!G48-'FedEx Rates'!G47)/('UPS RATES'!G48)</f>
        <v>0.23870074279239589</v>
      </c>
      <c r="H48" s="11">
        <f>SUM('UPS RATES'!H48-'FedEx Rates'!H47)/('UPS RATES'!H48)</f>
        <v>0.24083262737504538</v>
      </c>
      <c r="I48" s="11">
        <f>SUM('UPS RATES'!I48-'FedEx Rates'!I47)/('UPS RATES'!I48)</f>
        <v>0.26521523998020785</v>
      </c>
      <c r="J48" s="11">
        <f>SUM('UPS RATES'!J48-'FedEx Rates'!J47)/('UPS RATES'!J48)</f>
        <v>0.30497843982751865</v>
      </c>
      <c r="K48" s="11">
        <f>SUM('UPS RATES'!K48-'FedEx Rates'!K47)/('UPS RATES'!K48)</f>
        <v>0.29709267110841919</v>
      </c>
      <c r="L48" s="11">
        <f>SUM('UPS RATES'!L48-'FedEx Rates'!L47)/('UPS RATES'!L48)</f>
        <v>0.34009573740597215</v>
      </c>
      <c r="M48" s="11">
        <f>SUM('UPS RATES'!M48-'FedEx Rates'!M47)/('UPS RATES'!M48)</f>
        <v>0.38190307518918049</v>
      </c>
      <c r="N48" s="11">
        <f>SUM('UPS RATES'!N48-'FedEx Rates'!N47)/('UPS RATES'!N48)</f>
        <v>0.38874930206588498</v>
      </c>
      <c r="O48" s="11">
        <f>SUM('UPS RATES'!O48-'FedEx Rates'!O47)/('UPS RATES'!O48)</f>
        <v>0.36817906836055664</v>
      </c>
      <c r="P48" s="11">
        <f>SUM('UPS RATES'!P48-'FedEx Rates'!P47)/('UPS RATES'!P48)</f>
        <v>0.21201091901728844</v>
      </c>
      <c r="Q48" s="11">
        <f>SUM('UPS RATES'!Q48-'FedEx Rates'!Q47)/('UPS RATES'!Q48)</f>
        <v>0.21209858103061985</v>
      </c>
      <c r="R48" s="11">
        <f>SUM('UPS RATES'!R48-'FedEx Rates'!R47)/('UPS RATES'!R48)</f>
        <v>0.21181646763042117</v>
      </c>
      <c r="S48" s="11">
        <f>SUM('UPS RATES'!S48-'FedEx Rates'!S47)/('UPS RATES'!S48)</f>
        <v>0.21623036649214661</v>
      </c>
      <c r="T48" s="11">
        <f>SUM('UPS RATES'!T48-'FedEx Rates'!T47)/('UPS RATES'!T48)</f>
        <v>0.21589018302828611</v>
      </c>
      <c r="U48" s="11">
        <f>SUM('UPS RATES'!U48-'FedEx Rates'!U47)/('UPS RATES'!U48)</f>
        <v>0.21585749214111072</v>
      </c>
      <c r="V48" s="11">
        <f>SUM('UPS RATES'!V48-'FedEx Rates'!V47)/('UPS RATES'!V48)</f>
        <v>0.21569240387621127</v>
      </c>
      <c r="W48" s="11">
        <f>SUM('UPS RATES'!W48-'FedEx Rates'!W47)/('UPS RATES'!W48)</f>
        <v>0.51883701883701883</v>
      </c>
      <c r="X48" s="11">
        <f>SUM('UPS RATES'!X48-'FedEx Rates'!X47)/('UPS RATES'!X48)</f>
        <v>0.52363112391930833</v>
      </c>
      <c r="Y48" s="11">
        <f>SUM('UPS RATES'!Y48-'FedEx Rates'!Y47)/('UPS RATES'!Y48)</f>
        <v>0.52219904648390947</v>
      </c>
      <c r="Z48" s="11">
        <f>SUM('UPS RATES'!Z48-'FedEx Rates'!Z47)/('UPS RATES'!Z48)</f>
        <v>0.5211887727022565</v>
      </c>
      <c r="AA48" s="11">
        <f>SUM('UPS RATES'!AA48-'FedEx Rates'!AA47)/('UPS RATES'!AA48)</f>
        <v>0.52242953552997218</v>
      </c>
      <c r="AB48" s="11">
        <f>SUM('UPS RATES'!AB48-'FedEx Rates'!AB47)/('UPS RATES'!AB48)</f>
        <v>0.52363772082607607</v>
      </c>
      <c r="AC48" s="11">
        <f>SUM('UPS RATES'!AC48-'FedEx Rates'!AC47)/('UPS RATES'!AC48)</f>
        <v>0.52257989810097272</v>
      </c>
    </row>
    <row r="49" spans="1:29" x14ac:dyDescent="0.25">
      <c r="A49">
        <v>47</v>
      </c>
      <c r="B49" s="11">
        <f>SUM('UPS RATES'!B49-'FedEx Rates'!B48)/('UPS RATES'!B49)</f>
        <v>0.23841376015289059</v>
      </c>
      <c r="C49" s="11">
        <f>SUM('UPS RATES'!C49-'FedEx Rates'!C48)/('UPS RATES'!C49)</f>
        <v>0.23875845602865103</v>
      </c>
      <c r="D49" s="11">
        <f>SUM('UPS RATES'!D49-'FedEx Rates'!D48)/('UPS RATES'!D49)</f>
        <v>0.24264933457134022</v>
      </c>
      <c r="E49" s="11">
        <f>SUM('UPS RATES'!E49-'FedEx Rates'!E48)/('UPS RATES'!E49)</f>
        <v>0.24000854883522113</v>
      </c>
      <c r="F49" s="11">
        <f>SUM('UPS RATES'!F49-'FedEx Rates'!F48)/('UPS RATES'!F49)</f>
        <v>0.23879168944778567</v>
      </c>
      <c r="G49" s="11">
        <f>SUM('UPS RATES'!G49-'FedEx Rates'!G48)/('UPS RATES'!G49)</f>
        <v>0.23881347410759174</v>
      </c>
      <c r="H49" s="11">
        <f>SUM('UPS RATES'!H49-'FedEx Rates'!H48)/('UPS RATES'!H49)</f>
        <v>0.24634380244545678</v>
      </c>
      <c r="I49" s="11">
        <f>SUM('UPS RATES'!I49-'FedEx Rates'!I48)/('UPS RATES'!I49)</f>
        <v>0.26528599605522685</v>
      </c>
      <c r="J49" s="11">
        <f>SUM('UPS RATES'!J49-'FedEx Rates'!J48)/('UPS RATES'!J49)</f>
        <v>0.30477308294209698</v>
      </c>
      <c r="K49" s="11">
        <f>SUM('UPS RATES'!K49-'FedEx Rates'!K48)/('UPS RATES'!K49)</f>
        <v>0.29728915662650612</v>
      </c>
      <c r="L49" s="11">
        <f>SUM('UPS RATES'!L49-'FedEx Rates'!L48)/('UPS RATES'!L49)</f>
        <v>0.34052213393870595</v>
      </c>
      <c r="M49" s="11">
        <f>SUM('UPS RATES'!M49-'FedEx Rates'!M48)/('UPS RATES'!M49)</f>
        <v>0.38817358130662843</v>
      </c>
      <c r="N49" s="11">
        <f>SUM('UPS RATES'!N49-'FedEx Rates'!N48)/('UPS RATES'!N49)</f>
        <v>0.38688981868898187</v>
      </c>
      <c r="O49" s="11">
        <f>SUM('UPS RATES'!O49-'FedEx Rates'!O48)/('UPS RATES'!O49)</f>
        <v>0.36817416406062065</v>
      </c>
      <c r="P49" s="11">
        <f>SUM('UPS RATES'!P49-'FedEx Rates'!P48)/('UPS RATES'!P49)</f>
        <v>0.21286231884057968</v>
      </c>
      <c r="Q49" s="11">
        <f>SUM('UPS RATES'!Q49-'FedEx Rates'!Q48)/('UPS RATES'!Q49)</f>
        <v>0.21183345507669835</v>
      </c>
      <c r="R49" s="11">
        <f>SUM('UPS RATES'!R49-'FedEx Rates'!R48)/('UPS RATES'!R49)</f>
        <v>0.21163366336633663</v>
      </c>
      <c r="S49" s="11">
        <f>SUM('UPS RATES'!S49-'FedEx Rates'!S48)/('UPS RATES'!S49)</f>
        <v>0.21580863234529382</v>
      </c>
      <c r="T49" s="11">
        <f>SUM('UPS RATES'!T49-'FedEx Rates'!T48)/('UPS RATES'!T49)</f>
        <v>0.21583914649158809</v>
      </c>
      <c r="U49" s="11">
        <f>SUM('UPS RATES'!U49-'FedEx Rates'!U48)/('UPS RATES'!U49)</f>
        <v>0.21555860178204247</v>
      </c>
      <c r="V49" s="11">
        <f>SUM('UPS RATES'!V49-'FedEx Rates'!V48)/('UPS RATES'!V49)</f>
        <v>0.21593355890495233</v>
      </c>
      <c r="W49" s="11">
        <f>SUM('UPS RATES'!W49-'FedEx Rates'!W48)/('UPS RATES'!W49)</f>
        <v>0.51937046004842613</v>
      </c>
      <c r="X49" s="11">
        <f>SUM('UPS RATES'!X49-'FedEx Rates'!X48)/('UPS RATES'!X49)</f>
        <v>0.52371485373473448</v>
      </c>
      <c r="Y49" s="11">
        <f>SUM('UPS RATES'!Y49-'FedEx Rates'!Y48)/('UPS RATES'!Y49)</f>
        <v>0.52215942891136224</v>
      </c>
      <c r="Z49" s="11">
        <f>SUM('UPS RATES'!Z49-'FedEx Rates'!Z48)/('UPS RATES'!Z49)</f>
        <v>0.52124451754385959</v>
      </c>
      <c r="AA49" s="11">
        <f>SUM('UPS RATES'!AA49-'FedEx Rates'!AA48)/('UPS RATES'!AA49)</f>
        <v>0.52352786540483698</v>
      </c>
      <c r="AB49" s="11">
        <f>SUM('UPS RATES'!AB49-'FedEx Rates'!AB48)/('UPS RATES'!AB49)</f>
        <v>0.52369139171421486</v>
      </c>
      <c r="AC49" s="11">
        <f>SUM('UPS RATES'!AC49-'FedEx Rates'!AC48)/('UPS RATES'!AC49)</f>
        <v>0.52326652844966592</v>
      </c>
    </row>
    <row r="50" spans="1:29" x14ac:dyDescent="0.25">
      <c r="A50">
        <v>48</v>
      </c>
      <c r="B50" s="11">
        <f>SUM('UPS RATES'!B50-'FedEx Rates'!B49)/('UPS RATES'!B50)</f>
        <v>0.23865231633130563</v>
      </c>
      <c r="C50" s="11">
        <f>SUM('UPS RATES'!C50-'FedEx Rates'!C49)/('UPS RATES'!C50)</f>
        <v>0.23871461361897484</v>
      </c>
      <c r="D50" s="11">
        <f>SUM('UPS RATES'!D50-'FedEx Rates'!D49)/('UPS RATES'!D50)</f>
        <v>0.24270072992700739</v>
      </c>
      <c r="E50" s="11">
        <f>SUM('UPS RATES'!E50-'FedEx Rates'!E49)/('UPS RATES'!E50)</f>
        <v>0.24142339654805026</v>
      </c>
      <c r="F50" s="11">
        <f>SUM('UPS RATES'!F50-'FedEx Rates'!F49)/('UPS RATES'!F50)</f>
        <v>0.23884930060702034</v>
      </c>
      <c r="G50" s="11">
        <f>SUM('UPS RATES'!G50-'FedEx Rates'!G49)/('UPS RATES'!G50)</f>
        <v>0.24369133243935148</v>
      </c>
      <c r="H50" s="11">
        <f>SUM('UPS RATES'!H50-'FedEx Rates'!H49)/('UPS RATES'!H50)</f>
        <v>0.24640266381258183</v>
      </c>
      <c r="I50" s="11">
        <f>SUM('UPS RATES'!I50-'FedEx Rates'!I49)/('UPS RATES'!I50)</f>
        <v>0.26440177252584929</v>
      </c>
      <c r="J50" s="11">
        <f>SUM('UPS RATES'!J50-'FedEx Rates'!J49)/('UPS RATES'!J50)</f>
        <v>0.31578947368421062</v>
      </c>
      <c r="K50" s="11">
        <f>SUM('UPS RATES'!K50-'FedEx Rates'!K49)/('UPS RATES'!K50)</f>
        <v>0.29904019196160769</v>
      </c>
      <c r="L50" s="11">
        <f>SUM('UPS RATES'!L50-'FedEx Rates'!L49)/('UPS RATES'!L50)</f>
        <v>0.34145271011630457</v>
      </c>
      <c r="M50" s="11">
        <f>SUM('UPS RATES'!M50-'FedEx Rates'!M49)/('UPS RATES'!M50)</f>
        <v>0.40362004950495056</v>
      </c>
      <c r="N50" s="11">
        <f>SUM('UPS RATES'!N50-'FedEx Rates'!N49)/('UPS RATES'!N50)</f>
        <v>0.38417190775681337</v>
      </c>
      <c r="O50" s="11">
        <f>SUM('UPS RATES'!O50-'FedEx Rates'!O49)/('UPS RATES'!O50)</f>
        <v>0.3711724298521365</v>
      </c>
      <c r="P50" s="11">
        <f>SUM('UPS RATES'!P50-'FedEx Rates'!P49)/('UPS RATES'!P50)</f>
        <v>0.21195652173913043</v>
      </c>
      <c r="Q50" s="11">
        <f>SUM('UPS RATES'!Q50-'FedEx Rates'!Q49)/('UPS RATES'!Q50)</f>
        <v>0.21044992743105942</v>
      </c>
      <c r="R50" s="11">
        <f>SUM('UPS RATES'!R50-'FedEx Rates'!R49)/('UPS RATES'!R50)</f>
        <v>0.21078431372549017</v>
      </c>
      <c r="S50" s="11">
        <f>SUM('UPS RATES'!S50-'FedEx Rates'!S49)/('UPS RATES'!S50)</f>
        <v>0.21180030257186072</v>
      </c>
      <c r="T50" s="11">
        <f>SUM('UPS RATES'!T50-'FedEx Rates'!T49)/('UPS RATES'!T50)</f>
        <v>0.21584478577202912</v>
      </c>
      <c r="U50" s="11">
        <f>SUM('UPS RATES'!U50-'FedEx Rates'!U49)/('UPS RATES'!U50)</f>
        <v>0.21595925297113749</v>
      </c>
      <c r="V50" s="11">
        <f>SUM('UPS RATES'!V50-'FedEx Rates'!V49)/('UPS RATES'!V50)</f>
        <v>0.21592973955178685</v>
      </c>
      <c r="W50" s="11">
        <f>SUM('UPS RATES'!W50-'FedEx Rates'!W49)/('UPS RATES'!W50)</f>
        <v>0.52394253790901835</v>
      </c>
      <c r="X50" s="11">
        <f>SUM('UPS RATES'!X50-'FedEx Rates'!X49)/('UPS RATES'!X50)</f>
        <v>0.52380952380952384</v>
      </c>
      <c r="Y50" s="11">
        <f>SUM('UPS RATES'!Y50-'FedEx Rates'!Y49)/('UPS RATES'!Y50)</f>
        <v>0.52314540059347181</v>
      </c>
      <c r="Z50" s="11">
        <f>SUM('UPS RATES'!Z50-'FedEx Rates'!Z49)/('UPS RATES'!Z50)</f>
        <v>0.52304147465437789</v>
      </c>
      <c r="AA50" s="11">
        <f>SUM('UPS RATES'!AA50-'FedEx Rates'!AA49)/('UPS RATES'!AA50)</f>
        <v>0.52363445378151252</v>
      </c>
      <c r="AB50" s="11">
        <f>SUM('UPS RATES'!AB50-'FedEx Rates'!AB49)/('UPS RATES'!AB50)</f>
        <v>0.52369350712632479</v>
      </c>
      <c r="AC50" s="11">
        <f>SUM('UPS RATES'!AC50-'FedEx Rates'!AC49)/('UPS RATES'!AC50)</f>
        <v>0.52363971011158406</v>
      </c>
    </row>
    <row r="51" spans="1:29" x14ac:dyDescent="0.25">
      <c r="A51">
        <v>49</v>
      </c>
      <c r="B51" s="11">
        <f>SUM('UPS RATES'!B51-'FedEx Rates'!B50)/('UPS RATES'!B51)</f>
        <v>0.23891740550629964</v>
      </c>
      <c r="C51" s="11">
        <f>SUM('UPS RATES'!C51-'FedEx Rates'!C50)/('UPS RATES'!C51)</f>
        <v>0.23885714285714285</v>
      </c>
      <c r="D51" s="11">
        <f>SUM('UPS RATES'!D51-'FedEx Rates'!D50)/('UPS RATES'!D51)</f>
        <v>0.24279210925644926</v>
      </c>
      <c r="E51" s="11">
        <f>SUM('UPS RATES'!E51-'FedEx Rates'!E50)/('UPS RATES'!E51)</f>
        <v>0.24068157614483501</v>
      </c>
      <c r="F51" s="11">
        <f>SUM('UPS RATES'!F51-'FedEx Rates'!F50)/('UPS RATES'!F51)</f>
        <v>0.23887375113533149</v>
      </c>
      <c r="G51" s="11">
        <f>SUM('UPS RATES'!G51-'FedEx Rates'!G50)/('UPS RATES'!G51)</f>
        <v>0.24425811155668983</v>
      </c>
      <c r="H51" s="11">
        <f>SUM('UPS RATES'!H51-'FedEx Rates'!H50)/('UPS RATES'!H51)</f>
        <v>0.24631653992395436</v>
      </c>
      <c r="I51" s="11">
        <f>SUM('UPS RATES'!I51-'FedEx Rates'!I50)/('UPS RATES'!I51)</f>
        <v>0.26783968719452589</v>
      </c>
      <c r="J51" s="11">
        <f>SUM('UPS RATES'!J51-'FedEx Rates'!J50)/('UPS RATES'!J51)</f>
        <v>0.32411965164710332</v>
      </c>
      <c r="K51" s="11">
        <f>SUM('UPS RATES'!K51-'FedEx Rates'!K50)/('UPS RATES'!K51)</f>
        <v>0.30873671782762691</v>
      </c>
      <c r="L51" s="11">
        <f>SUM('UPS RATES'!L51-'FedEx Rates'!L50)/('UPS RATES'!L51)</f>
        <v>0.34164479440069989</v>
      </c>
      <c r="M51" s="11">
        <f>SUM('UPS RATES'!M51-'FedEx Rates'!M50)/('UPS RATES'!M51)</f>
        <v>0.40767459708365311</v>
      </c>
      <c r="N51" s="11">
        <f>SUM('UPS RATES'!N51-'FedEx Rates'!N50)/('UPS RATES'!N51)</f>
        <v>0.38855964957485184</v>
      </c>
      <c r="O51" s="11">
        <f>SUM('UPS RATES'!O51-'FedEx Rates'!O50)/('UPS RATES'!O51)</f>
        <v>0.37365560309934082</v>
      </c>
      <c r="P51" s="11">
        <f>SUM('UPS RATES'!P51-'FedEx Rates'!P50)/('UPS RATES'!P51)</f>
        <v>0.21266968325791866</v>
      </c>
      <c r="Q51" s="11">
        <f>SUM('UPS RATES'!Q51-'FedEx Rates'!Q50)/('UPS RATES'!Q51)</f>
        <v>0.21029731689630157</v>
      </c>
      <c r="R51" s="11">
        <f>SUM('UPS RATES'!R51-'FedEx Rates'!R50)/('UPS RATES'!R51)</f>
        <v>0.21162079510703366</v>
      </c>
      <c r="S51" s="11">
        <f>SUM('UPS RATES'!S51-'FedEx Rates'!S50)/('UPS RATES'!S51)</f>
        <v>0.21180030257186072</v>
      </c>
      <c r="T51" s="11">
        <f>SUM('UPS RATES'!T51-'FedEx Rates'!T50)/('UPS RATES'!T51)</f>
        <v>0.21589085072231148</v>
      </c>
      <c r="U51" s="11">
        <f>SUM('UPS RATES'!U51-'FedEx Rates'!U50)/('UPS RATES'!U51)</f>
        <v>0.21571238348868177</v>
      </c>
      <c r="V51" s="11">
        <f>SUM('UPS RATES'!V51-'FedEx Rates'!V50)/('UPS RATES'!V51)</f>
        <v>0.215833835039133</v>
      </c>
      <c r="W51" s="11">
        <f>SUM('UPS RATES'!W51-'FedEx Rates'!W50)/('UPS RATES'!W51)</f>
        <v>0.52333466294375752</v>
      </c>
      <c r="X51" s="11">
        <f>SUM('UPS RATES'!X51-'FedEx Rates'!X50)/('UPS RATES'!X51)</f>
        <v>0.52349943374858443</v>
      </c>
      <c r="Y51" s="11">
        <f>SUM('UPS RATES'!Y51-'FedEx Rates'!Y50)/('UPS RATES'!Y51)</f>
        <v>0.52299021061999418</v>
      </c>
      <c r="Z51" s="11">
        <f>SUM('UPS RATES'!Z51-'FedEx Rates'!Z50)/('UPS RATES'!Z51)</f>
        <v>0.52262872628726287</v>
      </c>
      <c r="AA51" s="11">
        <f>SUM('UPS RATES'!AA51-'FedEx Rates'!AA50)/('UPS RATES'!AA51)</f>
        <v>0.52375328083989503</v>
      </c>
      <c r="AB51" s="11">
        <f>SUM('UPS RATES'!AB51-'FedEx Rates'!AB50)/('UPS RATES'!AB51)</f>
        <v>0.52307317667113107</v>
      </c>
      <c r="AC51" s="11">
        <f>SUM('UPS RATES'!AC51-'FedEx Rates'!AC50)/('UPS RATES'!AC51)</f>
        <v>0.52368360542653491</v>
      </c>
    </row>
    <row r="52" spans="1:29" x14ac:dyDescent="0.25">
      <c r="A52">
        <v>50</v>
      </c>
      <c r="B52" s="11">
        <f>SUM('UPS RATES'!B52-'FedEx Rates'!B51)/('UPS RATES'!B52)</f>
        <v>0.23871568171242435</v>
      </c>
      <c r="C52" s="11">
        <f>SUM('UPS RATES'!C52-'FedEx Rates'!C51)/('UPS RATES'!C52)</f>
        <v>0.23869251235271752</v>
      </c>
      <c r="D52" s="11">
        <f>SUM('UPS RATES'!D52-'FedEx Rates'!D51)/('UPS RATES'!D52)</f>
        <v>0.24249558563861093</v>
      </c>
      <c r="E52" s="11">
        <f>SUM('UPS RATES'!E52-'FedEx Rates'!E51)/('UPS RATES'!E52)</f>
        <v>0.240051074696744</v>
      </c>
      <c r="F52" s="11">
        <f>SUM('UPS RATES'!F52-'FedEx Rates'!F51)/('UPS RATES'!F52)</f>
        <v>0.23893353744100018</v>
      </c>
      <c r="G52" s="11">
        <f>SUM('UPS RATES'!G52-'FedEx Rates'!G51)/('UPS RATES'!G52)</f>
        <v>0.24639961273145339</v>
      </c>
      <c r="H52" s="11">
        <f>SUM('UPS RATES'!H52-'FedEx Rates'!H51)/('UPS RATES'!H52)</f>
        <v>0.24641119943053744</v>
      </c>
      <c r="I52" s="11">
        <f>SUM('UPS RATES'!I52-'FedEx Rates'!I51)/('UPS RATES'!I52)</f>
        <v>0.26656920077972707</v>
      </c>
      <c r="J52" s="11">
        <f>SUM('UPS RATES'!J52-'FedEx Rates'!J51)/('UPS RATES'!J52)</f>
        <v>0.32339622641509436</v>
      </c>
      <c r="K52" s="11">
        <f>SUM('UPS RATES'!K52-'FedEx Rates'!K51)/('UPS RATES'!K52)</f>
        <v>0.30922986478542042</v>
      </c>
      <c r="L52" s="11">
        <f>SUM('UPS RATES'!L52-'FedEx Rates'!L51)/('UPS RATES'!L52)</f>
        <v>0.34090909090909088</v>
      </c>
      <c r="M52" s="11">
        <f>SUM('UPS RATES'!M52-'FedEx Rates'!M51)/('UPS RATES'!M52)</f>
        <v>0.40983356237593521</v>
      </c>
      <c r="N52" s="11">
        <f>SUM('UPS RATES'!N52-'FedEx Rates'!N51)/('UPS RATES'!N52)</f>
        <v>0.3926701570680628</v>
      </c>
      <c r="O52" s="11">
        <f>SUM('UPS RATES'!O52-'FedEx Rates'!O51)/('UPS RATES'!O52)</f>
        <v>0.37201246969172153</v>
      </c>
      <c r="P52" s="11">
        <f>SUM('UPS RATES'!P52-'FedEx Rates'!P51)/('UPS RATES'!P52)</f>
        <v>0.21176470588235291</v>
      </c>
      <c r="Q52" s="11">
        <f>SUM('UPS RATES'!Q52-'FedEx Rates'!Q51)/('UPS RATES'!Q52)</f>
        <v>0.21086956521739131</v>
      </c>
      <c r="R52" s="11">
        <f>SUM('UPS RATES'!R52-'FedEx Rates'!R51)/('UPS RATES'!R52)</f>
        <v>0.21258399511301163</v>
      </c>
      <c r="S52" s="11">
        <f>SUM('UPS RATES'!S52-'FedEx Rates'!S51)/('UPS RATES'!S52)</f>
        <v>0.21209068010075569</v>
      </c>
      <c r="T52" s="11">
        <f>SUM('UPS RATES'!T52-'FedEx Rates'!T51)/('UPS RATES'!T52)</f>
        <v>0.21589085072231148</v>
      </c>
      <c r="U52" s="11">
        <f>SUM('UPS RATES'!U52-'FedEx Rates'!U51)/('UPS RATES'!U52)</f>
        <v>0.21597337770382702</v>
      </c>
      <c r="V52" s="11">
        <f>SUM('UPS RATES'!V52-'FedEx Rates'!V51)/('UPS RATES'!V52)</f>
        <v>0.21586826347305382</v>
      </c>
      <c r="W52" s="11">
        <f>SUM('UPS RATES'!W52-'FedEx Rates'!W51)/('UPS RATES'!W52)</f>
        <v>0.52073365231259972</v>
      </c>
      <c r="X52" s="11">
        <f>SUM('UPS RATES'!X52-'FedEx Rates'!X51)/('UPS RATES'!X52)</f>
        <v>0.52364864864864868</v>
      </c>
      <c r="Y52" s="11">
        <f>SUM('UPS RATES'!Y52-'FedEx Rates'!Y51)/('UPS RATES'!Y52)</f>
        <v>0.52156514006224985</v>
      </c>
      <c r="Z52" s="11">
        <f>SUM('UPS RATES'!Z52-'FedEx Rates'!Z51)/('UPS RATES'!Z52)</f>
        <v>0.52124492557510149</v>
      </c>
      <c r="AA52" s="11">
        <f>SUM('UPS RATES'!AA52-'FedEx Rates'!AA51)/('UPS RATES'!AA52)</f>
        <v>0.52366013071895423</v>
      </c>
      <c r="AB52" s="11">
        <f>SUM('UPS RATES'!AB52-'FedEx Rates'!AB51)/('UPS RATES'!AB52)</f>
        <v>0.5221722755436764</v>
      </c>
      <c r="AC52" s="11">
        <f>SUM('UPS RATES'!AC52-'FedEx Rates'!AC51)/('UPS RATES'!AC52)</f>
        <v>0.52367304826321226</v>
      </c>
    </row>
    <row r="53" spans="1:29" x14ac:dyDescent="0.25">
      <c r="A53">
        <v>51</v>
      </c>
      <c r="B53" s="11">
        <f>SUM('UPS RATES'!B53-'FedEx Rates'!B52)/('UPS RATES'!B53)</f>
        <v>0.23881973259566619</v>
      </c>
      <c r="C53" s="11">
        <f>SUM('UPS RATES'!C53-'FedEx Rates'!C52)/('UPS RATES'!C53)</f>
        <v>0.23883421650264958</v>
      </c>
      <c r="D53" s="11">
        <f>SUM('UPS RATES'!D53-'FedEx Rates'!D52)/('UPS RATES'!D53)</f>
        <v>0.24272962856320177</v>
      </c>
      <c r="E53" s="11">
        <f>SUM('UPS RATES'!E53-'FedEx Rates'!E52)/('UPS RATES'!E53)</f>
        <v>0.2387628865979381</v>
      </c>
      <c r="F53" s="11">
        <f>SUM('UPS RATES'!F53-'FedEx Rates'!F52)/('UPS RATES'!F53)</f>
        <v>0.2388023369036027</v>
      </c>
      <c r="G53" s="11">
        <f>SUM('UPS RATES'!G53-'FedEx Rates'!G52)/('UPS RATES'!G53)</f>
        <v>0.24626250735726898</v>
      </c>
      <c r="H53" s="11">
        <f>SUM('UPS RATES'!H53-'FedEx Rates'!H52)/('UPS RATES'!H53)</f>
        <v>0.24627813040969421</v>
      </c>
      <c r="I53" s="11">
        <f>SUM('UPS RATES'!I53-'FedEx Rates'!I52)/('UPS RATES'!I53)</f>
        <v>0.26354119253527536</v>
      </c>
      <c r="J53" s="11">
        <f>SUM('UPS RATES'!J53-'FedEx Rates'!J52)/('UPS RATES'!J53)</f>
        <v>0.26588943211733734</v>
      </c>
      <c r="K53" s="11">
        <f>SUM('UPS RATES'!K53-'FedEx Rates'!K52)/('UPS RATES'!K53)</f>
        <v>0.28730385164051347</v>
      </c>
      <c r="L53" s="11">
        <f>SUM('UPS RATES'!L53-'FedEx Rates'!L52)/('UPS RATES'!L53)</f>
        <v>0.34080338266384774</v>
      </c>
      <c r="M53" s="11">
        <f>SUM('UPS RATES'!M53-'FedEx Rates'!M52)/('UPS RATES'!M53)</f>
        <v>0.41645994454983215</v>
      </c>
      <c r="N53" s="11">
        <f>SUM('UPS RATES'!N53-'FedEx Rates'!N52)/('UPS RATES'!N53)</f>
        <v>0.38945491594498216</v>
      </c>
      <c r="O53" s="11">
        <f>SUM('UPS RATES'!O53-'FedEx Rates'!O52)/('UPS RATES'!O53)</f>
        <v>0.35004407227853679</v>
      </c>
      <c r="P53" s="11">
        <f>SUM('UPS RATES'!P53-'FedEx Rates'!P52)/('UPS RATES'!P53)</f>
        <v>0.21389891696750896</v>
      </c>
      <c r="Q53" s="11">
        <f>SUM('UPS RATES'!Q53-'FedEx Rates'!Q52)/('UPS RATES'!Q53)</f>
        <v>0.21086956521739131</v>
      </c>
      <c r="R53" s="11">
        <f>SUM('UPS RATES'!R53-'FedEx Rates'!R52)/('UPS RATES'!R53)</f>
        <v>0.21341463414634138</v>
      </c>
      <c r="S53" s="11">
        <f>SUM('UPS RATES'!S53-'FedEx Rates'!S52)/('UPS RATES'!S53)</f>
        <v>0.21317244846656611</v>
      </c>
      <c r="T53" s="11">
        <f>SUM('UPS RATES'!T53-'FedEx Rates'!T52)/('UPS RATES'!T53)</f>
        <v>0.21397205588822352</v>
      </c>
      <c r="U53" s="11">
        <f>SUM('UPS RATES'!U53-'FedEx Rates'!U52)/('UPS RATES'!U53)</f>
        <v>0.21357615894039733</v>
      </c>
      <c r="V53" s="11">
        <f>SUM('UPS RATES'!V53-'FedEx Rates'!V52)/('UPS RATES'!V53)</f>
        <v>0.2137382075471698</v>
      </c>
      <c r="W53" s="11">
        <f>SUM('UPS RATES'!W53-'FedEx Rates'!W52)/('UPS RATES'!W53)</f>
        <v>0.51887810140237323</v>
      </c>
      <c r="X53" s="11">
        <f>SUM('UPS RATES'!X53-'FedEx Rates'!X52)/('UPS RATES'!X53)</f>
        <v>0.51893551688843398</v>
      </c>
      <c r="Y53" s="11">
        <f>SUM('UPS RATES'!Y53-'FedEx Rates'!Y52)/('UPS RATES'!Y53)</f>
        <v>0.51889938854919404</v>
      </c>
      <c r="Z53" s="11">
        <f>SUM('UPS RATES'!Z53-'FedEx Rates'!Z52)/('UPS RATES'!Z53)</f>
        <v>0.51891621925333997</v>
      </c>
      <c r="AA53" s="11">
        <f>SUM('UPS RATES'!AA53-'FedEx Rates'!AA52)/('UPS RATES'!AA53)</f>
        <v>0.51884483602545273</v>
      </c>
      <c r="AB53" s="11">
        <f>SUM('UPS RATES'!AB53-'FedEx Rates'!AB52)/('UPS RATES'!AB53)</f>
        <v>0.51888712960868588</v>
      </c>
      <c r="AC53" s="11">
        <f>SUM('UPS RATES'!AC53-'FedEx Rates'!AC52)/('UPS RATES'!AC53)</f>
        <v>0.51894022334136203</v>
      </c>
    </row>
    <row r="54" spans="1:29" x14ac:dyDescent="0.25">
      <c r="A54">
        <v>52</v>
      </c>
      <c r="B54" s="11">
        <f>SUM('UPS RATES'!B54-'FedEx Rates'!B53)/('UPS RATES'!B54)</f>
        <v>0.23858742463393623</v>
      </c>
      <c r="C54" s="11">
        <f>SUM('UPS RATES'!C54-'FedEx Rates'!C53)/('UPS RATES'!C54)</f>
        <v>0.23886494252873558</v>
      </c>
      <c r="D54" s="11">
        <f>SUM('UPS RATES'!D54-'FedEx Rates'!D53)/('UPS RATES'!D54)</f>
        <v>0.24246651785714296</v>
      </c>
      <c r="E54" s="11">
        <f>SUM('UPS RATES'!E54-'FedEx Rates'!E53)/('UPS RATES'!E54)</f>
        <v>0.23881180379128392</v>
      </c>
      <c r="F54" s="11">
        <f>SUM('UPS RATES'!F54-'FedEx Rates'!F53)/('UPS RATES'!F54)</f>
        <v>0.23882028533748945</v>
      </c>
      <c r="G54" s="11">
        <f>SUM('UPS RATES'!G54-'FedEx Rates'!G53)/('UPS RATES'!G54)</f>
        <v>0.23881922095216954</v>
      </c>
      <c r="H54" s="11">
        <f>SUM('UPS RATES'!H54-'FedEx Rates'!H53)/('UPS RATES'!H54)</f>
        <v>0.24632234510898743</v>
      </c>
      <c r="I54" s="11">
        <f>SUM('UPS RATES'!I54-'FedEx Rates'!I53)/('UPS RATES'!I54)</f>
        <v>0.26996029995588888</v>
      </c>
      <c r="J54" s="11">
        <f>SUM('UPS RATES'!J54-'FedEx Rates'!J53)/('UPS RATES'!J54)</f>
        <v>0.30292356463543507</v>
      </c>
      <c r="K54" s="11">
        <f>SUM('UPS RATES'!K54-'FedEx Rates'!K53)/('UPS RATES'!K54)</f>
        <v>0.287010777084515</v>
      </c>
      <c r="L54" s="11">
        <f>SUM('UPS RATES'!L54-'FedEx Rates'!L53)/('UPS RATES'!L54)</f>
        <v>0.34968814968814971</v>
      </c>
      <c r="M54" s="11">
        <f>SUM('UPS RATES'!M54-'FedEx Rates'!M53)/('UPS RATES'!M54)</f>
        <v>0.35746086456986925</v>
      </c>
      <c r="N54" s="11">
        <f>SUM('UPS RATES'!N54-'FedEx Rates'!N53)/('UPS RATES'!N54)</f>
        <v>0.38866963717377462</v>
      </c>
      <c r="O54" s="11">
        <f>SUM('UPS RATES'!O54-'FedEx Rates'!O53)/('UPS RATES'!O54)</f>
        <v>0.35151052459373977</v>
      </c>
      <c r="P54" s="11">
        <f>SUM('UPS RATES'!P54-'FedEx Rates'!P53)/('UPS RATES'!P54)</f>
        <v>0.21460775473399452</v>
      </c>
      <c r="Q54" s="11">
        <f>SUM('UPS RATES'!Q54-'FedEx Rates'!Q53)/('UPS RATES'!Q54)</f>
        <v>0.2107168718320058</v>
      </c>
      <c r="R54" s="11">
        <f>SUM('UPS RATES'!R54-'FedEx Rates'!R53)/('UPS RATES'!R54)</f>
        <v>0.21328458257160268</v>
      </c>
      <c r="S54" s="11">
        <f>SUM('UPS RATES'!S54-'FedEx Rates'!S53)/('UPS RATES'!S54)</f>
        <v>0.21356783919597983</v>
      </c>
      <c r="T54" s="11">
        <f>SUM('UPS RATES'!T54-'FedEx Rates'!T53)/('UPS RATES'!T54)</f>
        <v>0.21357285429141723</v>
      </c>
      <c r="U54" s="11">
        <f>SUM('UPS RATES'!U54-'FedEx Rates'!U53)/('UPS RATES'!U54)</f>
        <v>0.21383647798742142</v>
      </c>
      <c r="V54" s="11">
        <f>SUM('UPS RATES'!V54-'FedEx Rates'!V53)/('UPS RATES'!V54)</f>
        <v>0.2137382075471698</v>
      </c>
      <c r="W54" s="11">
        <f>SUM('UPS RATES'!W54-'FedEx Rates'!W53)/('UPS RATES'!W54)</f>
        <v>0.51912181303116145</v>
      </c>
      <c r="X54" s="11">
        <f>SUM('UPS RATES'!X54-'FedEx Rates'!X53)/('UPS RATES'!X54)</f>
        <v>0.51872568093385218</v>
      </c>
      <c r="Y54" s="11">
        <f>SUM('UPS RATES'!Y54-'FedEx Rates'!Y53)/('UPS RATES'!Y54)</f>
        <v>0.51893644617380019</v>
      </c>
      <c r="Z54" s="11">
        <f>SUM('UPS RATES'!Z54-'FedEx Rates'!Z53)/('UPS RATES'!Z54)</f>
        <v>0.51885868234141563</v>
      </c>
      <c r="AA54" s="11">
        <f>SUM('UPS RATES'!AA54-'FedEx Rates'!AA53)/('UPS RATES'!AA54)</f>
        <v>0.51894699563215674</v>
      </c>
      <c r="AB54" s="11">
        <f>SUM('UPS RATES'!AB54-'FedEx Rates'!AB53)/('UPS RATES'!AB54)</f>
        <v>0.51888538151736152</v>
      </c>
      <c r="AC54" s="11">
        <f>SUM('UPS RATES'!AC54-'FedEx Rates'!AC53)/('UPS RATES'!AC54)</f>
        <v>0.51893742866037151</v>
      </c>
    </row>
    <row r="55" spans="1:29" x14ac:dyDescent="0.25">
      <c r="A55">
        <v>53</v>
      </c>
      <c r="B55" s="11">
        <f>SUM('UPS RATES'!B55-'FedEx Rates'!B54)/('UPS RATES'!B55)</f>
        <v>0.23902027027027029</v>
      </c>
      <c r="C55" s="11">
        <f>SUM('UPS RATES'!C55-'FedEx Rates'!C54)/('UPS RATES'!C55)</f>
        <v>0.23873239436619711</v>
      </c>
      <c r="D55" s="11">
        <f>SUM('UPS RATES'!D55-'FedEx Rates'!D54)/('UPS RATES'!D55)</f>
        <v>0.24236588720770294</v>
      </c>
      <c r="E55" s="11">
        <f>SUM('UPS RATES'!E55-'FedEx Rates'!E54)/('UPS RATES'!E55)</f>
        <v>0.23879728419010662</v>
      </c>
      <c r="F55" s="11">
        <f>SUM('UPS RATES'!F55-'FedEx Rates'!F54)/('UPS RATES'!F55)</f>
        <v>0.2387166287561355</v>
      </c>
      <c r="G55" s="11">
        <f>SUM('UPS RATES'!G55-'FedEx Rates'!G54)/('UPS RATES'!G55)</f>
        <v>0.24421902268760906</v>
      </c>
      <c r="H55" s="11">
        <f>SUM('UPS RATES'!H55-'FedEx Rates'!H54)/('UPS RATES'!H55)</f>
        <v>0.24624080196224796</v>
      </c>
      <c r="I55" s="11">
        <f>SUM('UPS RATES'!I55-'FedEx Rates'!I54)/('UPS RATES'!I55)</f>
        <v>0.25098039215686269</v>
      </c>
      <c r="J55" s="11">
        <f>SUM('UPS RATES'!J55-'FedEx Rates'!J54)/('UPS RATES'!J55)</f>
        <v>0.27743484224965703</v>
      </c>
      <c r="K55" s="11">
        <f>SUM('UPS RATES'!K55-'FedEx Rates'!K54)/('UPS RATES'!K55)</f>
        <v>0.28842398884239889</v>
      </c>
      <c r="L55" s="11">
        <f>SUM('UPS RATES'!L55-'FedEx Rates'!L54)/('UPS RATES'!L55)</f>
        <v>0.32169268693508624</v>
      </c>
      <c r="M55" s="11">
        <f>SUM('UPS RATES'!M55-'FedEx Rates'!M54)/('UPS RATES'!M55)</f>
        <v>0.36115819209039551</v>
      </c>
      <c r="N55" s="11">
        <f>SUM('UPS RATES'!N55-'FedEx Rates'!N54)/('UPS RATES'!N55)</f>
        <v>0.40201317261091091</v>
      </c>
      <c r="O55" s="11">
        <f>SUM('UPS RATES'!O55-'FedEx Rates'!O54)/('UPS RATES'!O55)</f>
        <v>0.35117590720442693</v>
      </c>
      <c r="P55" s="11">
        <f>SUM('UPS RATES'!P55-'FedEx Rates'!P54)/('UPS RATES'!P55)</f>
        <v>0.21370604147880967</v>
      </c>
      <c r="Q55" s="11">
        <f>SUM('UPS RATES'!Q55-'FedEx Rates'!Q54)/('UPS RATES'!Q55)</f>
        <v>0.21242774566473985</v>
      </c>
      <c r="R55" s="11">
        <f>SUM('UPS RATES'!R55-'FedEx Rates'!R54)/('UPS RATES'!R55)</f>
        <v>0.2137637028014617</v>
      </c>
      <c r="S55" s="11">
        <f>SUM('UPS RATES'!S55-'FedEx Rates'!S54)/('UPS RATES'!S55)</f>
        <v>0.21028971028971025</v>
      </c>
      <c r="T55" s="11">
        <f>SUM('UPS RATES'!T55-'FedEx Rates'!T54)/('UPS RATES'!T55)</f>
        <v>0.21388667198723063</v>
      </c>
      <c r="U55" s="11">
        <f>SUM('UPS RATES'!U55-'FedEx Rates'!U54)/('UPS RATES'!U55)</f>
        <v>0.21376571806750488</v>
      </c>
      <c r="V55" s="11">
        <f>SUM('UPS RATES'!V55-'FedEx Rates'!V54)/('UPS RATES'!V55)</f>
        <v>0.21395213076474018</v>
      </c>
      <c r="W55" s="11">
        <f>SUM('UPS RATES'!W55-'FedEx Rates'!W54)/('UPS RATES'!W55)</f>
        <v>0.51892081289418357</v>
      </c>
      <c r="X55" s="11">
        <f>SUM('UPS RATES'!X55-'FedEx Rates'!X54)/('UPS RATES'!X55)</f>
        <v>0.51899346721509798</v>
      </c>
      <c r="Y55" s="11">
        <f>SUM('UPS RATES'!Y55-'FedEx Rates'!Y54)/('UPS RATES'!Y55)</f>
        <v>0.51893841793352224</v>
      </c>
      <c r="Z55" s="11">
        <f>SUM('UPS RATES'!Z55-'FedEx Rates'!Z54)/('UPS RATES'!Z55)</f>
        <v>0.52006708997244511</v>
      </c>
      <c r="AA55" s="11">
        <f>SUM('UPS RATES'!AA55-'FedEx Rates'!AA54)/('UPS RATES'!AA55)</f>
        <v>0.518880131749206</v>
      </c>
      <c r="AB55" s="11">
        <f>SUM('UPS RATES'!AB55-'FedEx Rates'!AB54)/('UPS RATES'!AB55)</f>
        <v>0.51968013293176862</v>
      </c>
      <c r="AC55" s="11">
        <f>SUM('UPS RATES'!AC55-'FedEx Rates'!AC54)/('UPS RATES'!AC55)</f>
        <v>0.51891012606750708</v>
      </c>
    </row>
    <row r="56" spans="1:29" x14ac:dyDescent="0.25">
      <c r="A56">
        <v>54</v>
      </c>
      <c r="B56" s="11">
        <f>SUM('UPS RATES'!B56-'FedEx Rates'!B55)/('UPS RATES'!B56)</f>
        <v>0.23896752706078261</v>
      </c>
      <c r="C56" s="11">
        <f>SUM('UPS RATES'!C56-'FedEx Rates'!C55)/('UPS RATES'!C56)</f>
        <v>0.23869171885873347</v>
      </c>
      <c r="D56" s="11">
        <f>SUM('UPS RATES'!D56-'FedEx Rates'!D55)/('UPS RATES'!D56)</f>
        <v>0.24268689057421453</v>
      </c>
      <c r="E56" s="11">
        <f>SUM('UPS RATES'!E56-'FedEx Rates'!E55)/('UPS RATES'!E56)</f>
        <v>0.23882330172246957</v>
      </c>
      <c r="F56" s="11">
        <f>SUM('UPS RATES'!F56-'FedEx Rates'!F55)/('UPS RATES'!F56)</f>
        <v>0.23889154323936934</v>
      </c>
      <c r="G56" s="11">
        <f>SUM('UPS RATES'!G56-'FedEx Rates'!G55)/('UPS RATES'!G56)</f>
        <v>0.24627919608908205</v>
      </c>
      <c r="H56" s="11">
        <f>SUM('UPS RATES'!H56-'FedEx Rates'!H55)/('UPS RATES'!H56)</f>
        <v>0.24616531742650191</v>
      </c>
      <c r="I56" s="11">
        <f>SUM('UPS RATES'!I56-'FedEx Rates'!I55)/('UPS RATES'!I56)</f>
        <v>0.25602409638554213</v>
      </c>
      <c r="J56" s="11">
        <f>SUM('UPS RATES'!J56-'FedEx Rates'!J55)/('UPS RATES'!J56)</f>
        <v>0.27915674940496432</v>
      </c>
      <c r="K56" s="11">
        <f>SUM('UPS RATES'!K56-'FedEx Rates'!K55)/('UPS RATES'!K56)</f>
        <v>0.30054644808743169</v>
      </c>
      <c r="L56" s="11">
        <f>SUM('UPS RATES'!L56-'FedEx Rates'!L55)/('UPS RATES'!L56)</f>
        <v>0.32150060508269462</v>
      </c>
      <c r="M56" s="11">
        <f>SUM('UPS RATES'!M56-'FedEx Rates'!M55)/('UPS RATES'!M56)</f>
        <v>0.3691900918452547</v>
      </c>
      <c r="N56" s="11">
        <f>SUM('UPS RATES'!N56-'FedEx Rates'!N55)/('UPS RATES'!N56)</f>
        <v>0.38927483241925653</v>
      </c>
      <c r="O56" s="11">
        <f>SUM('UPS RATES'!O56-'FedEx Rates'!O55)/('UPS RATES'!O56)</f>
        <v>0.36107045787162867</v>
      </c>
      <c r="P56" s="11">
        <f>SUM('UPS RATES'!P56-'FedEx Rates'!P55)/('UPS RATES'!P56)</f>
        <v>0.21370604147880967</v>
      </c>
      <c r="Q56" s="11">
        <f>SUM('UPS RATES'!Q56-'FedEx Rates'!Q55)/('UPS RATES'!Q56)</f>
        <v>0.21356421356421351</v>
      </c>
      <c r="R56" s="11">
        <f>SUM('UPS RATES'!R56-'FedEx Rates'!R55)/('UPS RATES'!R56)</f>
        <v>0.21398176291793311</v>
      </c>
      <c r="S56" s="11">
        <f>SUM('UPS RATES'!S56-'FedEx Rates'!S55)/('UPS RATES'!S56)</f>
        <v>0.21036889332003983</v>
      </c>
      <c r="T56" s="11">
        <f>SUM('UPS RATES'!T56-'FedEx Rates'!T55)/('UPS RATES'!T56)</f>
        <v>0.2138013562026326</v>
      </c>
      <c r="U56" s="11">
        <f>SUM('UPS RATES'!U56-'FedEx Rates'!U55)/('UPS RATES'!U56)</f>
        <v>0.21402580218326162</v>
      </c>
      <c r="V56" s="11">
        <f>SUM('UPS RATES'!V56-'FedEx Rates'!V55)/('UPS RATES'!V56)</f>
        <v>0.21411901983663942</v>
      </c>
      <c r="W56" s="11">
        <f>SUM('UPS RATES'!W56-'FedEx Rates'!W55)/('UPS RATES'!W56)</f>
        <v>0.51886792452830188</v>
      </c>
      <c r="X56" s="11">
        <f>SUM('UPS RATES'!X56-'FedEx Rates'!X55)/('UPS RATES'!X56)</f>
        <v>0.51883148237566401</v>
      </c>
      <c r="Y56" s="11">
        <f>SUM('UPS RATES'!Y56-'FedEx Rates'!Y55)/('UPS RATES'!Y56)</f>
        <v>0.5187902187902188</v>
      </c>
      <c r="Z56" s="11">
        <f>SUM('UPS RATES'!Z56-'FedEx Rates'!Z55)/('UPS RATES'!Z56)</f>
        <v>0.52361737479230952</v>
      </c>
      <c r="AA56" s="11">
        <f>SUM('UPS RATES'!AA56-'FedEx Rates'!AA55)/('UPS RATES'!AA56)</f>
        <v>0.51891891891891895</v>
      </c>
      <c r="AB56" s="11">
        <f>SUM('UPS RATES'!AB56-'FedEx Rates'!AB55)/('UPS RATES'!AB56)</f>
        <v>0.51969399359040624</v>
      </c>
      <c r="AC56" s="11">
        <f>SUM('UPS RATES'!AC56-'FedEx Rates'!AC55)/('UPS RATES'!AC56)</f>
        <v>0.5189732142857143</v>
      </c>
    </row>
    <row r="57" spans="1:29" x14ac:dyDescent="0.25">
      <c r="A57">
        <v>55</v>
      </c>
      <c r="B57" s="11">
        <f>SUM('UPS RATES'!B57-'FedEx Rates'!B56)/('UPS RATES'!B57)</f>
        <v>0.23875715453802124</v>
      </c>
      <c r="C57" s="11">
        <f>SUM('UPS RATES'!C57-'FedEx Rates'!C56)/('UPS RATES'!C57)</f>
        <v>0.23908523908523904</v>
      </c>
      <c r="D57" s="11">
        <f>SUM('UPS RATES'!D57-'FedEx Rates'!D56)/('UPS RATES'!D57)</f>
        <v>0.24248120300751883</v>
      </c>
      <c r="E57" s="11">
        <f>SUM('UPS RATES'!E57-'FedEx Rates'!E56)/('UPS RATES'!E57)</f>
        <v>0.23865611121838193</v>
      </c>
      <c r="F57" s="11">
        <f>SUM('UPS RATES'!F57-'FedEx Rates'!F56)/('UPS RATES'!F57)</f>
        <v>0.238717067583047</v>
      </c>
      <c r="G57" s="11">
        <f>SUM('UPS RATES'!G57-'FedEx Rates'!G56)/('UPS RATES'!G57)</f>
        <v>0.24628404036020399</v>
      </c>
      <c r="H57" s="11">
        <f>SUM('UPS RATES'!H57-'FedEx Rates'!H56)/('UPS RATES'!H57)</f>
        <v>0.24627659574468092</v>
      </c>
      <c r="I57" s="11">
        <f>SUM('UPS RATES'!I57-'FedEx Rates'!I56)/('UPS RATES'!I57)</f>
        <v>0.25737494655835824</v>
      </c>
      <c r="J57" s="11">
        <f>SUM('UPS RATES'!J57-'FedEx Rates'!J56)/('UPS RATES'!J57)</f>
        <v>0.28995662328995658</v>
      </c>
      <c r="K57" s="11">
        <f>SUM('UPS RATES'!K57-'FedEx Rates'!K56)/('UPS RATES'!K57)</f>
        <v>0.28852370689655166</v>
      </c>
      <c r="L57" s="11">
        <f>SUM('UPS RATES'!L57-'FedEx Rates'!L56)/('UPS RATES'!L57)</f>
        <v>0.32362267142290918</v>
      </c>
      <c r="M57" s="11">
        <f>SUM('UPS RATES'!M57-'FedEx Rates'!M56)/('UPS RATES'!M57)</f>
        <v>0.37753424657534251</v>
      </c>
      <c r="N57" s="11">
        <f>SUM('UPS RATES'!N57-'FedEx Rates'!N56)/('UPS RATES'!N57)</f>
        <v>0.39813374805598756</v>
      </c>
      <c r="O57" s="11">
        <f>SUM('UPS RATES'!O57-'FedEx Rates'!O56)/('UPS RATES'!O57)</f>
        <v>0.36036789297658867</v>
      </c>
      <c r="P57" s="11">
        <f>SUM('UPS RATES'!P57-'FedEx Rates'!P56)/('UPS RATES'!P57)</f>
        <v>0.21441441441441433</v>
      </c>
      <c r="Q57" s="11">
        <f>SUM('UPS RATES'!Q57-'FedEx Rates'!Q56)/('UPS RATES'!Q57)</f>
        <v>0.21397694524495681</v>
      </c>
      <c r="R57" s="11">
        <f>SUM('UPS RATES'!R57-'FedEx Rates'!R56)/('UPS RATES'!R57)</f>
        <v>0.21445929526123941</v>
      </c>
      <c r="S57" s="11">
        <f>SUM('UPS RATES'!S57-'FedEx Rates'!S56)/('UPS RATES'!S57)</f>
        <v>0.21389578163771708</v>
      </c>
      <c r="T57" s="11">
        <f>SUM('UPS RATES'!T57-'FedEx Rates'!T56)/('UPS RATES'!T57)</f>
        <v>0.21442805898764444</v>
      </c>
      <c r="U57" s="11">
        <f>SUM('UPS RATES'!U57-'FedEx Rates'!U56)/('UPS RATES'!U57)</f>
        <v>0.21376571806750488</v>
      </c>
      <c r="V57" s="11">
        <f>SUM('UPS RATES'!V57-'FedEx Rates'!V56)/('UPS RATES'!V57)</f>
        <v>0.21480617895657245</v>
      </c>
      <c r="W57" s="11">
        <f>SUM('UPS RATES'!W57-'FedEx Rates'!W56)/('UPS RATES'!W57)</f>
        <v>0.51896971806474068</v>
      </c>
      <c r="X57" s="11">
        <f>SUM('UPS RATES'!X57-'FedEx Rates'!X56)/('UPS RATES'!X57)</f>
        <v>0.51898433792121501</v>
      </c>
      <c r="Y57" s="11">
        <f>SUM('UPS RATES'!Y57-'FedEx Rates'!Y56)/('UPS RATES'!Y57)</f>
        <v>0.51891132123690265</v>
      </c>
      <c r="Z57" s="11">
        <f>SUM('UPS RATES'!Z57-'FedEx Rates'!Z56)/('UPS RATES'!Z57)</f>
        <v>0.52356144920672498</v>
      </c>
      <c r="AA57" s="11">
        <f>SUM('UPS RATES'!AA57-'FedEx Rates'!AA56)/('UPS RATES'!AA57)</f>
        <v>0.51893095768374164</v>
      </c>
      <c r="AB57" s="11">
        <f>SUM('UPS RATES'!AB57-'FedEx Rates'!AB56)/('UPS RATES'!AB57)</f>
        <v>0.51943353318172414</v>
      </c>
      <c r="AC57" s="11">
        <f>SUM('UPS RATES'!AC57-'FedEx Rates'!AC56)/('UPS RATES'!AC57)</f>
        <v>0.51895782643957822</v>
      </c>
    </row>
    <row r="58" spans="1:29" x14ac:dyDescent="0.25">
      <c r="A58">
        <v>56</v>
      </c>
      <c r="B58" s="11">
        <f>SUM('UPS RATES'!B58-'FedEx Rates'!B57)/('UPS RATES'!B58)</f>
        <v>0.23853955375253547</v>
      </c>
      <c r="C58" s="11">
        <f>SUM('UPS RATES'!C58-'FedEx Rates'!C57)/('UPS RATES'!C58)</f>
        <v>0.23852260959613394</v>
      </c>
      <c r="D58" s="11">
        <f>SUM('UPS RATES'!D58-'FedEx Rates'!D57)/('UPS RATES'!D58)</f>
        <v>0.24250535331905779</v>
      </c>
      <c r="E58" s="11">
        <f>SUM('UPS RATES'!E58-'FedEx Rates'!E57)/('UPS RATES'!E58)</f>
        <v>0.238929534077782</v>
      </c>
      <c r="F58" s="11">
        <f>SUM('UPS RATES'!F58-'FedEx Rates'!F57)/('UPS RATES'!F58)</f>
        <v>0.23887748117727584</v>
      </c>
      <c r="G58" s="11">
        <f>SUM('UPS RATES'!G58-'FedEx Rates'!G57)/('UPS RATES'!G58)</f>
        <v>0.24631556133506724</v>
      </c>
      <c r="H58" s="11">
        <f>SUM('UPS RATES'!H58-'FedEx Rates'!H57)/('UPS RATES'!H58)</f>
        <v>0.24617509562260945</v>
      </c>
      <c r="I58" s="11">
        <f>SUM('UPS RATES'!I58-'FedEx Rates'!I57)/('UPS RATES'!I58)</f>
        <v>0.2646439106616098</v>
      </c>
      <c r="J58" s="11">
        <f>SUM('UPS RATES'!J58-'FedEx Rates'!J57)/('UPS RATES'!J58)</f>
        <v>0.28956117021276589</v>
      </c>
      <c r="K58" s="11">
        <f>SUM('UPS RATES'!K58-'FedEx Rates'!K57)/('UPS RATES'!K58)</f>
        <v>0.29670912951167727</v>
      </c>
      <c r="L58" s="11">
        <f>SUM('UPS RATES'!L58-'FedEx Rates'!L57)/('UPS RATES'!L58)</f>
        <v>0.32181889149102266</v>
      </c>
      <c r="M58" s="11">
        <f>SUM('UPS RATES'!M58-'FedEx Rates'!M57)/('UPS RATES'!M58)</f>
        <v>0.34688569472963721</v>
      </c>
      <c r="N58" s="11">
        <f>SUM('UPS RATES'!N58-'FedEx Rates'!N57)/('UPS RATES'!N58)</f>
        <v>0.40592314020448944</v>
      </c>
      <c r="O58" s="11">
        <f>SUM('UPS RATES'!O58-'FedEx Rates'!O57)/('UPS RATES'!O58)</f>
        <v>0.36039232053422376</v>
      </c>
      <c r="P58" s="11">
        <f>SUM('UPS RATES'!P58-'FedEx Rates'!P57)/('UPS RATES'!P58)</f>
        <v>0.21422142214221415</v>
      </c>
      <c r="Q58" s="11">
        <f>SUM('UPS RATES'!Q58-'FedEx Rates'!Q57)/('UPS RATES'!Q58)</f>
        <v>0.21510791366906476</v>
      </c>
      <c r="R58" s="11">
        <f>SUM('UPS RATES'!R58-'FedEx Rates'!R57)/('UPS RATES'!R58)</f>
        <v>0.21480582524271849</v>
      </c>
      <c r="S58" s="11">
        <f>SUM('UPS RATES'!S58-'FedEx Rates'!S57)/('UPS RATES'!S58)</f>
        <v>0.2142857142857143</v>
      </c>
      <c r="T58" s="11">
        <f>SUM('UPS RATES'!T58-'FedEx Rates'!T57)/('UPS RATES'!T58)</f>
        <v>0.21434262948207181</v>
      </c>
      <c r="U58" s="11">
        <f>SUM('UPS RATES'!U58-'FedEx Rates'!U57)/('UPS RATES'!U58)</f>
        <v>0.21421487603305786</v>
      </c>
      <c r="V58" s="11">
        <f>SUM('UPS RATES'!V58-'FedEx Rates'!V57)/('UPS RATES'!V58)</f>
        <v>0.21360622657826456</v>
      </c>
      <c r="W58" s="11">
        <f>SUM('UPS RATES'!W58-'FedEx Rates'!W57)/('UPS RATES'!W58)</f>
        <v>0.51898734177215189</v>
      </c>
      <c r="X58" s="11">
        <f>SUM('UPS RATES'!X58-'FedEx Rates'!X57)/('UPS RATES'!X58)</f>
        <v>0.51887640449438199</v>
      </c>
      <c r="Y58" s="11">
        <f>SUM('UPS RATES'!Y58-'FedEx Rates'!Y57)/('UPS RATES'!Y58)</f>
        <v>0.51882578174856409</v>
      </c>
      <c r="Z58" s="11">
        <f>SUM('UPS RATES'!Z58-'FedEx Rates'!Z57)/('UPS RATES'!Z58)</f>
        <v>0.5187943675084371</v>
      </c>
      <c r="AA58" s="11">
        <f>SUM('UPS RATES'!AA58-'FedEx Rates'!AA57)/('UPS RATES'!AA58)</f>
        <v>0.51888191671420425</v>
      </c>
      <c r="AB58" s="11">
        <f>SUM('UPS RATES'!AB58-'FedEx Rates'!AB57)/('UPS RATES'!AB58)</f>
        <v>0.51896640826873386</v>
      </c>
      <c r="AC58" s="11">
        <f>SUM('UPS RATES'!AC58-'FedEx Rates'!AC57)/('UPS RATES'!AC58)</f>
        <v>0.51894246353322526</v>
      </c>
    </row>
    <row r="59" spans="1:29" x14ac:dyDescent="0.25">
      <c r="A59">
        <v>57</v>
      </c>
      <c r="B59" s="11">
        <f>SUM('UPS RATES'!B59-'FedEx Rates'!B58)/('UPS RATES'!B59)</f>
        <v>0.23859507468712152</v>
      </c>
      <c r="C59" s="11">
        <f>SUM('UPS RATES'!C59-'FedEx Rates'!C58)/('UPS RATES'!C59)</f>
        <v>0.2389146260754467</v>
      </c>
      <c r="D59" s="11">
        <f>SUM('UPS RATES'!D59-'FedEx Rates'!D58)/('UPS RATES'!D59)</f>
        <v>0.24259740259740259</v>
      </c>
      <c r="E59" s="11">
        <f>SUM('UPS RATES'!E59-'FedEx Rates'!E58)/('UPS RATES'!E59)</f>
        <v>0.23892837616183707</v>
      </c>
      <c r="F59" s="11">
        <f>SUM('UPS RATES'!F59-'FedEx Rates'!F58)/('UPS RATES'!F59)</f>
        <v>0.23884224480777719</v>
      </c>
      <c r="G59" s="11">
        <f>SUM('UPS RATES'!G59-'FedEx Rates'!G58)/('UPS RATES'!G59)</f>
        <v>0.24641529474243232</v>
      </c>
      <c r="H59" s="11">
        <f>SUM('UPS RATES'!H59-'FedEx Rates'!H58)/('UPS RATES'!H59)</f>
        <v>0.24630285357217238</v>
      </c>
      <c r="I59" s="11">
        <f>SUM('UPS RATES'!I59-'FedEx Rates'!I58)/('UPS RATES'!I59)</f>
        <v>0.26406381192275397</v>
      </c>
      <c r="J59" s="11">
        <f>SUM('UPS RATES'!J59-'FedEx Rates'!J58)/('UPS RATES'!J59)</f>
        <v>0.29301252471984179</v>
      </c>
      <c r="K59" s="11">
        <f>SUM('UPS RATES'!K59-'FedEx Rates'!K58)/('UPS RATES'!K59)</f>
        <v>0.29149269311064724</v>
      </c>
      <c r="L59" s="11">
        <f>SUM('UPS RATES'!L59-'FedEx Rates'!L58)/('UPS RATES'!L59)</f>
        <v>0.3216689098250336</v>
      </c>
      <c r="M59" s="11">
        <f>SUM('UPS RATES'!M59-'FedEx Rates'!M58)/('UPS RATES'!M59)</f>
        <v>0.35251215559157223</v>
      </c>
      <c r="N59" s="11">
        <f>SUM('UPS RATES'!N59-'FedEx Rates'!N58)/('UPS RATES'!N59)</f>
        <v>0.36914820735327697</v>
      </c>
      <c r="O59" s="11">
        <f>SUM('UPS RATES'!O59-'FedEx Rates'!O58)/('UPS RATES'!O59)</f>
        <v>0.35037406483790517</v>
      </c>
      <c r="P59" s="11">
        <f>SUM('UPS RATES'!P59-'FedEx Rates'!P58)/('UPS RATES'!P59)</f>
        <v>0.21396993810786913</v>
      </c>
      <c r="Q59" s="11">
        <f>SUM('UPS RATES'!Q59-'FedEx Rates'!Q58)/('UPS RATES'!Q59)</f>
        <v>0.21362007168458771</v>
      </c>
      <c r="R59" s="11">
        <f>SUM('UPS RATES'!R59-'FedEx Rates'!R58)/('UPS RATES'!R59)</f>
        <v>0.21623258631132658</v>
      </c>
      <c r="S59" s="11">
        <f>SUM('UPS RATES'!S59-'FedEx Rates'!S58)/('UPS RATES'!S59)</f>
        <v>0.21387283236994223</v>
      </c>
      <c r="T59" s="11">
        <f>SUM('UPS RATES'!T59-'FedEx Rates'!T58)/('UPS RATES'!T59)</f>
        <v>0.21528054118583367</v>
      </c>
      <c r="U59" s="11">
        <f>SUM('UPS RATES'!U59-'FedEx Rates'!U58)/('UPS RATES'!U59)</f>
        <v>0.21473406012553684</v>
      </c>
      <c r="V59" s="11">
        <f>SUM('UPS RATES'!V59-'FedEx Rates'!V58)/('UPS RATES'!V59)</f>
        <v>0.21398002853067039</v>
      </c>
      <c r="W59" s="11">
        <f>SUM('UPS RATES'!W59-'FedEx Rates'!W58)/('UPS RATES'!W59)</f>
        <v>0.51898326898326896</v>
      </c>
      <c r="X59" s="11">
        <f>SUM('UPS RATES'!X59-'FedEx Rates'!X58)/('UPS RATES'!X59)</f>
        <v>0.51891410769915436</v>
      </c>
      <c r="Y59" s="11">
        <f>SUM('UPS RATES'!Y59-'FedEx Rates'!Y58)/('UPS RATES'!Y59)</f>
        <v>0.51879220282838567</v>
      </c>
      <c r="Z59" s="11">
        <f>SUM('UPS RATES'!Z59-'FedEx Rates'!Z58)/('UPS RATES'!Z59)</f>
        <v>0.51891829155060343</v>
      </c>
      <c r="AA59" s="11">
        <f>SUM('UPS RATES'!AA59-'FedEx Rates'!AA58)/('UPS RATES'!AA59)</f>
        <v>0.51890971039182276</v>
      </c>
      <c r="AB59" s="11">
        <f>SUM('UPS RATES'!AB59-'FedEx Rates'!AB58)/('UPS RATES'!AB59)</f>
        <v>0.51894291318261587</v>
      </c>
      <c r="AC59" s="11">
        <f>SUM('UPS RATES'!AC59-'FedEx Rates'!AC58)/('UPS RATES'!AC59)</f>
        <v>0.51892712550607289</v>
      </c>
    </row>
    <row r="60" spans="1:29" x14ac:dyDescent="0.25">
      <c r="A60">
        <v>58</v>
      </c>
      <c r="B60" s="11">
        <f>SUM('UPS RATES'!B60-'FedEx Rates'!B59)/('UPS RATES'!B60)</f>
        <v>0.2390518280433909</v>
      </c>
      <c r="C60" s="11">
        <f>SUM('UPS RATES'!C60-'FedEx Rates'!C59)/('UPS RATES'!C60)</f>
        <v>0.23887973640856672</v>
      </c>
      <c r="D60" s="11">
        <f>SUM('UPS RATES'!D60-'FedEx Rates'!D59)/('UPS RATES'!D60)</f>
        <v>0.24262040393578452</v>
      </c>
      <c r="E60" s="11">
        <f>SUM('UPS RATES'!E60-'FedEx Rates'!E59)/('UPS RATES'!E60)</f>
        <v>0.23875997099347346</v>
      </c>
      <c r="F60" s="11">
        <f>SUM('UPS RATES'!F60-'FedEx Rates'!F59)/('UPS RATES'!F60)</f>
        <v>0.24428060284072428</v>
      </c>
      <c r="G60" s="11">
        <f>SUM('UPS RATES'!G60-'FedEx Rates'!G59)/('UPS RATES'!G60)</f>
        <v>0.24634301462794159</v>
      </c>
      <c r="H60" s="11">
        <f>SUM('UPS RATES'!H60-'FedEx Rates'!H59)/('UPS RATES'!H60)</f>
        <v>0.24623220039496932</v>
      </c>
      <c r="I60" s="11">
        <f>SUM('UPS RATES'!I60-'FedEx Rates'!I59)/('UPS RATES'!I60)</f>
        <v>0.26511046269278865</v>
      </c>
      <c r="J60" s="11">
        <f>SUM('UPS RATES'!J60-'FedEx Rates'!J59)/('UPS RATES'!J60)</f>
        <v>0.29663508657301529</v>
      </c>
      <c r="K60" s="11">
        <f>SUM('UPS RATES'!K60-'FedEx Rates'!K59)/('UPS RATES'!K60)</f>
        <v>0.29768041237113396</v>
      </c>
      <c r="L60" s="11">
        <f>SUM('UPS RATES'!L60-'FedEx Rates'!L59)/('UPS RATES'!L60)</f>
        <v>0.32178686352451258</v>
      </c>
      <c r="M60" s="11">
        <f>SUM('UPS RATES'!M60-'FedEx Rates'!M59)/('UPS RATES'!M60)</f>
        <v>0.34607246760116372</v>
      </c>
      <c r="N60" s="11">
        <f>SUM('UPS RATES'!N60-'FedEx Rates'!N59)/('UPS RATES'!N60)</f>
        <v>0.36899909420289856</v>
      </c>
      <c r="O60" s="11">
        <f>SUM('UPS RATES'!O60-'FedEx Rates'!O59)/('UPS RATES'!O60)</f>
        <v>0.35050597976080955</v>
      </c>
      <c r="P60" s="11">
        <f>SUM('UPS RATES'!P60-'FedEx Rates'!P59)/('UPS RATES'!P60)</f>
        <v>0.21327433628318584</v>
      </c>
      <c r="Q60" s="11">
        <f>SUM('UPS RATES'!Q60-'FedEx Rates'!Q59)/('UPS RATES'!Q60)</f>
        <v>0.21418338108882523</v>
      </c>
      <c r="R60" s="11">
        <f>SUM('UPS RATES'!R60-'FedEx Rates'!R59)/('UPS RATES'!R60)</f>
        <v>0.21575757575757579</v>
      </c>
      <c r="S60" s="11">
        <f>SUM('UPS RATES'!S60-'FedEx Rates'!S59)/('UPS RATES'!S60)</f>
        <v>0.21462945139557268</v>
      </c>
      <c r="T60" s="11">
        <f>SUM('UPS RATES'!T60-'FedEx Rates'!T59)/('UPS RATES'!T60)</f>
        <v>0.21488261042578585</v>
      </c>
      <c r="U60" s="11">
        <f>SUM('UPS RATES'!U60-'FedEx Rates'!U59)/('UPS RATES'!U60)</f>
        <v>0.21551155115511555</v>
      </c>
      <c r="V60" s="11">
        <f>SUM('UPS RATES'!V60-'FedEx Rates'!V59)/('UPS RATES'!V60)</f>
        <v>0.21386138613861391</v>
      </c>
      <c r="W60" s="11">
        <f>SUM('UPS RATES'!W60-'FedEx Rates'!W59)/('UPS RATES'!W60)</f>
        <v>0.51908886750080196</v>
      </c>
      <c r="X60" s="11">
        <f>SUM('UPS RATES'!X60-'FedEx Rates'!X59)/('UPS RATES'!X60)</f>
        <v>0.51894526922224682</v>
      </c>
      <c r="Y60" s="11">
        <f>SUM('UPS RATES'!Y60-'FedEx Rates'!Y59)/('UPS RATES'!Y60)</f>
        <v>0.51889553378292408</v>
      </c>
      <c r="Z60" s="11">
        <f>SUM('UPS RATES'!Z60-'FedEx Rates'!Z59)/('UPS RATES'!Z60)</f>
        <v>0.51878478664192951</v>
      </c>
      <c r="AA60" s="11">
        <f>SUM('UPS RATES'!AA60-'FedEx Rates'!AA59)/('UPS RATES'!AA60)</f>
        <v>0.51886477462437397</v>
      </c>
      <c r="AB60" s="11">
        <f>SUM('UPS RATES'!AB60-'FedEx Rates'!AB59)/('UPS RATES'!AB60)</f>
        <v>0.51899516112426647</v>
      </c>
      <c r="AC60" s="11">
        <f>SUM('UPS RATES'!AC60-'FedEx Rates'!AC59)/('UPS RATES'!AC60)</f>
        <v>0.51892601191077015</v>
      </c>
    </row>
    <row r="61" spans="1:29" x14ac:dyDescent="0.25">
      <c r="A61">
        <v>59</v>
      </c>
      <c r="B61" s="11">
        <f>SUM('UPS RATES'!B61-'FedEx Rates'!B60)/('UPS RATES'!B61)</f>
        <v>0.23879999999999996</v>
      </c>
      <c r="C61" s="11">
        <f>SUM('UPS RATES'!C61-'FedEx Rates'!C60)/('UPS RATES'!C61)</f>
        <v>0.23878152636750746</v>
      </c>
      <c r="D61" s="11">
        <f>SUM('UPS RATES'!D61-'FedEx Rates'!D60)/('UPS RATES'!D61)</f>
        <v>0.24274274274274271</v>
      </c>
      <c r="E61" s="11">
        <f>SUM('UPS RATES'!E61-'FedEx Rates'!E60)/('UPS RATES'!E61)</f>
        <v>0.23892204738650752</v>
      </c>
      <c r="F61" s="11">
        <f>SUM('UPS RATES'!F61-'FedEx Rates'!F60)/('UPS RATES'!F61)</f>
        <v>0.2463953860942005</v>
      </c>
      <c r="G61" s="11">
        <f>SUM('UPS RATES'!G61-'FedEx Rates'!G60)/('UPS RATES'!G61)</f>
        <v>0.24636163752486651</v>
      </c>
      <c r="H61" s="11">
        <f>SUM('UPS RATES'!H61-'FedEx Rates'!H60)/('UPS RATES'!H61)</f>
        <v>0.24635598439745432</v>
      </c>
      <c r="I61" s="11">
        <f>SUM('UPS RATES'!I61-'FedEx Rates'!I60)/('UPS RATES'!I61)</f>
        <v>0.26484018264840181</v>
      </c>
      <c r="J61" s="11">
        <f>SUM('UPS RATES'!J61-'FedEx Rates'!J60)/('UPS RATES'!J61)</f>
        <v>0.30022646392753161</v>
      </c>
      <c r="K61" s="11">
        <f>SUM('UPS RATES'!K61-'FedEx Rates'!K60)/('UPS RATES'!K61)</f>
        <v>0.30548501777552056</v>
      </c>
      <c r="L61" s="11">
        <f>SUM('UPS RATES'!L61-'FedEx Rates'!L60)/('UPS RATES'!L61)</f>
        <v>0.32244212098581038</v>
      </c>
      <c r="M61" s="11">
        <f>SUM('UPS RATES'!M61-'FedEx Rates'!M60)/('UPS RATES'!M61)</f>
        <v>0.35154922212053857</v>
      </c>
      <c r="N61" s="11">
        <f>SUM('UPS RATES'!N61-'FedEx Rates'!N60)/('UPS RATES'!N61)</f>
        <v>0.36964027174518321</v>
      </c>
      <c r="O61" s="11">
        <f>SUM('UPS RATES'!O61-'FedEx Rates'!O60)/('UPS RATES'!O61)</f>
        <v>0.35023596746661317</v>
      </c>
      <c r="P61" s="11">
        <f>SUM('UPS RATES'!P61-'FedEx Rates'!P60)/('UPS RATES'!P61)</f>
        <v>0.21604938271604932</v>
      </c>
      <c r="Q61" s="11">
        <f>SUM('UPS RATES'!Q61-'FedEx Rates'!Q60)/('UPS RATES'!Q61)</f>
        <v>0.21403006442376521</v>
      </c>
      <c r="R61" s="11">
        <f>SUM('UPS RATES'!R61-'FedEx Rates'!R60)/('UPS RATES'!R61)</f>
        <v>0.21540312876052958</v>
      </c>
      <c r="S61" s="11">
        <f>SUM('UPS RATES'!S61-'FedEx Rates'!S60)/('UPS RATES'!S61)</f>
        <v>0.21414821944177106</v>
      </c>
      <c r="T61" s="11">
        <f>SUM('UPS RATES'!T61-'FedEx Rates'!T60)/('UPS RATES'!T61)</f>
        <v>0.2140878512069648</v>
      </c>
      <c r="U61" s="11">
        <f>SUM('UPS RATES'!U61-'FedEx Rates'!U60)/('UPS RATES'!U61)</f>
        <v>0.21595779756017136</v>
      </c>
      <c r="V61" s="11">
        <f>SUM('UPS RATES'!V61-'FedEx Rates'!V60)/('UPS RATES'!V61)</f>
        <v>0.21368948247078454</v>
      </c>
      <c r="W61" s="11">
        <f>SUM('UPS RATES'!W61-'FedEx Rates'!W60)/('UPS RATES'!W61)</f>
        <v>0.51872000000000007</v>
      </c>
      <c r="X61" s="11">
        <f>SUM('UPS RATES'!X61-'FedEx Rates'!X60)/('UPS RATES'!X61)</f>
        <v>0.51879699248120292</v>
      </c>
      <c r="Y61" s="11">
        <f>SUM('UPS RATES'!Y61-'FedEx Rates'!Y60)/('UPS RATES'!Y61)</f>
        <v>0.51889137459607249</v>
      </c>
      <c r="Z61" s="11">
        <f>SUM('UPS RATES'!Z61-'FedEx Rates'!Z60)/('UPS RATES'!Z61)</f>
        <v>0.51884852638793699</v>
      </c>
      <c r="AA61" s="11">
        <f>SUM('UPS RATES'!AA61-'FedEx Rates'!AA60)/('UPS RATES'!AA61)</f>
        <v>0.51888049755664156</v>
      </c>
      <c r="AB61" s="11">
        <f>SUM('UPS RATES'!AB61-'FedEx Rates'!AB60)/('UPS RATES'!AB61)</f>
        <v>0.51978269782697828</v>
      </c>
      <c r="AC61" s="11">
        <f>SUM('UPS RATES'!AC61-'FedEx Rates'!AC60)/('UPS RATES'!AC61)</f>
        <v>0.51898006134969321</v>
      </c>
    </row>
    <row r="62" spans="1:29" x14ac:dyDescent="0.25">
      <c r="A62">
        <v>60</v>
      </c>
      <c r="B62" s="11">
        <f>SUM('UPS RATES'!B62-'FedEx Rates'!B61)/('UPS RATES'!B62)</f>
        <v>0.23885350318471338</v>
      </c>
      <c r="C62" s="11">
        <f>SUM('UPS RATES'!C62-'FedEx Rates'!C61)/('UPS RATES'!C62)</f>
        <v>0.23857702349869458</v>
      </c>
      <c r="D62" s="11">
        <f>SUM('UPS RATES'!D62-'FedEx Rates'!D61)/('UPS RATES'!D62)</f>
        <v>0.24240915878546537</v>
      </c>
      <c r="E62" s="11">
        <f>SUM('UPS RATES'!E62-'FedEx Rates'!E61)/('UPS RATES'!E62)</f>
        <v>0.23878233327467888</v>
      </c>
      <c r="F62" s="11">
        <f>SUM('UPS RATES'!F62-'FedEx Rates'!F61)/('UPS RATES'!F62)</f>
        <v>0.23871241899500689</v>
      </c>
      <c r="G62" s="11">
        <f>SUM('UPS RATES'!G62-'FedEx Rates'!G61)/('UPS RATES'!G62)</f>
        <v>0.24644064324490428</v>
      </c>
      <c r="H62" s="11">
        <f>SUM('UPS RATES'!H62-'FedEx Rates'!H61)/('UPS RATES'!H62)</f>
        <v>0.24633460534243826</v>
      </c>
      <c r="I62" s="11">
        <f>SUM('UPS RATES'!I62-'FedEx Rates'!I61)/('UPS RATES'!I62)</f>
        <v>0.27601446364001608</v>
      </c>
      <c r="J62" s="11">
        <f>SUM('UPS RATES'!J62-'FedEx Rates'!J61)/('UPS RATES'!J62)</f>
        <v>0.30196936542669583</v>
      </c>
      <c r="K62" s="11">
        <f>SUM('UPS RATES'!K62-'FedEx Rates'!K61)/('UPS RATES'!K62)</f>
        <v>0.30749810653875281</v>
      </c>
      <c r="L62" s="11">
        <f>SUM('UPS RATES'!L62-'FedEx Rates'!L61)/('UPS RATES'!L62)</f>
        <v>0.32152182021633713</v>
      </c>
      <c r="M62" s="11">
        <f>SUM('UPS RATES'!M62-'FedEx Rates'!M61)/('UPS RATES'!M62)</f>
        <v>0.3618986529826812</v>
      </c>
      <c r="N62" s="11">
        <f>SUM('UPS RATES'!N62-'FedEx Rates'!N61)/('UPS RATES'!N62)</f>
        <v>0.37216255121249031</v>
      </c>
      <c r="O62" s="11">
        <f>SUM('UPS RATES'!O62-'FedEx Rates'!O61)/('UPS RATES'!O62)</f>
        <v>0.3502317782818819</v>
      </c>
      <c r="P62" s="11">
        <f>SUM('UPS RATES'!P62-'FedEx Rates'!P61)/('UPS RATES'!P62)</f>
        <v>0.21410146173688738</v>
      </c>
      <c r="Q62" s="11">
        <f>SUM('UPS RATES'!Q62-'FedEx Rates'!Q61)/('UPS RATES'!Q62)</f>
        <v>0.21364576154376291</v>
      </c>
      <c r="R62" s="11">
        <f>SUM('UPS RATES'!R62-'FedEx Rates'!R61)/('UPS RATES'!R62)</f>
        <v>0.21538461538461534</v>
      </c>
      <c r="S62" s="11">
        <f>SUM('UPS RATES'!S62-'FedEx Rates'!S61)/('UPS RATES'!S62)</f>
        <v>0.21385402138540219</v>
      </c>
      <c r="T62" s="11">
        <f>SUM('UPS RATES'!T62-'FedEx Rates'!T61)/('UPS RATES'!T62)</f>
        <v>0.21375825884181887</v>
      </c>
      <c r="U62" s="11">
        <f>SUM('UPS RATES'!U62-'FedEx Rates'!U61)/('UPS RATES'!U62)</f>
        <v>0.21350906095551894</v>
      </c>
      <c r="V62" s="11">
        <f>SUM('UPS RATES'!V62-'FedEx Rates'!V61)/('UPS RATES'!V62)</f>
        <v>0.21377212389380523</v>
      </c>
      <c r="W62" s="11">
        <f>SUM('UPS RATES'!W62-'FedEx Rates'!W61)/('UPS RATES'!W62)</f>
        <v>0.51882578174856409</v>
      </c>
      <c r="X62" s="11">
        <f>SUM('UPS RATES'!X62-'FedEx Rates'!X61)/('UPS RATES'!X62)</f>
        <v>0.51887000662105498</v>
      </c>
      <c r="Y62" s="11">
        <f>SUM('UPS RATES'!Y62-'FedEx Rates'!Y61)/('UPS RATES'!Y62)</f>
        <v>0.51890886546807202</v>
      </c>
      <c r="Z62" s="11">
        <f>SUM('UPS RATES'!Z62-'FedEx Rates'!Z61)/('UPS RATES'!Z62)</f>
        <v>0.5188776092163796</v>
      </c>
      <c r="AA62" s="11">
        <f>SUM('UPS RATES'!AA62-'FedEx Rates'!AA61)/('UPS RATES'!AA62)</f>
        <v>0.51884282864109954</v>
      </c>
      <c r="AB62" s="11">
        <f>SUM('UPS RATES'!AB62-'FedEx Rates'!AB61)/('UPS RATES'!AB62)</f>
        <v>0.52364897408727484</v>
      </c>
      <c r="AC62" s="11">
        <f>SUM('UPS RATES'!AC62-'FedEx Rates'!AC61)/('UPS RATES'!AC62)</f>
        <v>0.51893180734382449</v>
      </c>
    </row>
    <row r="63" spans="1:29" x14ac:dyDescent="0.25">
      <c r="A63">
        <v>61</v>
      </c>
      <c r="B63" s="11">
        <f>SUM('UPS RATES'!B63-'FedEx Rates'!B62)/('UPS RATES'!B63)</f>
        <v>0.23860483551327782</v>
      </c>
      <c r="C63" s="11">
        <f>SUM('UPS RATES'!C63-'FedEx Rates'!C62)/('UPS RATES'!C63)</f>
        <v>0.23862158647594275</v>
      </c>
      <c r="D63" s="11">
        <f>SUM('UPS RATES'!D63-'FedEx Rates'!D62)/('UPS RATES'!D63)</f>
        <v>0.24292803970223315</v>
      </c>
      <c r="E63" s="11">
        <f>SUM('UPS RATES'!E63-'FedEx Rates'!E62)/('UPS RATES'!E63)</f>
        <v>0.2386802386802386</v>
      </c>
      <c r="F63" s="11">
        <f>SUM('UPS RATES'!F63-'FedEx Rates'!F62)/('UPS RATES'!F63)</f>
        <v>0.23881847700848433</v>
      </c>
      <c r="G63" s="11">
        <f>SUM('UPS RATES'!G63-'FedEx Rates'!G62)/('UPS RATES'!G63)</f>
        <v>0.24636797724271053</v>
      </c>
      <c r="H63" s="11">
        <f>SUM('UPS RATES'!H63-'FedEx Rates'!H62)/('UPS RATES'!H63)</f>
        <v>0.24641434262948214</v>
      </c>
      <c r="I63" s="11">
        <f>SUM('UPS RATES'!I63-'FedEx Rates'!I62)/('UPS RATES'!I63)</f>
        <v>0.25812926535527897</v>
      </c>
      <c r="J63" s="11">
        <f>SUM('UPS RATES'!J63-'FedEx Rates'!J62)/('UPS RATES'!J63)</f>
        <v>0.28272414870353008</v>
      </c>
      <c r="K63" s="11">
        <f>SUM('UPS RATES'!K63-'FedEx Rates'!K62)/('UPS RATES'!K63)</f>
        <v>0.28719467061435971</v>
      </c>
      <c r="L63" s="11">
        <f>SUM('UPS RATES'!L63-'FedEx Rates'!L62)/('UPS RATES'!L63)</f>
        <v>0.3221621621621622</v>
      </c>
      <c r="M63" s="11">
        <f>SUM('UPS RATES'!M63-'FedEx Rates'!M62)/('UPS RATES'!M63)</f>
        <v>0.37290906804175578</v>
      </c>
      <c r="N63" s="11">
        <f>SUM('UPS RATES'!N63-'FedEx Rates'!N62)/('UPS RATES'!N63)</f>
        <v>0.36904505281310629</v>
      </c>
      <c r="O63" s="11">
        <f>SUM('UPS RATES'!O63-'FedEx Rates'!O62)/('UPS RATES'!O63)</f>
        <v>0.35072744907856451</v>
      </c>
      <c r="P63" s="11">
        <f>SUM('UPS RATES'!P63-'FedEx Rates'!P62)/('UPS RATES'!P63)</f>
        <v>0.21477663230240548</v>
      </c>
      <c r="Q63" s="11">
        <f>SUM('UPS RATES'!Q63-'FedEx Rates'!Q62)/('UPS RATES'!Q63)</f>
        <v>0.21374570446735403</v>
      </c>
      <c r="R63" s="11">
        <f>SUM('UPS RATES'!R63-'FedEx Rates'!R62)/('UPS RATES'!R63)</f>
        <v>0.21420187793427223</v>
      </c>
      <c r="S63" s="11">
        <f>SUM('UPS RATES'!S63-'FedEx Rates'!S62)/('UPS RATES'!S63)</f>
        <v>0.2145505097312326</v>
      </c>
      <c r="T63" s="11">
        <f>SUM('UPS RATES'!T63-'FedEx Rates'!T62)/('UPS RATES'!T63)</f>
        <v>0.21406371406371399</v>
      </c>
      <c r="U63" s="11">
        <f>SUM('UPS RATES'!U63-'FedEx Rates'!U62)/('UPS RATES'!U63)</f>
        <v>0.21350906095551894</v>
      </c>
      <c r="V63" s="11">
        <f>SUM('UPS RATES'!V63-'FedEx Rates'!V62)/('UPS RATES'!V63)</f>
        <v>0.21874141247595497</v>
      </c>
      <c r="W63" s="11">
        <f>SUM('UPS RATES'!W63-'FedEx Rates'!W62)/('UPS RATES'!W63)</f>
        <v>0.51879927228623413</v>
      </c>
      <c r="X63" s="11">
        <f>SUM('UPS RATES'!X63-'FedEx Rates'!X62)/('UPS RATES'!X63)</f>
        <v>0.51886591345128963</v>
      </c>
      <c r="Y63" s="11">
        <f>SUM('UPS RATES'!Y63-'FedEx Rates'!Y62)/('UPS RATES'!Y63)</f>
        <v>0.51877458576707591</v>
      </c>
      <c r="Z63" s="11">
        <f>SUM('UPS RATES'!Z63-'FedEx Rates'!Z62)/('UPS RATES'!Z63)</f>
        <v>0.51890034364261162</v>
      </c>
      <c r="AA63" s="11">
        <f>SUM('UPS RATES'!AA63-'FedEx Rates'!AA62)/('UPS RATES'!AA63)</f>
        <v>0.51896037494674052</v>
      </c>
      <c r="AB63" s="11">
        <f>SUM('UPS RATES'!AB63-'FedEx Rates'!AB62)/('UPS RATES'!AB63)</f>
        <v>0.51891331006508823</v>
      </c>
      <c r="AC63" s="11">
        <f>SUM('UPS RATES'!AC63-'FedEx Rates'!AC62)/('UPS RATES'!AC63)</f>
        <v>0.51891242023490236</v>
      </c>
    </row>
    <row r="64" spans="1:29" x14ac:dyDescent="0.25">
      <c r="A64">
        <v>62</v>
      </c>
      <c r="B64" s="11">
        <f>SUM('UPS RATES'!B64-'FedEx Rates'!B63)/('UPS RATES'!B64)</f>
        <v>0.23875295974743491</v>
      </c>
      <c r="C64" s="11">
        <f>SUM('UPS RATES'!C64-'FedEx Rates'!C63)/('UPS RATES'!C64)</f>
        <v>0.23898963730569947</v>
      </c>
      <c r="D64" s="11">
        <f>SUM('UPS RATES'!D64-'FedEx Rates'!D63)/('UPS RATES'!D64)</f>
        <v>0.24251422915120016</v>
      </c>
      <c r="E64" s="11">
        <f>SUM('UPS RATES'!E64-'FedEx Rates'!E63)/('UPS RATES'!E64)</f>
        <v>0.23887915936952714</v>
      </c>
      <c r="F64" s="11">
        <f>SUM('UPS RATES'!F64-'FedEx Rates'!F63)/('UPS RATES'!F64)</f>
        <v>0.23881688963210709</v>
      </c>
      <c r="G64" s="11">
        <f>SUM('UPS RATES'!G64-'FedEx Rates'!G63)/('UPS RATES'!G64)</f>
        <v>0.24632390224115208</v>
      </c>
      <c r="H64" s="11">
        <f>SUM('UPS RATES'!H64-'FedEx Rates'!H63)/('UPS RATES'!H64)</f>
        <v>0.24634655532359082</v>
      </c>
      <c r="I64" s="11">
        <f>SUM('UPS RATES'!I64-'FedEx Rates'!I63)/('UPS RATES'!I64)</f>
        <v>0.24628961091054957</v>
      </c>
      <c r="J64" s="11">
        <f>SUM('UPS RATES'!J64-'FedEx Rates'!J63)/('UPS RATES'!J64)</f>
        <v>0.29129498615810517</v>
      </c>
      <c r="K64" s="11">
        <f>SUM('UPS RATES'!K64-'FedEx Rates'!K63)/('UPS RATES'!K64)</f>
        <v>0.28501827040194877</v>
      </c>
      <c r="L64" s="11">
        <f>SUM('UPS RATES'!L64-'FedEx Rates'!L63)/('UPS RATES'!L64)</f>
        <v>0.32225382154283677</v>
      </c>
      <c r="M64" s="11">
        <f>SUM('UPS RATES'!M64-'FedEx Rates'!M63)/('UPS RATES'!M64)</f>
        <v>0.35350790513833985</v>
      </c>
      <c r="N64" s="11">
        <f>SUM('UPS RATES'!N64-'FedEx Rates'!N63)/('UPS RATES'!N64)</f>
        <v>0.36914600550964183</v>
      </c>
      <c r="O64" s="11">
        <f>SUM('UPS RATES'!O64-'FedEx Rates'!O63)/('UPS RATES'!O64)</f>
        <v>0.35951084360370683</v>
      </c>
      <c r="P64" s="11">
        <f>SUM('UPS RATES'!P64-'FedEx Rates'!P63)/('UPS RATES'!P64)</f>
        <v>0.2138728323699422</v>
      </c>
      <c r="Q64" s="11">
        <f>SUM('UPS RATES'!Q64-'FedEx Rates'!Q63)/('UPS RATES'!Q64)</f>
        <v>0.21373555840821568</v>
      </c>
      <c r="R64" s="11">
        <f>SUM('UPS RATES'!R64-'FedEx Rates'!R63)/('UPS RATES'!R64)</f>
        <v>0.21556195965417876</v>
      </c>
      <c r="S64" s="11">
        <f>SUM('UPS RATES'!S64-'FedEx Rates'!S63)/('UPS RATES'!S64)</f>
        <v>0.21451104100946378</v>
      </c>
      <c r="T64" s="11">
        <f>SUM('UPS RATES'!T64-'FedEx Rates'!T63)/('UPS RATES'!T64)</f>
        <v>0.21384850803366487</v>
      </c>
      <c r="U64" s="11">
        <f>SUM('UPS RATES'!U64-'FedEx Rates'!U63)/('UPS RATES'!U64)</f>
        <v>0.21382219338092148</v>
      </c>
      <c r="V64" s="11">
        <f>SUM('UPS RATES'!V64-'FedEx Rates'!V63)/('UPS RATES'!V64)</f>
        <v>0.21366120218579235</v>
      </c>
      <c r="W64" s="11">
        <f>SUM('UPS RATES'!W64-'FedEx Rates'!W63)/('UPS RATES'!W64)</f>
        <v>0.51918465227817745</v>
      </c>
      <c r="X64" s="11">
        <f>SUM('UPS RATES'!X64-'FedEx Rates'!X63)/('UPS RATES'!X64)</f>
        <v>0.51902398676592221</v>
      </c>
      <c r="Y64" s="11">
        <f>SUM('UPS RATES'!Y64-'FedEx Rates'!Y63)/('UPS RATES'!Y64)</f>
        <v>0.51896207584830345</v>
      </c>
      <c r="Z64" s="11">
        <f>SUM('UPS RATES'!Z64-'FedEx Rates'!Z63)/('UPS RATES'!Z64)</f>
        <v>0.51888755064053438</v>
      </c>
      <c r="AA64" s="11">
        <f>SUM('UPS RATES'!AA64-'FedEx Rates'!AA63)/('UPS RATES'!AA64)</f>
        <v>0.51899002758328028</v>
      </c>
      <c r="AB64" s="11">
        <f>SUM('UPS RATES'!AB64-'FedEx Rates'!AB63)/('UPS RATES'!AB64)</f>
        <v>0.51888020833333337</v>
      </c>
      <c r="AC64" s="11">
        <f>SUM('UPS RATES'!AC64-'FedEx Rates'!AC63)/('UPS RATES'!AC64)</f>
        <v>0.5189198952406755</v>
      </c>
    </row>
    <row r="65" spans="1:29" x14ac:dyDescent="0.25">
      <c r="A65">
        <v>63</v>
      </c>
      <c r="B65" s="11">
        <f>SUM('UPS RATES'!B65-'FedEx Rates'!B64)/('UPS RATES'!B65)</f>
        <v>0.23880597014925378</v>
      </c>
      <c r="C65" s="11">
        <f>SUM('UPS RATES'!C65-'FedEx Rates'!C64)/('UPS RATES'!C65)</f>
        <v>0.23878670538883506</v>
      </c>
      <c r="D65" s="11">
        <f>SUM('UPS RATES'!D65-'FedEx Rates'!D64)/('UPS RATES'!D65)</f>
        <v>0.24253639279546019</v>
      </c>
      <c r="E65" s="11">
        <f>SUM('UPS RATES'!E65-'FedEx Rates'!E64)/('UPS RATES'!E65)</f>
        <v>0.23880597014925375</v>
      </c>
      <c r="F65" s="11">
        <f>SUM('UPS RATES'!F65-'FedEx Rates'!F64)/('UPS RATES'!F65)</f>
        <v>0.24406372107003305</v>
      </c>
      <c r="G65" s="11">
        <f>SUM('UPS RATES'!G65-'FedEx Rates'!G64)/('UPS RATES'!G65)</f>
        <v>0.24627888758323546</v>
      </c>
      <c r="H65" s="11">
        <f>SUM('UPS RATES'!H65-'FedEx Rates'!H64)/('UPS RATES'!H65)</f>
        <v>0.24632811750023995</v>
      </c>
      <c r="I65" s="11">
        <f>SUM('UPS RATES'!I65-'FedEx Rates'!I64)/('UPS RATES'!I65)</f>
        <v>0.2381716118684844</v>
      </c>
      <c r="J65" s="11">
        <f>SUM('UPS RATES'!J65-'FedEx Rates'!J64)/('UPS RATES'!J65)</f>
        <v>0.29179424372320878</v>
      </c>
      <c r="K65" s="11">
        <f>SUM('UPS RATES'!K65-'FedEx Rates'!K64)/('UPS RATES'!K65)</f>
        <v>0.29196729196729193</v>
      </c>
      <c r="L65" s="11">
        <f>SUM('UPS RATES'!L65-'FedEx Rates'!L64)/('UPS RATES'!L65)</f>
        <v>0.32124079915878029</v>
      </c>
      <c r="M65" s="11">
        <f>SUM('UPS RATES'!M65-'FedEx Rates'!M64)/('UPS RATES'!M65)</f>
        <v>0.34258920959688227</v>
      </c>
      <c r="N65" s="11">
        <f>SUM('UPS RATES'!N65-'FedEx Rates'!N64)/('UPS RATES'!N65)</f>
        <v>0.36913451511991663</v>
      </c>
      <c r="O65" s="11">
        <f>SUM('UPS RATES'!O65-'FedEx Rates'!O64)/('UPS RATES'!O65)</f>
        <v>0.35015506061460383</v>
      </c>
      <c r="P65" s="11">
        <f>SUM('UPS RATES'!P65-'FedEx Rates'!P64)/('UPS RATES'!P65)</f>
        <v>0.21452145214521451</v>
      </c>
      <c r="Q65" s="11">
        <f>SUM('UPS RATES'!Q65-'FedEx Rates'!Q64)/('UPS RATES'!Q65)</f>
        <v>0.21423989737010904</v>
      </c>
      <c r="R65" s="11">
        <f>SUM('UPS RATES'!R65-'FedEx Rates'!R64)/('UPS RATES'!R65)</f>
        <v>0.21530553969160485</v>
      </c>
      <c r="S65" s="11">
        <f>SUM('UPS RATES'!S65-'FedEx Rates'!S64)/('UPS RATES'!S65)</f>
        <v>0.21486486486486486</v>
      </c>
      <c r="T65" s="11">
        <f>SUM('UPS RATES'!T65-'FedEx Rates'!T64)/('UPS RATES'!T65)</f>
        <v>0.21390577507598779</v>
      </c>
      <c r="U65" s="11">
        <f>SUM('UPS RATES'!U65-'FedEx Rates'!U64)/('UPS RATES'!U65)</f>
        <v>0.21396396396396394</v>
      </c>
      <c r="V65" s="11">
        <f>SUM('UPS RATES'!V65-'FedEx Rates'!V64)/('UPS RATES'!V65)</f>
        <v>0.21395601411892476</v>
      </c>
      <c r="W65" s="11">
        <f>SUM('UPS RATES'!W65-'FedEx Rates'!W64)/('UPS RATES'!W65)</f>
        <v>0.51898355754858005</v>
      </c>
      <c r="X65" s="11">
        <f>SUM('UPS RATES'!X65-'FedEx Rates'!X64)/('UPS RATES'!X65)</f>
        <v>0.51886209029066166</v>
      </c>
      <c r="Y65" s="11">
        <f>SUM('UPS RATES'!Y65-'FedEx Rates'!Y64)/('UPS RATES'!Y65)</f>
        <v>0.51891074130105896</v>
      </c>
      <c r="Z65" s="11">
        <f>SUM('UPS RATES'!Z65-'FedEx Rates'!Z64)/('UPS RATES'!Z65)</f>
        <v>0.51891537284058598</v>
      </c>
      <c r="AA65" s="11">
        <f>SUM('UPS RATES'!AA65-'FedEx Rates'!AA64)/('UPS RATES'!AA65)</f>
        <v>0.51895659520540716</v>
      </c>
      <c r="AB65" s="11">
        <f>SUM('UPS RATES'!AB65-'FedEx Rates'!AB64)/('UPS RATES'!AB65)</f>
        <v>0.51893626776707935</v>
      </c>
      <c r="AC65" s="11">
        <f>SUM('UPS RATES'!AC65-'FedEx Rates'!AC64)/('UPS RATES'!AC65)</f>
        <v>0.51883484671401603</v>
      </c>
    </row>
    <row r="66" spans="1:29" x14ac:dyDescent="0.25">
      <c r="A66">
        <v>64</v>
      </c>
      <c r="B66" s="11">
        <f>SUM('UPS RATES'!B66-'FedEx Rates'!B65)/('UPS RATES'!B66)</f>
        <v>0.23909830007390981</v>
      </c>
      <c r="C66" s="11">
        <f>SUM('UPS RATES'!C66-'FedEx Rates'!C65)/('UPS RATES'!C66)</f>
        <v>0.23892405063291142</v>
      </c>
      <c r="D66" s="11">
        <f>SUM('UPS RATES'!D66-'FedEx Rates'!D65)/('UPS RATES'!D66)</f>
        <v>0.2428044280442804</v>
      </c>
      <c r="E66" s="11">
        <f>SUM('UPS RATES'!E66-'FedEx Rates'!E65)/('UPS RATES'!E66)</f>
        <v>0.23869863013698628</v>
      </c>
      <c r="F66" s="11">
        <f>SUM('UPS RATES'!F66-'FedEx Rates'!F65)/('UPS RATES'!F66)</f>
        <v>0.24634219169901464</v>
      </c>
      <c r="G66" s="11">
        <f>SUM('UPS RATES'!G66-'FedEx Rates'!G65)/('UPS RATES'!G66)</f>
        <v>0.2463895394223263</v>
      </c>
      <c r="H66" s="11">
        <f>SUM('UPS RATES'!H66-'FedEx Rates'!H65)/('UPS RATES'!H66)</f>
        <v>0.24634076341720079</v>
      </c>
      <c r="I66" s="11">
        <f>SUM('UPS RATES'!I66-'FedEx Rates'!I65)/('UPS RATES'!I66)</f>
        <v>0.2451512800620636</v>
      </c>
      <c r="J66" s="11">
        <f>SUM('UPS RATES'!J66-'FedEx Rates'!J65)/('UPS RATES'!J66)</f>
        <v>0.29316546762589935</v>
      </c>
      <c r="K66" s="11">
        <f>SUM('UPS RATES'!K66-'FedEx Rates'!K65)/('UPS RATES'!K66)</f>
        <v>0.29740661432310256</v>
      </c>
      <c r="L66" s="11">
        <f>SUM('UPS RATES'!L66-'FedEx Rates'!L65)/('UPS RATES'!L66)</f>
        <v>0.32327586206896552</v>
      </c>
      <c r="M66" s="11">
        <f>SUM('UPS RATES'!M66-'FedEx Rates'!M65)/('UPS RATES'!M66)</f>
        <v>0.34539159503342892</v>
      </c>
      <c r="N66" s="11">
        <f>SUM('UPS RATES'!N66-'FedEx Rates'!N65)/('UPS RATES'!N66)</f>
        <v>0.37116250511665982</v>
      </c>
      <c r="O66" s="11">
        <f>SUM('UPS RATES'!O66-'FedEx Rates'!O65)/('UPS RATES'!O66)</f>
        <v>0.35013876040703051</v>
      </c>
      <c r="P66" s="11">
        <f>SUM('UPS RATES'!P66-'FedEx Rates'!P65)/('UPS RATES'!P66)</f>
        <v>0.21382636655948556</v>
      </c>
      <c r="Q66" s="11">
        <f>SUM('UPS RATES'!Q66-'FedEx Rates'!Q65)/('UPS RATES'!Q66)</f>
        <v>0.21410256410256409</v>
      </c>
      <c r="R66" s="11">
        <f>SUM('UPS RATES'!R66-'FedEx Rates'!R65)/('UPS RATES'!R66)</f>
        <v>0.21573033707865166</v>
      </c>
      <c r="S66" s="11">
        <f>SUM('UPS RATES'!S66-'FedEx Rates'!S65)/('UPS RATES'!S66)</f>
        <v>0.21476812246735702</v>
      </c>
      <c r="T66" s="11">
        <f>SUM('UPS RATES'!T66-'FedEx Rates'!T65)/('UPS RATES'!T66)</f>
        <v>0.21396226415094347</v>
      </c>
      <c r="U66" s="11">
        <f>SUM('UPS RATES'!U66-'FedEx Rates'!U65)/('UPS RATES'!U66)</f>
        <v>0.21364221364221356</v>
      </c>
      <c r="V66" s="11">
        <f>SUM('UPS RATES'!V66-'FedEx Rates'!V65)/('UPS RATES'!V66)</f>
        <v>0.21376518218623478</v>
      </c>
      <c r="W66" s="11">
        <f>SUM('UPS RATES'!W66-'FedEx Rates'!W65)/('UPS RATES'!W66)</f>
        <v>0.51892968972388276</v>
      </c>
      <c r="X66" s="11">
        <f>SUM('UPS RATES'!X66-'FedEx Rates'!X65)/('UPS RATES'!X66)</f>
        <v>0.51908091908091902</v>
      </c>
      <c r="Y66" s="11">
        <f>SUM('UPS RATES'!Y66-'FedEx Rates'!Y65)/('UPS RATES'!Y66)</f>
        <v>0.51889315195907448</v>
      </c>
      <c r="Z66" s="11">
        <f>SUM('UPS RATES'!Z66-'FedEx Rates'!Z65)/('UPS RATES'!Z66)</f>
        <v>0.51887695416356483</v>
      </c>
      <c r="AA66" s="11">
        <f>SUM('UPS RATES'!AA66-'FedEx Rates'!AA65)/('UPS RATES'!AA66)</f>
        <v>0.51884859659905758</v>
      </c>
      <c r="AB66" s="11">
        <f>SUM('UPS RATES'!AB66-'FedEx Rates'!AB65)/('UPS RATES'!AB66)</f>
        <v>0.51891551071878939</v>
      </c>
      <c r="AC66" s="11">
        <f>SUM('UPS RATES'!AC66-'FedEx Rates'!AC65)/('UPS RATES'!AC66)</f>
        <v>0.5189423493714781</v>
      </c>
    </row>
    <row r="67" spans="1:29" x14ac:dyDescent="0.25">
      <c r="A67">
        <v>65</v>
      </c>
      <c r="B67" s="11">
        <f>SUM('UPS RATES'!B67-'FedEx Rates'!B66)/('UPS RATES'!B67)</f>
        <v>0.23868899180619876</v>
      </c>
      <c r="C67" s="11">
        <f>SUM('UPS RATES'!C67-'FedEx Rates'!C66)/('UPS RATES'!C67)</f>
        <v>0.23866790009250688</v>
      </c>
      <c r="D67" s="11">
        <f>SUM('UPS RATES'!D67-'FedEx Rates'!D66)/('UPS RATES'!D67)</f>
        <v>0.24263984298331692</v>
      </c>
      <c r="E67" s="11">
        <f>SUM('UPS RATES'!E67-'FedEx Rates'!E66)/('UPS RATES'!E67)</f>
        <v>0.23899266177451631</v>
      </c>
      <c r="F67" s="11">
        <f>SUM('UPS RATES'!F67-'FedEx Rates'!F66)/('UPS RATES'!F67)</f>
        <v>0.24637104792205211</v>
      </c>
      <c r="G67" s="11">
        <f>SUM('UPS RATES'!G67-'FedEx Rates'!G66)/('UPS RATES'!G67)</f>
        <v>0.24632030412320899</v>
      </c>
      <c r="H67" s="11">
        <f>SUM('UPS RATES'!H67-'FedEx Rates'!H66)/('UPS RATES'!H67)</f>
        <v>0.24636850152905199</v>
      </c>
      <c r="I67" s="11">
        <f>SUM('UPS RATES'!I67-'FedEx Rates'!I66)/('UPS RATES'!I67)</f>
        <v>0.24614197530864207</v>
      </c>
      <c r="J67" s="11">
        <f>SUM('UPS RATES'!J67-'FedEx Rates'!J66)/('UPS RATES'!J67)</f>
        <v>0.2838117786327316</v>
      </c>
      <c r="K67" s="11">
        <f>SUM('UPS RATES'!K67-'FedEx Rates'!K66)/('UPS RATES'!K67)</f>
        <v>0.27997145575642246</v>
      </c>
      <c r="L67" s="11">
        <f>SUM('UPS RATES'!L67-'FedEx Rates'!L66)/('UPS RATES'!L67)</f>
        <v>0.31902472527472536</v>
      </c>
      <c r="M67" s="11">
        <f>SUM('UPS RATES'!M67-'FedEx Rates'!M66)/('UPS RATES'!M67)</f>
        <v>0.35448989186647856</v>
      </c>
      <c r="N67" s="11">
        <f>SUM('UPS RATES'!N67-'FedEx Rates'!N66)/('UPS RATES'!N67)</f>
        <v>0.36870321667003847</v>
      </c>
      <c r="O67" s="11">
        <f>SUM('UPS RATES'!O67-'FedEx Rates'!O66)/('UPS RATES'!O67)</f>
        <v>0.35004969729827412</v>
      </c>
      <c r="P67" s="11">
        <f>SUM('UPS RATES'!P67-'FedEx Rates'!P66)/('UPS RATES'!P67)</f>
        <v>0.21462639109697929</v>
      </c>
      <c r="Q67" s="11">
        <f>SUM('UPS RATES'!Q67-'FedEx Rates'!Q66)/('UPS RATES'!Q67)</f>
        <v>0.21410736579275905</v>
      </c>
      <c r="R67" s="11">
        <f>SUM('UPS RATES'!R67-'FedEx Rates'!R66)/('UPS RATES'!R67)</f>
        <v>0.21617069062324526</v>
      </c>
      <c r="S67" s="11">
        <f>SUM('UPS RATES'!S67-'FedEx Rates'!S66)/('UPS RATES'!S67)</f>
        <v>0.21512151215121503</v>
      </c>
      <c r="T67" s="11">
        <f>SUM('UPS RATES'!T67-'FedEx Rates'!T66)/('UPS RATES'!T67)</f>
        <v>0.21332335329341315</v>
      </c>
      <c r="U67" s="11">
        <f>SUM('UPS RATES'!U67-'FedEx Rates'!U66)/('UPS RATES'!U67)</f>
        <v>0.21373555840821568</v>
      </c>
      <c r="V67" s="11">
        <f>SUM('UPS RATES'!V67-'FedEx Rates'!V66)/('UPS RATES'!V67)</f>
        <v>0.21390086206896547</v>
      </c>
      <c r="W67" s="11">
        <f>SUM('UPS RATES'!W67-'FedEx Rates'!W66)/('UPS RATES'!W67)</f>
        <v>0.51898016997167129</v>
      </c>
      <c r="X67" s="11">
        <f>SUM('UPS RATES'!X67-'FedEx Rates'!X66)/('UPS RATES'!X67)</f>
        <v>0.51885668916236605</v>
      </c>
      <c r="Y67" s="11">
        <f>SUM('UPS RATES'!Y67-'FedEx Rates'!Y66)/('UPS RATES'!Y67)</f>
        <v>0.51884726224783861</v>
      </c>
      <c r="Z67" s="11">
        <f>SUM('UPS RATES'!Z67-'FedEx Rates'!Z66)/('UPS RATES'!Z67)</f>
        <v>0.51888479747501315</v>
      </c>
      <c r="AA67" s="11">
        <f>SUM('UPS RATES'!AA67-'FedEx Rates'!AA66)/('UPS RATES'!AA67)</f>
        <v>0.51883143322475567</v>
      </c>
      <c r="AB67" s="11">
        <f>SUM('UPS RATES'!AB67-'FedEx Rates'!AB66)/('UPS RATES'!AB67)</f>
        <v>0.51889302820649275</v>
      </c>
      <c r="AC67" s="11">
        <f>SUM('UPS RATES'!AC67-'FedEx Rates'!AC66)/('UPS RATES'!AC67)</f>
        <v>0.51890270038576947</v>
      </c>
    </row>
    <row r="68" spans="1:29" x14ac:dyDescent="0.25">
      <c r="A68">
        <v>66</v>
      </c>
      <c r="B68" s="11">
        <f>SUM('UPS RATES'!B68-'FedEx Rates'!B67)/('UPS RATES'!B68)</f>
        <v>0.23909187655196884</v>
      </c>
      <c r="C68" s="11">
        <f>SUM('UPS RATES'!C68-'FedEx Rates'!C67)/('UPS RATES'!C68)</f>
        <v>0.23870967741935473</v>
      </c>
      <c r="D68" s="11">
        <f>SUM('UPS RATES'!D68-'FedEx Rates'!D67)/('UPS RATES'!D68)</f>
        <v>0.24260067928190199</v>
      </c>
      <c r="E68" s="11">
        <f>SUM('UPS RATES'!E68-'FedEx Rates'!E67)/('UPS RATES'!E68)</f>
        <v>0.23872899683912829</v>
      </c>
      <c r="F68" s="11">
        <f>SUM('UPS RATES'!F68-'FedEx Rates'!F67)/('UPS RATES'!F68)</f>
        <v>0.24635235732009919</v>
      </c>
      <c r="G68" s="11">
        <f>SUM('UPS RATES'!G68-'FedEx Rates'!G67)/('UPS RATES'!G68)</f>
        <v>0.24627809672083295</v>
      </c>
      <c r="H68" s="11">
        <f>SUM('UPS RATES'!H68-'FedEx Rates'!H67)/('UPS RATES'!H68)</f>
        <v>0.24632703682503335</v>
      </c>
      <c r="I68" s="11">
        <f>SUM('UPS RATES'!I68-'FedEx Rates'!I67)/('UPS RATES'!I68)</f>
        <v>0.26626776364996252</v>
      </c>
      <c r="J68" s="11">
        <f>SUM('UPS RATES'!J68-'FedEx Rates'!J67)/('UPS RATES'!J68)</f>
        <v>0.28705606105077786</v>
      </c>
      <c r="K68" s="11">
        <f>SUM('UPS RATES'!K68-'FedEx Rates'!K67)/('UPS RATES'!K68)</f>
        <v>0.28737773637633901</v>
      </c>
      <c r="L68" s="11">
        <f>SUM('UPS RATES'!L68-'FedEx Rates'!L67)/('UPS RATES'!L68)</f>
        <v>0.33142761055994624</v>
      </c>
      <c r="M68" s="11">
        <f>SUM('UPS RATES'!M68-'FedEx Rates'!M67)/('UPS RATES'!M68)</f>
        <v>0.3571262497093699</v>
      </c>
      <c r="N68" s="11">
        <f>SUM('UPS RATES'!N68-'FedEx Rates'!N67)/('UPS RATES'!N68)</f>
        <v>0.37058413772514676</v>
      </c>
      <c r="O68" s="11">
        <f>SUM('UPS RATES'!O68-'FedEx Rates'!O67)/('UPS RATES'!O68)</f>
        <v>0.35</v>
      </c>
      <c r="P68" s="11">
        <f>SUM('UPS RATES'!P68-'FedEx Rates'!P67)/('UPS RATES'!P68)</f>
        <v>0.21439873417721525</v>
      </c>
      <c r="Q68" s="11">
        <f>SUM('UPS RATES'!Q68-'FedEx Rates'!Q67)/('UPS RATES'!Q68)</f>
        <v>0.21446229913473416</v>
      </c>
      <c r="R68" s="11">
        <f>SUM('UPS RATES'!R68-'FedEx Rates'!R67)/('UPS RATES'!R68)</f>
        <v>0.21560920830993816</v>
      </c>
      <c r="S68" s="11">
        <f>SUM('UPS RATES'!S68-'FedEx Rates'!S67)/('UPS RATES'!S68)</f>
        <v>0.21582733812949628</v>
      </c>
      <c r="T68" s="11">
        <f>SUM('UPS RATES'!T68-'FedEx Rates'!T67)/('UPS RATES'!T68)</f>
        <v>0.21383177570093453</v>
      </c>
      <c r="U68" s="11">
        <f>SUM('UPS RATES'!U68-'FedEx Rates'!U67)/('UPS RATES'!U68)</f>
        <v>0.2140115163147793</v>
      </c>
      <c r="V68" s="11">
        <f>SUM('UPS RATES'!V68-'FedEx Rates'!V67)/('UPS RATES'!V68)</f>
        <v>0.21384491548162066</v>
      </c>
      <c r="W68" s="11">
        <f>SUM('UPS RATES'!W68-'FedEx Rates'!W67)/('UPS RATES'!W68)</f>
        <v>0.51907318451539985</v>
      </c>
      <c r="X68" s="11">
        <f>SUM('UPS RATES'!X68-'FedEx Rates'!X67)/('UPS RATES'!X68)</f>
        <v>0.51880443388756936</v>
      </c>
      <c r="Y68" s="11">
        <f>SUM('UPS RATES'!Y68-'FedEx Rates'!Y67)/('UPS RATES'!Y68)</f>
        <v>0.51886688060196973</v>
      </c>
      <c r="Z68" s="11">
        <f>SUM('UPS RATES'!Z68-'FedEx Rates'!Z67)/('UPS RATES'!Z68)</f>
        <v>0.51892664013876144</v>
      </c>
      <c r="AA68" s="11">
        <f>SUM('UPS RATES'!AA68-'FedEx Rates'!AA67)/('UPS RATES'!AA68)</f>
        <v>0.51891358024691359</v>
      </c>
      <c r="AB68" s="11">
        <f>SUM('UPS RATES'!AB68-'FedEx Rates'!AB67)/('UPS RATES'!AB68)</f>
        <v>0.51886291179596178</v>
      </c>
      <c r="AC68" s="11">
        <f>SUM('UPS RATES'!AC68-'FedEx Rates'!AC67)/('UPS RATES'!AC68)</f>
        <v>0.51894943964410989</v>
      </c>
    </row>
    <row r="69" spans="1:29" x14ac:dyDescent="0.25">
      <c r="A69">
        <v>67</v>
      </c>
      <c r="B69" s="11">
        <f>SUM('UPS RATES'!B69-'FedEx Rates'!B68)/('UPS RATES'!B69)</f>
        <v>0.23886925795053007</v>
      </c>
      <c r="C69" s="11">
        <f>SUM('UPS RATES'!C69-'FedEx Rates'!C68)/('UPS RATES'!C69)</f>
        <v>0.23885542168674706</v>
      </c>
      <c r="D69" s="11">
        <f>SUM('UPS RATES'!D69-'FedEx Rates'!D68)/('UPS RATES'!D69)</f>
        <v>0.24273959341723139</v>
      </c>
      <c r="E69" s="11">
        <f>SUM('UPS RATES'!E69-'FedEx Rates'!E68)/('UPS RATES'!E69)</f>
        <v>0.23875145276440307</v>
      </c>
      <c r="F69" s="11">
        <f>SUM('UPS RATES'!F69-'FedEx Rates'!F68)/('UPS RATES'!F69)</f>
        <v>0.24638112234780879</v>
      </c>
      <c r="G69" s="11">
        <f>SUM('UPS RATES'!G69-'FedEx Rates'!G68)/('UPS RATES'!G69)</f>
        <v>0.24630637636080863</v>
      </c>
      <c r="H69" s="11">
        <f>SUM('UPS RATES'!H69-'FedEx Rates'!H68)/('UPS RATES'!H69)</f>
        <v>0.2463312368972746</v>
      </c>
      <c r="I69" s="11">
        <f>SUM('UPS RATES'!I69-'FedEx Rates'!I68)/('UPS RATES'!I69)</f>
        <v>0.26410160627568174</v>
      </c>
      <c r="J69" s="11">
        <f>SUM('UPS RATES'!J69-'FedEx Rates'!J68)/('UPS RATES'!J69)</f>
        <v>0.28534333525678007</v>
      </c>
      <c r="K69" s="11">
        <f>SUM('UPS RATES'!K69-'FedEx Rates'!K68)/('UPS RATES'!K69)</f>
        <v>0.2948747414387497</v>
      </c>
      <c r="L69" s="11">
        <f>SUM('UPS RATES'!L69-'FedEx Rates'!L68)/('UPS RATES'!L69)</f>
        <v>0.33990392579095574</v>
      </c>
      <c r="M69" s="11">
        <f>SUM('UPS RATES'!M69-'FedEx Rates'!M68)/('UPS RATES'!M69)</f>
        <v>0.36533394432351934</v>
      </c>
      <c r="N69" s="11">
        <f>SUM('UPS RATES'!N69-'FedEx Rates'!N68)/('UPS RATES'!N69)</f>
        <v>0.37912787849093582</v>
      </c>
      <c r="O69" s="11">
        <f>SUM('UPS RATES'!O69-'FedEx Rates'!O68)/('UPS RATES'!O69)</f>
        <v>0.35022512580559728</v>
      </c>
      <c r="P69" s="11">
        <f>SUM('UPS RATES'!P69-'FedEx Rates'!P68)/('UPS RATES'!P69)</f>
        <v>0.21360759493670894</v>
      </c>
      <c r="Q69" s="11">
        <f>SUM('UPS RATES'!Q69-'FedEx Rates'!Q68)/('UPS RATES'!Q69)</f>
        <v>0.21481481481481474</v>
      </c>
      <c r="R69" s="11">
        <f>SUM('UPS RATES'!R69-'FedEx Rates'!R68)/('UPS RATES'!R69)</f>
        <v>0.21604938271604937</v>
      </c>
      <c r="S69" s="11">
        <f>SUM('UPS RATES'!S69-'FedEx Rates'!S68)/('UPS RATES'!S69)</f>
        <v>0.21543985637342911</v>
      </c>
      <c r="T69" s="11">
        <f>SUM('UPS RATES'!T69-'FedEx Rates'!T68)/('UPS RATES'!T69)</f>
        <v>0.21402077151335308</v>
      </c>
      <c r="U69" s="11">
        <f>SUM('UPS RATES'!U69-'FedEx Rates'!U68)/('UPS RATES'!U69)</f>
        <v>0.21394460362941733</v>
      </c>
      <c r="V69" s="11">
        <f>SUM('UPS RATES'!V69-'FedEx Rates'!V68)/('UPS RATES'!V69)</f>
        <v>0.21413390010626998</v>
      </c>
      <c r="W69" s="11">
        <f>SUM('UPS RATES'!W69-'FedEx Rates'!W68)/('UPS RATES'!W69)</f>
        <v>0.51917156451161484</v>
      </c>
      <c r="X69" s="11">
        <f>SUM('UPS RATES'!X69-'FedEx Rates'!X68)/('UPS RATES'!X69)</f>
        <v>0.51886615355734944</v>
      </c>
      <c r="Y69" s="11">
        <f>SUM('UPS RATES'!Y69-'FedEx Rates'!Y68)/('UPS RATES'!Y69)</f>
        <v>0.51890223740769315</v>
      </c>
      <c r="Z69" s="11">
        <f>SUM('UPS RATES'!Z69-'FedEx Rates'!Z68)/('UPS RATES'!Z69)</f>
        <v>0.52207739719106805</v>
      </c>
      <c r="AA69" s="11">
        <f>SUM('UPS RATES'!AA69-'FedEx Rates'!AA68)/('UPS RATES'!AA69)</f>
        <v>0.51885770556376165</v>
      </c>
      <c r="AB69" s="11">
        <f>SUM('UPS RATES'!AB69-'FedEx Rates'!AB68)/('UPS RATES'!AB69)</f>
        <v>0.51893805309734509</v>
      </c>
      <c r="AC69" s="11">
        <f>SUM('UPS RATES'!AC69-'FedEx Rates'!AC68)/('UPS RATES'!AC69)</f>
        <v>0.51885098743267499</v>
      </c>
    </row>
    <row r="70" spans="1:29" x14ac:dyDescent="0.25">
      <c r="A70">
        <v>68</v>
      </c>
      <c r="B70" s="11">
        <f>SUM('UPS RATES'!B70-'FedEx Rates'!B69)/('UPS RATES'!B70)</f>
        <v>0.23891625615763554</v>
      </c>
      <c r="C70" s="11">
        <f>SUM('UPS RATES'!C70-'FedEx Rates'!C69)/('UPS RATES'!C70)</f>
        <v>0.23902001792650135</v>
      </c>
      <c r="D70" s="11">
        <f>SUM('UPS RATES'!D70-'FedEx Rates'!D69)/('UPS RATES'!D70)</f>
        <v>0.2425241346833058</v>
      </c>
      <c r="E70" s="11">
        <f>SUM('UPS RATES'!E70-'FedEx Rates'!E69)/('UPS RATES'!E70)</f>
        <v>0.23877381938690975</v>
      </c>
      <c r="F70" s="11">
        <f>SUM('UPS RATES'!F70-'FedEx Rates'!F69)/('UPS RATES'!F70)</f>
        <v>0.24631078538179663</v>
      </c>
      <c r="G70" s="11">
        <f>SUM('UPS RATES'!G70-'FedEx Rates'!G69)/('UPS RATES'!G70)</f>
        <v>0.24633459559180496</v>
      </c>
      <c r="H70" s="11">
        <f>SUM('UPS RATES'!H70-'FedEx Rates'!H69)/('UPS RATES'!H70)</f>
        <v>0.24626368396001896</v>
      </c>
      <c r="I70" s="11">
        <f>SUM('UPS RATES'!I70-'FedEx Rates'!I69)/('UPS RATES'!I70)</f>
        <v>0.26156716417910453</v>
      </c>
      <c r="J70" s="11">
        <f>SUM('UPS RATES'!J70-'FedEx Rates'!J69)/('UPS RATES'!J70)</f>
        <v>0.28677520708369036</v>
      </c>
      <c r="K70" s="11">
        <f>SUM('UPS RATES'!K70-'FedEx Rates'!K69)/('UPS RATES'!K70)</f>
        <v>0.28851793367922401</v>
      </c>
      <c r="L70" s="11">
        <f>SUM('UPS RATES'!L70-'FedEx Rates'!L69)/('UPS RATES'!L70)</f>
        <v>0.32335623159960752</v>
      </c>
      <c r="M70" s="11">
        <f>SUM('UPS RATES'!M70-'FedEx Rates'!M69)/('UPS RATES'!M70)</f>
        <v>0.37327761463745202</v>
      </c>
      <c r="N70" s="11">
        <f>SUM('UPS RATES'!N70-'FedEx Rates'!N69)/('UPS RATES'!N70)</f>
        <v>0.38683803633552377</v>
      </c>
      <c r="O70" s="11">
        <f>SUM('UPS RATES'!O70-'FedEx Rates'!O69)/('UPS RATES'!O70)</f>
        <v>0.35094403522140383</v>
      </c>
      <c r="P70" s="11">
        <f>SUM('UPS RATES'!P70-'FedEx Rates'!P69)/('UPS RATES'!P70)</f>
        <v>0.21361502347417829</v>
      </c>
      <c r="Q70" s="11">
        <f>SUM('UPS RATES'!Q70-'FedEx Rates'!Q69)/('UPS RATES'!Q70)</f>
        <v>0.21419902912621366</v>
      </c>
      <c r="R70" s="11">
        <f>SUM('UPS RATES'!R70-'FedEx Rates'!R69)/('UPS RATES'!R70)</f>
        <v>0.2158730158730158</v>
      </c>
      <c r="S70" s="11">
        <f>SUM('UPS RATES'!S70-'FedEx Rates'!S69)/('UPS RATES'!S70)</f>
        <v>0.21372031662269128</v>
      </c>
      <c r="T70" s="11">
        <f>SUM('UPS RATES'!T70-'FedEx Rates'!T69)/('UPS RATES'!T70)</f>
        <v>0.21381578947368413</v>
      </c>
      <c r="U70" s="11">
        <f>SUM('UPS RATES'!U70-'FedEx Rates'!U69)/('UPS RATES'!U70)</f>
        <v>0.21392722710163115</v>
      </c>
      <c r="V70" s="11">
        <f>SUM('UPS RATES'!V70-'FedEx Rates'!V69)/('UPS RATES'!V70)</f>
        <v>0.21475975577382542</v>
      </c>
      <c r="W70" s="11">
        <f>SUM('UPS RATES'!W70-'FedEx Rates'!W69)/('UPS RATES'!W70)</f>
        <v>0.51875171092252947</v>
      </c>
      <c r="X70" s="11">
        <f>SUM('UPS RATES'!X70-'FedEx Rates'!X69)/('UPS RATES'!X70)</f>
        <v>0.51885031728256814</v>
      </c>
      <c r="Y70" s="11">
        <f>SUM('UPS RATES'!Y70-'FedEx Rates'!Y69)/('UPS RATES'!Y70)</f>
        <v>0.51888558528796391</v>
      </c>
      <c r="Z70" s="11">
        <f>SUM('UPS RATES'!Z70-'FedEx Rates'!Z69)/('UPS RATES'!Z70)</f>
        <v>0.52234191103131855</v>
      </c>
      <c r="AA70" s="11">
        <f>SUM('UPS RATES'!AA70-'FedEx Rates'!AA69)/('UPS RATES'!AA70)</f>
        <v>0.51889020070838254</v>
      </c>
      <c r="AB70" s="11">
        <f>SUM('UPS RATES'!AB70-'FedEx Rates'!AB69)/('UPS RATES'!AB70)</f>
        <v>0.51892465511142549</v>
      </c>
      <c r="AC70" s="11">
        <f>SUM('UPS RATES'!AC70-'FedEx Rates'!AC69)/('UPS RATES'!AC70)</f>
        <v>0.51891202719932006</v>
      </c>
    </row>
    <row r="71" spans="1:29" x14ac:dyDescent="0.25">
      <c r="A71">
        <v>69</v>
      </c>
      <c r="B71" s="11">
        <f>SUM('UPS RATES'!B71-'FedEx Rates'!B70)/('UPS RATES'!B71)</f>
        <v>0.23904661759551349</v>
      </c>
      <c r="C71" s="11">
        <f>SUM('UPS RATES'!C71-'FedEx Rates'!C70)/('UPS RATES'!C71)</f>
        <v>0.23881905875475012</v>
      </c>
      <c r="D71" s="11">
        <f>SUM('UPS RATES'!D71-'FedEx Rates'!D70)/('UPS RATES'!D71)</f>
        <v>0.24277999530406205</v>
      </c>
      <c r="E71" s="11">
        <f>SUM('UPS RATES'!E71-'FedEx Rates'!E70)/('UPS RATES'!E71)</f>
        <v>0.23873948193367431</v>
      </c>
      <c r="F71" s="11">
        <f>SUM('UPS RATES'!F71-'FedEx Rates'!F70)/('UPS RATES'!F71)</f>
        <v>0.24644690090801422</v>
      </c>
      <c r="G71" s="11">
        <f>SUM('UPS RATES'!G71-'FedEx Rates'!G70)/('UPS RATES'!G71)</f>
        <v>0.24627443390748985</v>
      </c>
      <c r="H71" s="11">
        <f>SUM('UPS RATES'!H71-'FedEx Rates'!H70)/('UPS RATES'!H71)</f>
        <v>0.24637131201973247</v>
      </c>
      <c r="I71" s="11">
        <f>SUM('UPS RATES'!I71-'FedEx Rates'!I70)/('UPS RATES'!I71)</f>
        <v>0.2617898254734497</v>
      </c>
      <c r="J71" s="11">
        <f>SUM('UPS RATES'!J71-'FedEx Rates'!J70)/('UPS RATES'!J71)</f>
        <v>0.29261521377012778</v>
      </c>
      <c r="K71" s="11">
        <f>SUM('UPS RATES'!K71-'FedEx Rates'!K70)/('UPS RATES'!K71)</f>
        <v>0.29277566539923955</v>
      </c>
      <c r="L71" s="11">
        <f>SUM('UPS RATES'!L71-'FedEx Rates'!L70)/('UPS RATES'!L71)</f>
        <v>0.32810224882705064</v>
      </c>
      <c r="M71" s="11">
        <f>SUM('UPS RATES'!M71-'FedEx Rates'!M70)/('UPS RATES'!M71)</f>
        <v>0.37777031564808594</v>
      </c>
      <c r="N71" s="11">
        <f>SUM('UPS RATES'!N71-'FedEx Rates'!N70)/('UPS RATES'!N71)</f>
        <v>0.38826358826358826</v>
      </c>
      <c r="O71" s="11">
        <f>SUM('UPS RATES'!O71-'FedEx Rates'!O70)/('UPS RATES'!O71)</f>
        <v>0.35986360612109114</v>
      </c>
      <c r="P71" s="11">
        <f>SUM('UPS RATES'!P71-'FedEx Rates'!P70)/('UPS RATES'!P71)</f>
        <v>0.21319018404907972</v>
      </c>
      <c r="Q71" s="11">
        <f>SUM('UPS RATES'!Q71-'FedEx Rates'!Q70)/('UPS RATES'!Q71)</f>
        <v>0.21346963319302462</v>
      </c>
      <c r="R71" s="11">
        <f>SUM('UPS RATES'!R71-'FedEx Rates'!R70)/('UPS RATES'!R71)</f>
        <v>0.21428571428571422</v>
      </c>
      <c r="S71" s="11">
        <f>SUM('UPS RATES'!S71-'FedEx Rates'!S70)/('UPS RATES'!S71)</f>
        <v>0.21465968586387441</v>
      </c>
      <c r="T71" s="11">
        <f>SUM('UPS RATES'!T71-'FedEx Rates'!T70)/('UPS RATES'!T71)</f>
        <v>0.21381818181818177</v>
      </c>
      <c r="U71" s="11">
        <f>SUM('UPS RATES'!U71-'FedEx Rates'!U70)/('UPS RATES'!U71)</f>
        <v>0.21435286743967408</v>
      </c>
      <c r="V71" s="11">
        <f>SUM('UPS RATES'!V71-'FedEx Rates'!V70)/('UPS RATES'!V71)</f>
        <v>0.21385144065556438</v>
      </c>
      <c r="W71" s="11">
        <f>SUM('UPS RATES'!W71-'FedEx Rates'!W70)/('UPS RATES'!W71)</f>
        <v>0.5188421627525942</v>
      </c>
      <c r="X71" s="11">
        <f>SUM('UPS RATES'!X71-'FedEx Rates'!X70)/('UPS RATES'!X71)</f>
        <v>0.51891186882802309</v>
      </c>
      <c r="Y71" s="11">
        <f>SUM('UPS RATES'!Y71-'FedEx Rates'!Y70)/('UPS RATES'!Y71)</f>
        <v>0.51881188118811883</v>
      </c>
      <c r="Z71" s="11">
        <f>SUM('UPS RATES'!Z71-'FedEx Rates'!Z70)/('UPS RATES'!Z71)</f>
        <v>0.52228412256267409</v>
      </c>
      <c r="AA71" s="11">
        <f>SUM('UPS RATES'!AA71-'FedEx Rates'!AA70)/('UPS RATES'!AA71)</f>
        <v>0.518860510805501</v>
      </c>
      <c r="AB71" s="11">
        <f>SUM('UPS RATES'!AB71-'FedEx Rates'!AB70)/('UPS RATES'!AB71)</f>
        <v>0.51891127606928245</v>
      </c>
      <c r="AC71" s="11">
        <f>SUM('UPS RATES'!AC71-'FedEx Rates'!AC70)/('UPS RATES'!AC71)</f>
        <v>0.51893244370308589</v>
      </c>
    </row>
    <row r="72" spans="1:29" x14ac:dyDescent="0.25">
      <c r="A72">
        <v>70</v>
      </c>
      <c r="B72" s="11">
        <f>SUM('UPS RATES'!B72-'FedEx Rates'!B71)/('UPS RATES'!B72)</f>
        <v>0.23909249563699819</v>
      </c>
      <c r="C72" s="11">
        <f>SUM('UPS RATES'!C72-'FedEx Rates'!C71)/('UPS RATES'!C72)</f>
        <v>0.23893805309734514</v>
      </c>
      <c r="D72" s="11">
        <f>SUM('UPS RATES'!D72-'FedEx Rates'!D71)/('UPS RATES'!D72)</f>
        <v>0.2427404718693284</v>
      </c>
      <c r="E72" s="11">
        <f>SUM('UPS RATES'!E72-'FedEx Rates'!E71)/('UPS RATES'!E72)</f>
        <v>0.23878326996197724</v>
      </c>
      <c r="F72" s="11">
        <f>SUM('UPS RATES'!F72-'FedEx Rates'!F71)/('UPS RATES'!F72)</f>
        <v>0.2401437080457596</v>
      </c>
      <c r="G72" s="11">
        <f>SUM('UPS RATES'!G72-'FedEx Rates'!G71)/('UPS RATES'!G72)</f>
        <v>0.24636495819701926</v>
      </c>
      <c r="H72" s="11">
        <f>SUM('UPS RATES'!H72-'FedEx Rates'!H71)/('UPS RATES'!H72)</f>
        <v>0.24634711332858156</v>
      </c>
      <c r="I72" s="11">
        <f>SUM('UPS RATES'!I72-'FedEx Rates'!I71)/('UPS RATES'!I72)</f>
        <v>0.25165319617927989</v>
      </c>
      <c r="J72" s="11">
        <f>SUM('UPS RATES'!J72-'FedEx Rates'!J71)/('UPS RATES'!J72)</f>
        <v>0.27504150525733262</v>
      </c>
      <c r="K72" s="11">
        <f>SUM('UPS RATES'!K72-'FedEx Rates'!K71)/('UPS RATES'!K72)</f>
        <v>0.28574580759046786</v>
      </c>
      <c r="L72" s="11">
        <f>SUM('UPS RATES'!L72-'FedEx Rates'!L71)/('UPS RATES'!L72)</f>
        <v>0.31713185755534173</v>
      </c>
      <c r="M72" s="11">
        <f>SUM('UPS RATES'!M72-'FedEx Rates'!M71)/('UPS RATES'!M72)</f>
        <v>0.37720867814806536</v>
      </c>
      <c r="N72" s="11">
        <f>SUM('UPS RATES'!N72-'FedEx Rates'!N71)/('UPS RATES'!N72)</f>
        <v>0.36893203883495151</v>
      </c>
      <c r="O72" s="11">
        <f>SUM('UPS RATES'!O72-'FedEx Rates'!O71)/('UPS RATES'!O72)</f>
        <v>0.35913853317811417</v>
      </c>
      <c r="P72" s="11">
        <f>SUM('UPS RATES'!P72-'FedEx Rates'!P71)/('UPS RATES'!P72)</f>
        <v>0.21434019832189161</v>
      </c>
      <c r="Q72" s="11">
        <f>SUM('UPS RATES'!Q72-'FedEx Rates'!Q71)/('UPS RATES'!Q72)</f>
        <v>0.21352313167259784</v>
      </c>
      <c r="R72" s="11">
        <f>SUM('UPS RATES'!R72-'FedEx Rates'!R71)/('UPS RATES'!R72)</f>
        <v>0.21347736625514413</v>
      </c>
      <c r="S72" s="11">
        <f>SUM('UPS RATES'!S72-'FedEx Rates'!S71)/('UPS RATES'!S72)</f>
        <v>0.21079046424090336</v>
      </c>
      <c r="T72" s="11">
        <f>SUM('UPS RATES'!T72-'FedEx Rates'!T71)/('UPS RATES'!T72)</f>
        <v>0.21390374331550802</v>
      </c>
      <c r="U72" s="11">
        <f>SUM('UPS RATES'!U72-'FedEx Rates'!U71)/('UPS RATES'!U72)</f>
        <v>0.21509079524107705</v>
      </c>
      <c r="V72" s="11">
        <f>SUM('UPS RATES'!V72-'FedEx Rates'!V71)/('UPS RATES'!V72)</f>
        <v>0.21389252948885978</v>
      </c>
      <c r="W72" s="11">
        <f>SUM('UPS RATES'!W72-'FedEx Rates'!W71)/('UPS RATES'!W72)</f>
        <v>0.51893217107055301</v>
      </c>
      <c r="X72" s="11">
        <f>SUM('UPS RATES'!X72-'FedEx Rates'!X71)/('UPS RATES'!X72)</f>
        <v>0.5189732142857143</v>
      </c>
      <c r="Y72" s="11">
        <f>SUM('UPS RATES'!Y72-'FedEx Rates'!Y71)/('UPS RATES'!Y72)</f>
        <v>0.51895812726673252</v>
      </c>
      <c r="Z72" s="11">
        <f>SUM('UPS RATES'!Z72-'FedEx Rates'!Z71)/('UPS RATES'!Z72)</f>
        <v>0.52359238699444877</v>
      </c>
      <c r="AA72" s="11">
        <f>SUM('UPS RATES'!AA72-'FedEx Rates'!AA71)/('UPS RATES'!AA72)</f>
        <v>0.51879477868289325</v>
      </c>
      <c r="AB72" s="11">
        <f>SUM('UPS RATES'!AB72-'FedEx Rates'!AB71)/('UPS RATES'!AB72)</f>
        <v>0.51891367604267702</v>
      </c>
      <c r="AC72" s="11">
        <f>SUM('UPS RATES'!AC72-'FedEx Rates'!AC71)/('UPS RATES'!AC72)</f>
        <v>0.51889776889776895</v>
      </c>
    </row>
    <row r="73" spans="1:29" x14ac:dyDescent="0.25">
      <c r="A73">
        <v>71</v>
      </c>
      <c r="B73" s="11">
        <f>SUM('UPS RATES'!B73-'FedEx Rates'!B72)/('UPS RATES'!B73)</f>
        <v>0.23922342875946034</v>
      </c>
      <c r="C73" s="11">
        <f>SUM('UPS RATES'!C73-'FedEx Rates'!C72)/('UPS RATES'!C73)</f>
        <v>0.23868748346123311</v>
      </c>
      <c r="D73" s="11">
        <f>SUM('UPS RATES'!D73-'FedEx Rates'!D72)/('UPS RATES'!D73)</f>
        <v>0.24053502607118565</v>
      </c>
      <c r="E73" s="11">
        <f>SUM('UPS RATES'!E73-'FedEx Rates'!E72)/('UPS RATES'!E73)</f>
        <v>0.23872038629847583</v>
      </c>
      <c r="F73" s="11">
        <f>SUM('UPS RATES'!F73-'FedEx Rates'!F72)/('UPS RATES'!F73)</f>
        <v>0.23880878333804545</v>
      </c>
      <c r="G73" s="11">
        <f>SUM('UPS RATES'!G73-'FedEx Rates'!G72)/('UPS RATES'!G73)</f>
        <v>0.2462881310177269</v>
      </c>
      <c r="H73" s="11">
        <f>SUM('UPS RATES'!H73-'FedEx Rates'!H72)/('UPS RATES'!H73)</f>
        <v>0.24629498941425548</v>
      </c>
      <c r="I73" s="11">
        <f>SUM('UPS RATES'!I73-'FedEx Rates'!I72)/('UPS RATES'!I73)</f>
        <v>0.26243691420331644</v>
      </c>
      <c r="J73" s="11">
        <f>SUM('UPS RATES'!J73-'FedEx Rates'!J72)/('UPS RATES'!J73)</f>
        <v>0.2894594594594595</v>
      </c>
      <c r="K73" s="11">
        <f>SUM('UPS RATES'!K73-'FedEx Rates'!K72)/('UPS RATES'!K73)</f>
        <v>0.29907147484344637</v>
      </c>
      <c r="L73" s="11">
        <f>SUM('UPS RATES'!L73-'FedEx Rates'!L72)/('UPS RATES'!L73)</f>
        <v>0.32164296998420222</v>
      </c>
      <c r="M73" s="11">
        <f>SUM('UPS RATES'!M73-'FedEx Rates'!M72)/('UPS RATES'!M73)</f>
        <v>0.39553532726484614</v>
      </c>
      <c r="N73" s="11">
        <f>SUM('UPS RATES'!N73-'FedEx Rates'!N72)/('UPS RATES'!N73)</f>
        <v>0.36913935567728151</v>
      </c>
      <c r="O73" s="11">
        <f>SUM('UPS RATES'!O73-'FedEx Rates'!O72)/('UPS RATES'!O73)</f>
        <v>0.35028759244042734</v>
      </c>
      <c r="P73" s="11">
        <f>SUM('UPS RATES'!P73-'FedEx Rates'!P72)/('UPS RATES'!P73)</f>
        <v>0.21537290715372906</v>
      </c>
      <c r="Q73" s="11">
        <f>SUM('UPS RATES'!Q73-'FedEx Rates'!Q72)/('UPS RATES'!Q73)</f>
        <v>0.21538461538461534</v>
      </c>
      <c r="R73" s="11">
        <f>SUM('UPS RATES'!R73-'FedEx Rates'!R72)/('UPS RATES'!R73)</f>
        <v>0.21576553815058108</v>
      </c>
      <c r="S73" s="11">
        <f>SUM('UPS RATES'!S73-'FedEx Rates'!S72)/('UPS RATES'!S73)</f>
        <v>0.21473158551810237</v>
      </c>
      <c r="T73" s="11">
        <f>SUM('UPS RATES'!T73-'FedEx Rates'!T72)/('UPS RATES'!T73)</f>
        <v>0.21499292786421506</v>
      </c>
      <c r="U73" s="11">
        <f>SUM('UPS RATES'!U73-'FedEx Rates'!U72)/('UPS RATES'!U73)</f>
        <v>0.21527563905143204</v>
      </c>
      <c r="V73" s="11">
        <f>SUM('UPS RATES'!V73-'FedEx Rates'!V72)/('UPS RATES'!V73)</f>
        <v>0.21527596128694737</v>
      </c>
      <c r="W73" s="11">
        <f>SUM('UPS RATES'!W73-'FedEx Rates'!W72)/('UPS RATES'!W73)</f>
        <v>0.51867549668874169</v>
      </c>
      <c r="X73" s="11">
        <f>SUM('UPS RATES'!X73-'FedEx Rates'!X72)/('UPS RATES'!X73)</f>
        <v>0.51884865366759514</v>
      </c>
      <c r="Y73" s="11">
        <f>SUM('UPS RATES'!Y73-'FedEx Rates'!Y72)/('UPS RATES'!Y73)</f>
        <v>0.51884312007011391</v>
      </c>
      <c r="Z73" s="11">
        <f>SUM('UPS RATES'!Z73-'FedEx Rates'!Z72)/('UPS RATES'!Z73)</f>
        <v>0.52355036611913719</v>
      </c>
      <c r="AA73" s="11">
        <f>SUM('UPS RATES'!AA73-'FedEx Rates'!AA72)/('UPS RATES'!AA73)</f>
        <v>0.51890673981191227</v>
      </c>
      <c r="AB73" s="11">
        <f>SUM('UPS RATES'!AB73-'FedEx Rates'!AB72)/('UPS RATES'!AB73)</f>
        <v>0.51891022929181829</v>
      </c>
      <c r="AC73" s="11">
        <f>SUM('UPS RATES'!AC73-'FedEx Rates'!AC72)/('UPS RATES'!AC73)</f>
        <v>0.51891174518911742</v>
      </c>
    </row>
    <row r="74" spans="1:29" x14ac:dyDescent="0.25">
      <c r="A74">
        <v>72</v>
      </c>
      <c r="B74" s="11">
        <f>SUM('UPS RATES'!B74-'FedEx Rates'!B73)/('UPS RATES'!B74)</f>
        <v>0.23854712041884815</v>
      </c>
      <c r="C74" s="11">
        <f>SUM('UPS RATES'!C74-'FedEx Rates'!C73)/('UPS RATES'!C74)</f>
        <v>0.23878627968337723</v>
      </c>
      <c r="D74" s="11">
        <f>SUM('UPS RATES'!D74-'FedEx Rates'!D73)/('UPS RATES'!D74)</f>
        <v>0.23883979152503962</v>
      </c>
      <c r="E74" s="11">
        <f>SUM('UPS RATES'!E74-'FedEx Rates'!E73)/('UPS RATES'!E74)</f>
        <v>0.23889139930712455</v>
      </c>
      <c r="F74" s="11">
        <f>SUM('UPS RATES'!F74-'FedEx Rates'!F73)/('UPS RATES'!F74)</f>
        <v>0.24626112487384155</v>
      </c>
      <c r="G74" s="11">
        <f>SUM('UPS RATES'!G74-'FedEx Rates'!G73)/('UPS RATES'!G74)</f>
        <v>0.24638202247191007</v>
      </c>
      <c r="H74" s="11">
        <f>SUM('UPS RATES'!H74-'FedEx Rates'!H73)/('UPS RATES'!H74)</f>
        <v>0.24632061337798539</v>
      </c>
      <c r="I74" s="11">
        <f>SUM('UPS RATES'!I74-'FedEx Rates'!I73)/('UPS RATES'!I74)</f>
        <v>0.26731980405878225</v>
      </c>
      <c r="J74" s="11">
        <f>SUM('UPS RATES'!J74-'FedEx Rates'!J73)/('UPS RATES'!J74)</f>
        <v>0.29690831556503205</v>
      </c>
      <c r="K74" s="11">
        <f>SUM('UPS RATES'!K74-'FedEx Rates'!K73)/('UPS RATES'!K74)</f>
        <v>0.30183447098976118</v>
      </c>
      <c r="L74" s="11">
        <f>SUM('UPS RATES'!L74-'FedEx Rates'!L73)/('UPS RATES'!L74)</f>
        <v>0.32106658350226097</v>
      </c>
      <c r="M74" s="11">
        <f>SUM('UPS RATES'!M74-'FedEx Rates'!M73)/('UPS RATES'!M74)</f>
        <v>0.39997852464297212</v>
      </c>
      <c r="N74" s="11">
        <f>SUM('UPS RATES'!N74-'FedEx Rates'!N73)/('UPS RATES'!N74)</f>
        <v>0.37117744002929859</v>
      </c>
      <c r="O74" s="11">
        <f>SUM('UPS RATES'!O74-'FedEx Rates'!O73)/('UPS RATES'!O74)</f>
        <v>0.35090879318814472</v>
      </c>
      <c r="P74" s="11">
        <f>SUM('UPS RATES'!P74-'FedEx Rates'!P73)/('UPS RATES'!P74)</f>
        <v>0.21523668639053256</v>
      </c>
      <c r="Q74" s="11">
        <f>SUM('UPS RATES'!Q74-'FedEx Rates'!Q73)/('UPS RATES'!Q74)</f>
        <v>0.21538461538461534</v>
      </c>
      <c r="R74" s="11">
        <f>SUM('UPS RATES'!R74-'FedEx Rates'!R73)/('UPS RATES'!R74)</f>
        <v>0.21534653465346534</v>
      </c>
      <c r="S74" s="11">
        <f>SUM('UPS RATES'!S74-'FedEx Rates'!S73)/('UPS RATES'!S74)</f>
        <v>0.21431543903454023</v>
      </c>
      <c r="T74" s="11">
        <f>SUM('UPS RATES'!T74-'FedEx Rates'!T73)/('UPS RATES'!T74)</f>
        <v>0.21495652173913044</v>
      </c>
      <c r="U74" s="11">
        <f>SUM('UPS RATES'!U74-'FedEx Rates'!U73)/('UPS RATES'!U74)</f>
        <v>0.21536189069423936</v>
      </c>
      <c r="V74" s="11">
        <f>SUM('UPS RATES'!V74-'FedEx Rates'!V73)/('UPS RATES'!V74)</f>
        <v>0.21519979106816398</v>
      </c>
      <c r="W74" s="11">
        <f>SUM('UPS RATES'!W74-'FedEx Rates'!W73)/('UPS RATES'!W74)</f>
        <v>0.5189473684210526</v>
      </c>
      <c r="X74" s="11">
        <f>SUM('UPS RATES'!X74-'FedEx Rates'!X73)/('UPS RATES'!X74)</f>
        <v>0.51885260689157497</v>
      </c>
      <c r="Y74" s="11">
        <f>SUM('UPS RATES'!Y74-'FedEx Rates'!Y73)/('UPS RATES'!Y74)</f>
        <v>0.51888442935062262</v>
      </c>
      <c r="Z74" s="11">
        <f>SUM('UPS RATES'!Z74-'FedEx Rates'!Z73)/('UPS RATES'!Z74)</f>
        <v>0.52364541451273217</v>
      </c>
      <c r="AA74" s="11">
        <f>SUM('UPS RATES'!AA74-'FedEx Rates'!AA73)/('UPS RATES'!AA74)</f>
        <v>0.51895734597156395</v>
      </c>
      <c r="AB74" s="11">
        <f>SUM('UPS RATES'!AB74-'FedEx Rates'!AB73)/('UPS RATES'!AB74)</f>
        <v>0.51897194746229935</v>
      </c>
      <c r="AC74" s="11">
        <f>SUM('UPS RATES'!AC74-'FedEx Rates'!AC73)/('UPS RATES'!AC74)</f>
        <v>0.51891682785299797</v>
      </c>
    </row>
    <row r="75" spans="1:29" x14ac:dyDescent="0.25">
      <c r="A75">
        <v>73</v>
      </c>
      <c r="B75" s="11">
        <f>SUM('UPS RATES'!B75-'FedEx Rates'!B74)/('UPS RATES'!B75)</f>
        <v>0.23899576133029024</v>
      </c>
      <c r="C75" s="11">
        <f>SUM('UPS RATES'!C75-'FedEx Rates'!C74)/('UPS RATES'!C75)</f>
        <v>0.23882167280378752</v>
      </c>
      <c r="D75" s="11">
        <f>SUM('UPS RATES'!D75-'FedEx Rates'!D74)/('UPS RATES'!D75)</f>
        <v>0.23883626522327475</v>
      </c>
      <c r="E75" s="11">
        <f>SUM('UPS RATES'!E75-'FedEx Rates'!E74)/('UPS RATES'!E75)</f>
        <v>0.2388855957320688</v>
      </c>
      <c r="F75" s="11">
        <f>SUM('UPS RATES'!F75-'FedEx Rates'!F74)/('UPS RATES'!F75)</f>
        <v>0.24629052940098919</v>
      </c>
      <c r="G75" s="11">
        <f>SUM('UPS RATES'!G75-'FedEx Rates'!G74)/('UPS RATES'!G75)</f>
        <v>0.24631824712643671</v>
      </c>
      <c r="H75" s="11">
        <f>SUM('UPS RATES'!H75-'FedEx Rates'!H74)/('UPS RATES'!H75)</f>
        <v>0.24632450039616166</v>
      </c>
      <c r="I75" s="11">
        <f>SUM('UPS RATES'!I75-'FedEx Rates'!I74)/('UPS RATES'!I75)</f>
        <v>0.2867322701051917</v>
      </c>
      <c r="J75" s="11">
        <f>SUM('UPS RATES'!J75-'FedEx Rates'!J74)/('UPS RATES'!J75)</f>
        <v>0.30553370049829537</v>
      </c>
      <c r="K75" s="11">
        <f>SUM('UPS RATES'!K75-'FedEx Rates'!K74)/('UPS RATES'!K75)</f>
        <v>0.31180540993919059</v>
      </c>
      <c r="L75" s="11">
        <f>SUM('UPS RATES'!L75-'FedEx Rates'!L74)/('UPS RATES'!L75)</f>
        <v>0.32676316599938404</v>
      </c>
      <c r="M75" s="11">
        <f>SUM('UPS RATES'!M75-'FedEx Rates'!M74)/('UPS RATES'!M75)</f>
        <v>0.40609083191850592</v>
      </c>
      <c r="N75" s="11">
        <f>SUM('UPS RATES'!N75-'FedEx Rates'!N74)/('UPS RATES'!N75)</f>
        <v>0.37654097171863665</v>
      </c>
      <c r="O75" s="11">
        <f>SUM('UPS RATES'!O75-'FedEx Rates'!O74)/('UPS RATES'!O75)</f>
        <v>0.35248041775456923</v>
      </c>
      <c r="P75" s="11">
        <f>SUM('UPS RATES'!P75-'FedEx Rates'!P74)/('UPS RATES'!P75)</f>
        <v>0.21544117647058822</v>
      </c>
      <c r="Q75" s="11">
        <f>SUM('UPS RATES'!Q75-'FedEx Rates'!Q74)/('UPS RATES'!Q75)</f>
        <v>0.21558289396602223</v>
      </c>
      <c r="R75" s="11">
        <f>SUM('UPS RATES'!R75-'FedEx Rates'!R74)/('UPS RATES'!R75)</f>
        <v>0.21534653465346534</v>
      </c>
      <c r="S75" s="11">
        <f>SUM('UPS RATES'!S75-'FedEx Rates'!S74)/('UPS RATES'!S75)</f>
        <v>0.21410992616899094</v>
      </c>
      <c r="T75" s="11">
        <f>SUM('UPS RATES'!T75-'FedEx Rates'!T74)/('UPS RATES'!T75)</f>
        <v>0.21426110919738209</v>
      </c>
      <c r="U75" s="11">
        <f>SUM('UPS RATES'!U75-'FedEx Rates'!U74)/('UPS RATES'!U75)</f>
        <v>0.21434898139946851</v>
      </c>
      <c r="V75" s="11">
        <f>SUM('UPS RATES'!V75-'FedEx Rates'!V74)/('UPS RATES'!V75)</f>
        <v>0.2154046997389033</v>
      </c>
      <c r="W75" s="11">
        <f>SUM('UPS RATES'!W75-'FedEx Rates'!W74)/('UPS RATES'!W75)</f>
        <v>0.51877133105802054</v>
      </c>
      <c r="X75" s="11">
        <f>SUM('UPS RATES'!X75-'FedEx Rates'!X74)/('UPS RATES'!X75)</f>
        <v>0.51899628909701367</v>
      </c>
      <c r="Y75" s="11">
        <f>SUM('UPS RATES'!Y75-'FedEx Rates'!Y74)/('UPS RATES'!Y75)</f>
        <v>0.51887468030690531</v>
      </c>
      <c r="Z75" s="11">
        <f>SUM('UPS RATES'!Z75-'FedEx Rates'!Z74)/('UPS RATES'!Z75)</f>
        <v>0.52361866590323503</v>
      </c>
      <c r="AA75" s="11">
        <f>SUM('UPS RATES'!AA75-'FedEx Rates'!AA74)/('UPS RATES'!AA75)</f>
        <v>0.518896447467876</v>
      </c>
      <c r="AB75" s="11">
        <f>SUM('UPS RATES'!AB75-'FedEx Rates'!AB74)/('UPS RATES'!AB75)</f>
        <v>0.51893419459023016</v>
      </c>
      <c r="AC75" s="11">
        <f>SUM('UPS RATES'!AC75-'FedEx Rates'!AC74)/('UPS RATES'!AC75)</f>
        <v>0.51890562557639108</v>
      </c>
    </row>
    <row r="76" spans="1:29" x14ac:dyDescent="0.25">
      <c r="A76">
        <v>74</v>
      </c>
      <c r="B76" s="11">
        <f>SUM('UPS RATES'!B76-'FedEx Rates'!B75)/('UPS RATES'!B76)</f>
        <v>0.23886902827429307</v>
      </c>
      <c r="C76" s="11">
        <f>SUM('UPS RATES'!C76-'FedEx Rates'!C75)/('UPS RATES'!C76)</f>
        <v>0.23865722528193026</v>
      </c>
      <c r="D76" s="11">
        <f>SUM('UPS RATES'!D76-'FedEx Rates'!D75)/('UPS RATES'!D76)</f>
        <v>0.23869516310461189</v>
      </c>
      <c r="E76" s="11">
        <f>SUM('UPS RATES'!E76-'FedEx Rates'!E75)/('UPS RATES'!E76)</f>
        <v>0.23890532544378687</v>
      </c>
      <c r="F76" s="11">
        <f>SUM('UPS RATES'!F76-'FedEx Rates'!F75)/('UPS RATES'!F76)</f>
        <v>0.24631848531967432</v>
      </c>
      <c r="G76" s="11">
        <f>SUM('UPS RATES'!G76-'FedEx Rates'!G75)/('UPS RATES'!G76)</f>
        <v>0.24641319942611181</v>
      </c>
      <c r="H76" s="11">
        <f>SUM('UPS RATES'!H76-'FedEx Rates'!H75)/('UPS RATES'!H76)</f>
        <v>0.24632967032967029</v>
      </c>
      <c r="I76" s="11">
        <f>SUM('UPS RATES'!I76-'FedEx Rates'!I75)/('UPS RATES'!I76)</f>
        <v>0.29004037685060557</v>
      </c>
      <c r="J76" s="11">
        <f>SUM('UPS RATES'!J76-'FedEx Rates'!J75)/('UPS RATES'!J76)</f>
        <v>0.3100493378343287</v>
      </c>
      <c r="K76" s="11">
        <f>SUM('UPS RATES'!K76-'FedEx Rates'!K75)/('UPS RATES'!K76)</f>
        <v>0.31891556291390738</v>
      </c>
      <c r="L76" s="11">
        <f>SUM('UPS RATES'!L76-'FedEx Rates'!L75)/('UPS RATES'!L76)</f>
        <v>0.33535568026694984</v>
      </c>
      <c r="M76" s="11">
        <f>SUM('UPS RATES'!M76-'FedEx Rates'!M75)/('UPS RATES'!M76)</f>
        <v>0.41482254697286008</v>
      </c>
      <c r="N76" s="11">
        <f>SUM('UPS RATES'!N76-'FedEx Rates'!N75)/('UPS RATES'!N76)</f>
        <v>0.37938181490492923</v>
      </c>
      <c r="O76" s="11">
        <f>SUM('UPS RATES'!O76-'FedEx Rates'!O75)/('UPS RATES'!O76)</f>
        <v>0.35911914172783738</v>
      </c>
      <c r="P76" s="11">
        <f>SUM('UPS RATES'!P76-'FedEx Rates'!P75)/('UPS RATES'!P76)</f>
        <v>0.2148997134670487</v>
      </c>
      <c r="Q76" s="11">
        <f>SUM('UPS RATES'!Q76-'FedEx Rates'!Q75)/('UPS RATES'!Q76)</f>
        <v>0.21499707088459286</v>
      </c>
      <c r="R76" s="11">
        <f>SUM('UPS RATES'!R76-'FedEx Rates'!R75)/('UPS RATES'!R76)</f>
        <v>0.21523998020781798</v>
      </c>
      <c r="S76" s="11">
        <f>SUM('UPS RATES'!S76-'FedEx Rates'!S75)/('UPS RATES'!S76)</f>
        <v>0.21443214432144322</v>
      </c>
      <c r="T76" s="11">
        <f>SUM('UPS RATES'!T76-'FedEx Rates'!T75)/('UPS RATES'!T76)</f>
        <v>0.21518129447644871</v>
      </c>
      <c r="U76" s="11">
        <f>SUM('UPS RATES'!U76-'FedEx Rates'!U75)/('UPS RATES'!U76)</f>
        <v>0.21550707547169817</v>
      </c>
      <c r="V76" s="11">
        <f>SUM('UPS RATES'!V76-'FedEx Rates'!V75)/('UPS RATES'!V76)</f>
        <v>0.21514360313315925</v>
      </c>
      <c r="W76" s="11">
        <f>SUM('UPS RATES'!W76-'FedEx Rates'!W75)/('UPS RATES'!W76)</f>
        <v>0.51911995809324252</v>
      </c>
      <c r="X76" s="11">
        <f>SUM('UPS RATES'!X76-'FedEx Rates'!X75)/('UPS RATES'!X76)</f>
        <v>0.51887125220458552</v>
      </c>
      <c r="Y76" s="11">
        <f>SUM('UPS RATES'!Y76-'FedEx Rates'!Y75)/('UPS RATES'!Y76)</f>
        <v>0.51895758814512005</v>
      </c>
      <c r="Z76" s="11">
        <f>SUM('UPS RATES'!Z76-'FedEx Rates'!Z75)/('UPS RATES'!Z76)</f>
        <v>0.52355072463768115</v>
      </c>
      <c r="AA76" s="11">
        <f>SUM('UPS RATES'!AA76-'FedEx Rates'!AA75)/('UPS RATES'!AA76)</f>
        <v>0.518833191730388</v>
      </c>
      <c r="AB76" s="11">
        <f>SUM('UPS RATES'!AB76-'FedEx Rates'!AB75)/('UPS RATES'!AB76)</f>
        <v>0.51892197208101343</v>
      </c>
      <c r="AC76" s="11">
        <f>SUM('UPS RATES'!AC76-'FedEx Rates'!AC75)/('UPS RATES'!AC76)</f>
        <v>0.51896790047611729</v>
      </c>
    </row>
    <row r="77" spans="1:29" x14ac:dyDescent="0.25">
      <c r="A77">
        <v>75</v>
      </c>
      <c r="B77" s="11">
        <f>SUM('UPS RATES'!B77-'FedEx Rates'!B76)/('UPS RATES'!B77)</f>
        <v>0.23854099418979988</v>
      </c>
      <c r="C77" s="11">
        <f>SUM('UPS RATES'!C77-'FedEx Rates'!C76)/('UPS RATES'!C77)</f>
        <v>0.2389887933281209</v>
      </c>
      <c r="D77" s="11">
        <f>SUM('UPS RATES'!D77-'FedEx Rates'!D76)/('UPS RATES'!D77)</f>
        <v>0.23880931065353631</v>
      </c>
      <c r="E77" s="11">
        <f>SUM('UPS RATES'!E77-'FedEx Rates'!E76)/('UPS RATES'!E77)</f>
        <v>0.23883410672853819</v>
      </c>
      <c r="F77" s="11">
        <f>SUM('UPS RATES'!F77-'FedEx Rates'!F76)/('UPS RATES'!F77)</f>
        <v>0.24635101459594155</v>
      </c>
      <c r="G77" s="11">
        <f>SUM('UPS RATES'!G77-'FedEx Rates'!G76)/('UPS RATES'!G77)</f>
        <v>0.246400837623244</v>
      </c>
      <c r="H77" s="11">
        <f>SUM('UPS RATES'!H77-'FedEx Rates'!H76)/('UPS RATES'!H77)</f>
        <v>0.24636441402908477</v>
      </c>
      <c r="I77" s="11">
        <f>SUM('UPS RATES'!I77-'FedEx Rates'!I76)/('UPS RATES'!I77)</f>
        <v>0.28700602813127934</v>
      </c>
      <c r="J77" s="11">
        <f>SUM('UPS RATES'!J77-'FedEx Rates'!J76)/('UPS RATES'!J77)</f>
        <v>0.30627593360995853</v>
      </c>
      <c r="K77" s="11">
        <f>SUM('UPS RATES'!K77-'FedEx Rates'!K76)/('UPS RATES'!K77)</f>
        <v>0.32331288343558273</v>
      </c>
      <c r="L77" s="11">
        <f>SUM('UPS RATES'!L77-'FedEx Rates'!L76)/('UPS RATES'!L77)</f>
        <v>0.3407729179149192</v>
      </c>
      <c r="M77" s="11">
        <f>SUM('UPS RATES'!M77-'FedEx Rates'!M76)/('UPS RATES'!M77)</f>
        <v>0.41802006827350785</v>
      </c>
      <c r="N77" s="11">
        <f>SUM('UPS RATES'!N77-'FedEx Rates'!N76)/('UPS RATES'!N77)</f>
        <v>0.37785984507295989</v>
      </c>
      <c r="O77" s="11">
        <f>SUM('UPS RATES'!O77-'FedEx Rates'!O76)/('UPS RATES'!O77)</f>
        <v>0.35949183886789426</v>
      </c>
      <c r="P77" s="11">
        <f>SUM('UPS RATES'!P77-'FedEx Rates'!P76)/('UPS RATES'!P77)</f>
        <v>0.21601104209799868</v>
      </c>
      <c r="Q77" s="11">
        <f>SUM('UPS RATES'!Q77-'FedEx Rates'!Q76)/('UPS RATES'!Q77)</f>
        <v>0.21591574019894672</v>
      </c>
      <c r="R77" s="11">
        <f>SUM('UPS RATES'!R77-'FedEx Rates'!R76)/('UPS RATES'!R77)</f>
        <v>0.21523998020781798</v>
      </c>
      <c r="S77" s="11">
        <f>SUM('UPS RATES'!S77-'FedEx Rates'!S76)/('UPS RATES'!S77)</f>
        <v>0.21504065040650416</v>
      </c>
      <c r="T77" s="11">
        <f>SUM('UPS RATES'!T77-'FedEx Rates'!T76)/('UPS RATES'!T77)</f>
        <v>0.21544715447154469</v>
      </c>
      <c r="U77" s="11">
        <f>SUM('UPS RATES'!U77-'FedEx Rates'!U76)/('UPS RATES'!U77)</f>
        <v>0.21541155866900175</v>
      </c>
      <c r="V77" s="11">
        <f>SUM('UPS RATES'!V77-'FedEx Rates'!V76)/('UPS RATES'!V77)</f>
        <v>0.21514360313315925</v>
      </c>
      <c r="W77" s="11">
        <f>SUM('UPS RATES'!W77-'FedEx Rates'!W76)/('UPS RATES'!W77)</f>
        <v>0.51876955161626692</v>
      </c>
      <c r="X77" s="11">
        <f>SUM('UPS RATES'!X77-'FedEx Rates'!X76)/('UPS RATES'!X77)</f>
        <v>0.51881153305203942</v>
      </c>
      <c r="Y77" s="11">
        <f>SUM('UPS RATES'!Y77-'FedEx Rates'!Y76)/('UPS RATES'!Y77)</f>
        <v>0.51892664013876144</v>
      </c>
      <c r="Z77" s="11">
        <f>SUM('UPS RATES'!Z77-'FedEx Rates'!Z76)/('UPS RATES'!Z77)</f>
        <v>0.52356020942408377</v>
      </c>
      <c r="AA77" s="11">
        <f>SUM('UPS RATES'!AA77-'FedEx Rates'!AA76)/('UPS RATES'!AA77)</f>
        <v>0.51894439208294063</v>
      </c>
      <c r="AB77" s="11">
        <f>SUM('UPS RATES'!AB77-'FedEx Rates'!AB76)/('UPS RATES'!AB77)</f>
        <v>0.5188557614826752</v>
      </c>
      <c r="AC77" s="11">
        <f>SUM('UPS RATES'!AC77-'FedEx Rates'!AC76)/('UPS RATES'!AC77)</f>
        <v>0.51894462340849823</v>
      </c>
    </row>
    <row r="78" spans="1:29" x14ac:dyDescent="0.25">
      <c r="A78">
        <v>76</v>
      </c>
      <c r="B78" s="11">
        <f>SUM('UPS RATES'!B78-'FedEx Rates'!B77)/('UPS RATES'!B78)</f>
        <v>0.23883433639531199</v>
      </c>
      <c r="C78" s="11">
        <f>SUM('UPS RATES'!C78-'FedEx Rates'!C77)/('UPS RATES'!C78)</f>
        <v>0.23886010362694307</v>
      </c>
      <c r="D78" s="11">
        <f>SUM('UPS RATES'!D78-'FedEx Rates'!D77)/('UPS RATES'!D78)</f>
        <v>0.23869962146515253</v>
      </c>
      <c r="E78" s="11">
        <f>SUM('UPS RATES'!E78-'FedEx Rates'!E77)/('UPS RATES'!E78)</f>
        <v>0.23884249928016121</v>
      </c>
      <c r="F78" s="11">
        <f>SUM('UPS RATES'!F78-'FedEx Rates'!F77)/('UPS RATES'!F78)</f>
        <v>0.24625361493295939</v>
      </c>
      <c r="G78" s="11">
        <f>SUM('UPS RATES'!G78-'FedEx Rates'!G77)/('UPS RATES'!G78)</f>
        <v>0.2462410860039522</v>
      </c>
      <c r="H78" s="11">
        <f>SUM('UPS RATES'!H78-'FedEx Rates'!H77)/('UPS RATES'!H78)</f>
        <v>0.24629380053908351</v>
      </c>
      <c r="I78" s="11">
        <f>SUM('UPS RATES'!I78-'FedEx Rates'!I77)/('UPS RATES'!I78)</f>
        <v>0.2828618968386023</v>
      </c>
      <c r="J78" s="11">
        <f>SUM('UPS RATES'!J78-'FedEx Rates'!J77)/('UPS RATES'!J78)</f>
        <v>0.30341438178996372</v>
      </c>
      <c r="K78" s="11">
        <f>SUM('UPS RATES'!K78-'FedEx Rates'!K77)/('UPS RATES'!K78)</f>
        <v>0.32247557003257321</v>
      </c>
      <c r="L78" s="11">
        <f>SUM('UPS RATES'!L78-'FedEx Rates'!L77)/('UPS RATES'!L78)</f>
        <v>0.34779400914859077</v>
      </c>
      <c r="M78" s="11">
        <f>SUM('UPS RATES'!M78-'FedEx Rates'!M77)/('UPS RATES'!M78)</f>
        <v>0.4260144411674972</v>
      </c>
      <c r="N78" s="11">
        <f>SUM('UPS RATES'!N78-'FedEx Rates'!N77)/('UPS RATES'!N78)</f>
        <v>0.38531632387399117</v>
      </c>
      <c r="O78" s="11">
        <f>SUM('UPS RATES'!O78-'FedEx Rates'!O77)/('UPS RATES'!O78)</f>
        <v>0.36994219653179189</v>
      </c>
      <c r="P78" s="11">
        <f>SUM('UPS RATES'!P78-'FedEx Rates'!P77)/('UPS RATES'!P78)</f>
        <v>0.21538461538461534</v>
      </c>
      <c r="Q78" s="11">
        <f>SUM('UPS RATES'!Q78-'FedEx Rates'!Q77)/('UPS RATES'!Q78)</f>
        <v>0.21563192904656314</v>
      </c>
      <c r="R78" s="11">
        <f>SUM('UPS RATES'!R78-'FedEx Rates'!R77)/('UPS RATES'!R78)</f>
        <v>0.21533923303834804</v>
      </c>
      <c r="S78" s="11">
        <f>SUM('UPS RATES'!S78-'FedEx Rates'!S77)/('UPS RATES'!S78)</f>
        <v>0.21497197758206568</v>
      </c>
      <c r="T78" s="11">
        <f>SUM('UPS RATES'!T78-'FedEx Rates'!T77)/('UPS RATES'!T78)</f>
        <v>0.21544580709313887</v>
      </c>
      <c r="U78" s="11">
        <f>SUM('UPS RATES'!U78-'FedEx Rates'!U77)/('UPS RATES'!U78)</f>
        <v>0.21539345203905802</v>
      </c>
      <c r="V78" s="11">
        <f>SUM('UPS RATES'!V78-'FedEx Rates'!V77)/('UPS RATES'!V78)</f>
        <v>0.21561530506721821</v>
      </c>
      <c r="W78" s="11">
        <f>SUM('UPS RATES'!W78-'FedEx Rates'!W77)/('UPS RATES'!W78)</f>
        <v>0.51896850979419784</v>
      </c>
      <c r="X78" s="11">
        <f>SUM('UPS RATES'!X78-'FedEx Rates'!X77)/('UPS RATES'!X78)</f>
        <v>0.51881628463906948</v>
      </c>
      <c r="Y78" s="11">
        <f>SUM('UPS RATES'!Y78-'FedEx Rates'!Y77)/('UPS RATES'!Y78)</f>
        <v>0.51897706515120767</v>
      </c>
      <c r="Z78" s="11">
        <f>SUM('UPS RATES'!Z78-'FedEx Rates'!Z77)/('UPS RATES'!Z78)</f>
        <v>0.52364322793770646</v>
      </c>
      <c r="AA78" s="11">
        <f>SUM('UPS RATES'!AA78-'FedEx Rates'!AA77)/('UPS RATES'!AA78)</f>
        <v>0.51892346509671994</v>
      </c>
      <c r="AB78" s="11">
        <f>SUM('UPS RATES'!AB78-'FedEx Rates'!AB77)/('UPS RATES'!AB78)</f>
        <v>0.51891976762443082</v>
      </c>
      <c r="AC78" s="11">
        <f>SUM('UPS RATES'!AC78-'FedEx Rates'!AC77)/('UPS RATES'!AC78)</f>
        <v>0.51892140340125636</v>
      </c>
    </row>
    <row r="79" spans="1:29" x14ac:dyDescent="0.25">
      <c r="A79">
        <v>77</v>
      </c>
      <c r="B79" s="11">
        <f>SUM('UPS RATES'!B79-'FedEx Rates'!B78)/('UPS RATES'!B79)</f>
        <v>0.23867924528301887</v>
      </c>
      <c r="C79" s="11">
        <f>SUM('UPS RATES'!C79-'FedEx Rates'!C78)/('UPS RATES'!C79)</f>
        <v>0.2389904712850888</v>
      </c>
      <c r="D79" s="11">
        <f>SUM('UPS RATES'!D79-'FedEx Rates'!D78)/('UPS RATES'!D79)</f>
        <v>0.2389264673794457</v>
      </c>
      <c r="E79" s="11">
        <f>SUM('UPS RATES'!E79-'FedEx Rates'!E78)/('UPS RATES'!E79)</f>
        <v>0.23877170325728225</v>
      </c>
      <c r="F79" s="11">
        <f>SUM('UPS RATES'!F79-'FedEx Rates'!F78)/('UPS RATES'!F79)</f>
        <v>0.23903151026015287</v>
      </c>
      <c r="G79" s="11">
        <f>SUM('UPS RATES'!G79-'FedEx Rates'!G78)/('UPS RATES'!G79)</f>
        <v>0.24629104850808464</v>
      </c>
      <c r="H79" s="11">
        <f>SUM('UPS RATES'!H79-'FedEx Rates'!H78)/('UPS RATES'!H79)</f>
        <v>0.24628207223402518</v>
      </c>
      <c r="I79" s="11">
        <f>SUM('UPS RATES'!I79-'FedEx Rates'!I78)/('UPS RATES'!I79)</f>
        <v>0.30552892297858736</v>
      </c>
      <c r="J79" s="11">
        <f>SUM('UPS RATES'!J79-'FedEx Rates'!J78)/('UPS RATES'!J79)</f>
        <v>0.30318602261048305</v>
      </c>
      <c r="K79" s="11">
        <f>SUM('UPS RATES'!K79-'FedEx Rates'!K78)/('UPS RATES'!K79)</f>
        <v>0.32824733989158805</v>
      </c>
      <c r="L79" s="11">
        <f>SUM('UPS RATES'!L79-'FedEx Rates'!L78)/('UPS RATES'!L79)</f>
        <v>0.35244347191830777</v>
      </c>
      <c r="M79" s="11">
        <f>SUM('UPS RATES'!M79-'FedEx Rates'!M78)/('UPS RATES'!M79)</f>
        <v>0.43103967855349068</v>
      </c>
      <c r="N79" s="11">
        <f>SUM('UPS RATES'!N79-'FedEx Rates'!N78)/('UPS RATES'!N79)</f>
        <v>0.39137886708372616</v>
      </c>
      <c r="O79" s="11">
        <f>SUM('UPS RATES'!O79-'FedEx Rates'!O78)/('UPS RATES'!O79)</f>
        <v>0.36680927718982209</v>
      </c>
      <c r="P79" s="11">
        <f>SUM('UPS RATES'!P79-'FedEx Rates'!P78)/('UPS RATES'!P79)</f>
        <v>0.21578298397040682</v>
      </c>
      <c r="Q79" s="11">
        <f>SUM('UPS RATES'!Q79-'FedEx Rates'!Q78)/('UPS RATES'!Q79)</f>
        <v>0.21572910977607862</v>
      </c>
      <c r="R79" s="11">
        <f>SUM('UPS RATES'!R79-'FedEx Rates'!R78)/('UPS RATES'!R79)</f>
        <v>0.21612433220009711</v>
      </c>
      <c r="S79" s="11">
        <f>SUM('UPS RATES'!S79-'FedEx Rates'!S78)/('UPS RATES'!S79)</f>
        <v>0.21513944223107578</v>
      </c>
      <c r="T79" s="11">
        <f>SUM('UPS RATES'!T79-'FedEx Rates'!T78)/('UPS RATES'!T79)</f>
        <v>0.21522742254449576</v>
      </c>
      <c r="U79" s="11">
        <f>SUM('UPS RATES'!U79-'FedEx Rates'!U78)/('UPS RATES'!U79)</f>
        <v>0.21530298799218098</v>
      </c>
      <c r="V79" s="11">
        <f>SUM('UPS RATES'!V79-'FedEx Rates'!V78)/('UPS RATES'!V79)</f>
        <v>0.2157622739018088</v>
      </c>
      <c r="W79" s="11">
        <f>SUM('UPS RATES'!W79-'FedEx Rates'!W78)/('UPS RATES'!W79)</f>
        <v>0.51887490747594378</v>
      </c>
      <c r="X79" s="11">
        <f>SUM('UPS RATES'!X79-'FedEx Rates'!X78)/('UPS RATES'!X79)</f>
        <v>0.51903343263819934</v>
      </c>
      <c r="Y79" s="11">
        <f>SUM('UPS RATES'!Y79-'FedEx Rates'!Y78)/('UPS RATES'!Y79)</f>
        <v>0.51890034364261162</v>
      </c>
      <c r="Z79" s="11">
        <f>SUM('UPS RATES'!Z79-'FedEx Rates'!Z78)/('UPS RATES'!Z79)</f>
        <v>0.52359612218767149</v>
      </c>
      <c r="AA79" s="11">
        <f>SUM('UPS RATES'!AA79-'FedEx Rates'!AA78)/('UPS RATES'!AA79)</f>
        <v>0.51886114603915934</v>
      </c>
      <c r="AB79" s="11">
        <f>SUM('UPS RATES'!AB79-'FedEx Rates'!AB78)/('UPS RATES'!AB79)</f>
        <v>0.51891003053793749</v>
      </c>
      <c r="AC79" s="11">
        <f>SUM('UPS RATES'!AC79-'FedEx Rates'!AC78)/('UPS RATES'!AC79)</f>
        <v>0.51885854181011404</v>
      </c>
    </row>
    <row r="80" spans="1:29" x14ac:dyDescent="0.25">
      <c r="A80">
        <v>78</v>
      </c>
      <c r="B80" s="11">
        <f>SUM('UPS RATES'!B80-'FedEx Rates'!B79)/('UPS RATES'!B80)</f>
        <v>0.23883858882297851</v>
      </c>
      <c r="C80" s="11">
        <f>SUM('UPS RATES'!C80-'FedEx Rates'!C79)/('UPS RATES'!C80)</f>
        <v>0.23886328725038405</v>
      </c>
      <c r="D80" s="11">
        <f>SUM('UPS RATES'!D80-'FedEx Rates'!D79)/('UPS RATES'!D80)</f>
        <v>0.238706915007493</v>
      </c>
      <c r="E80" s="11">
        <f>SUM('UPS RATES'!E80-'FedEx Rates'!E79)/('UPS RATES'!E80)</f>
        <v>0.23891018619934284</v>
      </c>
      <c r="F80" s="11">
        <f>SUM('UPS RATES'!F80-'FedEx Rates'!F79)/('UPS RATES'!F80)</f>
        <v>0.23889031595170823</v>
      </c>
      <c r="G80" s="11">
        <f>SUM('UPS RATES'!G80-'FedEx Rates'!G79)/('UPS RATES'!G80)</f>
        <v>0.23883559378101221</v>
      </c>
      <c r="H80" s="11">
        <f>SUM('UPS RATES'!H80-'FedEx Rates'!H79)/('UPS RATES'!H80)</f>
        <v>0.24631932260279202</v>
      </c>
      <c r="I80" s="11">
        <f>SUM('UPS RATES'!I80-'FedEx Rates'!I79)/('UPS RATES'!I80)</f>
        <v>0.30086234429894598</v>
      </c>
      <c r="J80" s="11">
        <f>SUM('UPS RATES'!J80-'FedEx Rates'!J79)/('UPS RATES'!J80)</f>
        <v>0.29941040758779802</v>
      </c>
      <c r="K80" s="11">
        <f>SUM('UPS RATES'!K80-'FedEx Rates'!K79)/('UPS RATES'!K80)</f>
        <v>0.33147853736089028</v>
      </c>
      <c r="L80" s="11">
        <f>SUM('UPS RATES'!L80-'FedEx Rates'!L79)/('UPS RATES'!L80)</f>
        <v>0.3544743701129453</v>
      </c>
      <c r="M80" s="11">
        <f>SUM('UPS RATES'!M80-'FedEx Rates'!M79)/('UPS RATES'!M80)</f>
        <v>0.42947495231402472</v>
      </c>
      <c r="N80" s="11">
        <f>SUM('UPS RATES'!N80-'FedEx Rates'!N79)/('UPS RATES'!N80)</f>
        <v>0.39988201584358674</v>
      </c>
      <c r="O80" s="11">
        <f>SUM('UPS RATES'!O80-'FedEx Rates'!O79)/('UPS RATES'!O80)</f>
        <v>0.36402521386762715</v>
      </c>
      <c r="P80" s="11">
        <f>SUM('UPS RATES'!P80-'FedEx Rates'!P79)/('UPS RATES'!P80)</f>
        <v>0.21613300492610826</v>
      </c>
      <c r="Q80" s="11">
        <f>SUM('UPS RATES'!Q80-'FedEx Rates'!Q79)/('UPS RATES'!Q80)</f>
        <v>0.21537651395471291</v>
      </c>
      <c r="R80" s="11">
        <f>SUM('UPS RATES'!R80-'FedEx Rates'!R79)/('UPS RATES'!R80)</f>
        <v>0.21566776781500707</v>
      </c>
      <c r="S80" s="11">
        <f>SUM('UPS RATES'!S80-'FedEx Rates'!S79)/('UPS RATES'!S80)</f>
        <v>0.21521482065431616</v>
      </c>
      <c r="T80" s="11">
        <f>SUM('UPS RATES'!T80-'FedEx Rates'!T79)/('UPS RATES'!T80)</f>
        <v>0.21519816573861775</v>
      </c>
      <c r="U80" s="11">
        <f>SUM('UPS RATES'!U80-'FedEx Rates'!U79)/('UPS RATES'!U80)</f>
        <v>0.21513723315774885</v>
      </c>
      <c r="V80" s="11">
        <f>SUM('UPS RATES'!V80-'FedEx Rates'!V79)/('UPS RATES'!V80)</f>
        <v>0.2157622739018088</v>
      </c>
      <c r="W80" s="11">
        <f>SUM('UPS RATES'!W80-'FedEx Rates'!W79)/('UPS RATES'!W80)</f>
        <v>0.51879145173176122</v>
      </c>
      <c r="X80" s="11">
        <f>SUM('UPS RATES'!X80-'FedEx Rates'!X79)/('UPS RATES'!X80)</f>
        <v>0.5188056746948202</v>
      </c>
      <c r="Y80" s="11">
        <f>SUM('UPS RATES'!Y80-'FedEx Rates'!Y79)/('UPS RATES'!Y80)</f>
        <v>0.51886516525299786</v>
      </c>
      <c r="Z80" s="11">
        <f>SUM('UPS RATES'!Z80-'FedEx Rates'!Z79)/('UPS RATES'!Z80)</f>
        <v>0.51886281588447647</v>
      </c>
      <c r="AA80" s="11">
        <f>SUM('UPS RATES'!AA80-'FedEx Rates'!AA79)/('UPS RATES'!AA80)</f>
        <v>0.51890756302521002</v>
      </c>
      <c r="AB80" s="11">
        <f>SUM('UPS RATES'!AB80-'FedEx Rates'!AB79)/('UPS RATES'!AB80)</f>
        <v>0.52361777915440599</v>
      </c>
      <c r="AC80" s="11">
        <f>SUM('UPS RATES'!AC80-'FedEx Rates'!AC79)/('UPS RATES'!AC80)</f>
        <v>0.51891189730266674</v>
      </c>
    </row>
    <row r="81" spans="1:29" x14ac:dyDescent="0.25">
      <c r="A81">
        <v>79</v>
      </c>
      <c r="B81" s="11">
        <f>SUM('UPS RATES'!B81-'FedEx Rates'!B80)/('UPS RATES'!B81)</f>
        <v>0.23868567885926845</v>
      </c>
      <c r="C81" s="11">
        <f>SUM('UPS RATES'!C81-'FedEx Rates'!C80)/('UPS RATES'!C81)</f>
        <v>0.23899210995164166</v>
      </c>
      <c r="D81" s="11">
        <f>SUM('UPS RATES'!D81-'FedEx Rates'!D80)/('UPS RATES'!D81)</f>
        <v>0.23881550916063063</v>
      </c>
      <c r="E81" s="11">
        <f>SUM('UPS RATES'!E81-'FedEx Rates'!E80)/('UPS RATES'!E81)</f>
        <v>0.2387896960610604</v>
      </c>
      <c r="F81" s="11">
        <f>SUM('UPS RATES'!F81-'FedEx Rates'!F80)/('UPS RATES'!F81)</f>
        <v>0.2387360531470914</v>
      </c>
      <c r="G81" s="11">
        <f>SUM('UPS RATES'!G81-'FedEx Rates'!G80)/('UPS RATES'!G81)</f>
        <v>0.24640593600247332</v>
      </c>
      <c r="H81" s="11">
        <f>SUM('UPS RATES'!H81-'FedEx Rates'!H80)/('UPS RATES'!H81)</f>
        <v>0.2463438660301584</v>
      </c>
      <c r="I81" s="11">
        <f>SUM('UPS RATES'!I81-'FedEx Rates'!I80)/('UPS RATES'!I81)</f>
        <v>0.30300157977883097</v>
      </c>
      <c r="J81" s="11">
        <f>SUM('UPS RATES'!J81-'FedEx Rates'!J80)/('UPS RATES'!J81)</f>
        <v>0.30450177035912995</v>
      </c>
      <c r="K81" s="11">
        <f>SUM('UPS RATES'!K81-'FedEx Rates'!K80)/('UPS RATES'!K81)</f>
        <v>0.32883508632665209</v>
      </c>
      <c r="L81" s="11">
        <f>SUM('UPS RATES'!L81-'FedEx Rates'!L80)/('UPS RATES'!L81)</f>
        <v>0.35536357091432685</v>
      </c>
      <c r="M81" s="11">
        <f>SUM('UPS RATES'!M81-'FedEx Rates'!M80)/('UPS RATES'!M81)</f>
        <v>0.42951475737868933</v>
      </c>
      <c r="N81" s="11">
        <f>SUM('UPS RATES'!N81-'FedEx Rates'!N80)/('UPS RATES'!N81)</f>
        <v>0.40070505287896585</v>
      </c>
      <c r="O81" s="11">
        <f>SUM('UPS RATES'!O81-'FedEx Rates'!O80)/('UPS RATES'!O81)</f>
        <v>0.35819327731092432</v>
      </c>
      <c r="P81" s="11">
        <f>SUM('UPS RATES'!P81-'FedEx Rates'!P80)/('UPS RATES'!P81)</f>
        <v>0.21626399528579837</v>
      </c>
      <c r="Q81" s="11">
        <f>SUM('UPS RATES'!Q81-'FedEx Rates'!Q80)/('UPS RATES'!Q81)</f>
        <v>0.21536905965621847</v>
      </c>
      <c r="R81" s="11">
        <f>SUM('UPS RATES'!R81-'FedEx Rates'!R80)/('UPS RATES'!R81)</f>
        <v>0.21520737327188932</v>
      </c>
      <c r="S81" s="11">
        <f>SUM('UPS RATES'!S81-'FedEx Rates'!S80)/('UPS RATES'!S81)</f>
        <v>0.21536670547147849</v>
      </c>
      <c r="T81" s="11">
        <f>SUM('UPS RATES'!T81-'FedEx Rates'!T80)/('UPS RATES'!T81)</f>
        <v>0.21527109400064165</v>
      </c>
      <c r="U81" s="11">
        <f>SUM('UPS RATES'!U81-'FedEx Rates'!U80)/('UPS RATES'!U81)</f>
        <v>0.21512421512421517</v>
      </c>
      <c r="V81" s="11">
        <f>SUM('UPS RATES'!V81-'FedEx Rates'!V80)/('UPS RATES'!V81)</f>
        <v>0.21526717557251904</v>
      </c>
      <c r="W81" s="11">
        <f>SUM('UPS RATES'!W81-'FedEx Rates'!W80)/('UPS RATES'!W81)</f>
        <v>0.51895328931279039</v>
      </c>
      <c r="X81" s="11">
        <f>SUM('UPS RATES'!X81-'FedEx Rates'!X80)/('UPS RATES'!X81)</f>
        <v>0.51883533475900645</v>
      </c>
      <c r="Y81" s="11">
        <f>SUM('UPS RATES'!Y81-'FedEx Rates'!Y80)/('UPS RATES'!Y81)</f>
        <v>0.51879918391139612</v>
      </c>
      <c r="Z81" s="11">
        <f>SUM('UPS RATES'!Z81-'FedEx Rates'!Z80)/('UPS RATES'!Z81)</f>
        <v>0.51889728768341481</v>
      </c>
      <c r="AA81" s="11">
        <f>SUM('UPS RATES'!AA81-'FedEx Rates'!AA80)/('UPS RATES'!AA81)</f>
        <v>0.51884758043647028</v>
      </c>
      <c r="AB81" s="11">
        <f>SUM('UPS RATES'!AB81-'FedEx Rates'!AB80)/('UPS RATES'!AB81)</f>
        <v>0.52363913208983637</v>
      </c>
      <c r="AC81" s="11">
        <f>SUM('UPS RATES'!AC81-'FedEx Rates'!AC80)/('UPS RATES'!AC81)</f>
        <v>0.51888143513982055</v>
      </c>
    </row>
    <row r="82" spans="1:29" x14ac:dyDescent="0.25">
      <c r="A82">
        <v>80</v>
      </c>
      <c r="B82" s="11">
        <f>SUM('UPS RATES'!B82-'FedEx Rates'!B81)/('UPS RATES'!B82)</f>
        <v>0.23853493382579263</v>
      </c>
      <c r="C82" s="11">
        <f>SUM('UPS RATES'!C82-'FedEx Rates'!C81)/('UPS RATES'!C82)</f>
        <v>0.23886639676113372</v>
      </c>
      <c r="D82" s="11">
        <f>SUM('UPS RATES'!D82-'FedEx Rates'!D81)/('UPS RATES'!D82)</f>
        <v>0.23871104515581948</v>
      </c>
      <c r="E82" s="11">
        <f>SUM('UPS RATES'!E82-'FedEx Rates'!E81)/('UPS RATES'!E82)</f>
        <v>0.2388262464339084</v>
      </c>
      <c r="F82" s="11">
        <f>SUM('UPS RATES'!F82-'FedEx Rates'!F81)/('UPS RATES'!F82)</f>
        <v>0.23877221324717288</v>
      </c>
      <c r="G82" s="11">
        <f>SUM('UPS RATES'!G82-'FedEx Rates'!G81)/('UPS RATES'!G82)</f>
        <v>0.24633453596376756</v>
      </c>
      <c r="H82" s="11">
        <f>SUM('UPS RATES'!H82-'FedEx Rates'!H81)/('UPS RATES'!H82)</f>
        <v>0.24631246237206494</v>
      </c>
      <c r="I82" s="11">
        <f>SUM('UPS RATES'!I82-'FedEx Rates'!I81)/('UPS RATES'!I82)</f>
        <v>0.29838964319545319</v>
      </c>
      <c r="J82" s="11">
        <f>SUM('UPS RATES'!J82-'FedEx Rates'!J81)/('UPS RATES'!J82)</f>
        <v>0.30919080919080916</v>
      </c>
      <c r="K82" s="11">
        <f>SUM('UPS RATES'!K82-'FedEx Rates'!K81)/('UPS RATES'!K82)</f>
        <v>0.33195916764821354</v>
      </c>
      <c r="L82" s="11">
        <f>SUM('UPS RATES'!L82-'FedEx Rates'!L81)/('UPS RATES'!L82)</f>
        <v>0.35285652611886598</v>
      </c>
      <c r="M82" s="11">
        <f>SUM('UPS RATES'!M82-'FedEx Rates'!M81)/('UPS RATES'!M82)</f>
        <v>0.42784278427842781</v>
      </c>
      <c r="N82" s="11">
        <f>SUM('UPS RATES'!N82-'FedEx Rates'!N81)/('UPS RATES'!N82)</f>
        <v>0.40122114419538307</v>
      </c>
      <c r="O82" s="11">
        <f>SUM('UPS RATES'!O82-'FedEx Rates'!O81)/('UPS RATES'!O82)</f>
        <v>0.35686421605401353</v>
      </c>
      <c r="P82" s="11">
        <f>SUM('UPS RATES'!P82-'FedEx Rates'!P81)/('UPS RATES'!P82)</f>
        <v>0.21572002294893861</v>
      </c>
      <c r="Q82" s="11">
        <f>SUM('UPS RATES'!Q82-'FedEx Rates'!Q81)/('UPS RATES'!Q82)</f>
        <v>0.21577380952380951</v>
      </c>
      <c r="R82" s="11">
        <f>SUM('UPS RATES'!R82-'FedEx Rates'!R81)/('UPS RATES'!R82)</f>
        <v>0.21585701191567372</v>
      </c>
      <c r="S82" s="11">
        <f>SUM('UPS RATES'!S82-'FedEx Rates'!S81)/('UPS RATES'!S82)</f>
        <v>0.21531463229719483</v>
      </c>
      <c r="T82" s="11">
        <f>SUM('UPS RATES'!T82-'FedEx Rates'!T81)/('UPS RATES'!T82)</f>
        <v>0.21520984537709056</v>
      </c>
      <c r="U82" s="11">
        <f>SUM('UPS RATES'!U82-'FedEx Rates'!U81)/('UPS RATES'!U82)</f>
        <v>0.21540118470651587</v>
      </c>
      <c r="V82" s="11">
        <f>SUM('UPS RATES'!V82-'FedEx Rates'!V81)/('UPS RATES'!V82)</f>
        <v>0.21515151515151523</v>
      </c>
      <c r="W82" s="11">
        <f>SUM('UPS RATES'!W82-'FedEx Rates'!W81)/('UPS RATES'!W82)</f>
        <v>0.51887022157292428</v>
      </c>
      <c r="X82" s="11">
        <f>SUM('UPS RATES'!X82-'FedEx Rates'!X81)/('UPS RATES'!X82)</f>
        <v>0.51894374282433986</v>
      </c>
      <c r="Y82" s="11">
        <f>SUM('UPS RATES'!Y82-'FedEx Rates'!Y81)/('UPS RATES'!Y82)</f>
        <v>0.51891367604267702</v>
      </c>
      <c r="Z82" s="11">
        <f>SUM('UPS RATES'!Z82-'FedEx Rates'!Z81)/('UPS RATES'!Z82)</f>
        <v>0.51892562716071267</v>
      </c>
      <c r="AA82" s="11">
        <f>SUM('UPS RATES'!AA82-'FedEx Rates'!AA81)/('UPS RATES'!AA82)</f>
        <v>0.51883708928264238</v>
      </c>
      <c r="AB82" s="11">
        <f>SUM('UPS RATES'!AB82-'FedEx Rates'!AB81)/('UPS RATES'!AB82)</f>
        <v>0.52365428354814259</v>
      </c>
      <c r="AC82" s="11">
        <f>SUM('UPS RATES'!AC82-'FedEx Rates'!AC81)/('UPS RATES'!AC82)</f>
        <v>0.51891607866686684</v>
      </c>
    </row>
    <row r="83" spans="1:29" x14ac:dyDescent="0.25">
      <c r="A83">
        <v>81</v>
      </c>
      <c r="B83" s="11">
        <f>SUM('UPS RATES'!B83-'FedEx Rates'!B82)/('UPS RATES'!B83)</f>
        <v>0.23854848304580598</v>
      </c>
      <c r="C83" s="11">
        <f>SUM('UPS RATES'!C83-'FedEx Rates'!C82)/('UPS RATES'!C83)</f>
        <v>0.23886232066448526</v>
      </c>
      <c r="D83" s="11">
        <f>SUM('UPS RATES'!D83-'FedEx Rates'!D82)/('UPS RATES'!D83)</f>
        <v>0.2388185654008439</v>
      </c>
      <c r="E83" s="11">
        <f>SUM('UPS RATES'!E83-'FedEx Rates'!E82)/('UPS RATES'!E83)</f>
        <v>0.2388625592417061</v>
      </c>
      <c r="F83" s="11">
        <f>SUM('UPS RATES'!F83-'FedEx Rates'!F82)/('UPS RATES'!F83)</f>
        <v>0.23882995821279332</v>
      </c>
      <c r="G83" s="11">
        <f>SUM('UPS RATES'!G83-'FedEx Rates'!G82)/('UPS RATES'!G83)</f>
        <v>0.24636015325670502</v>
      </c>
      <c r="H83" s="11">
        <f>SUM('UPS RATES'!H83-'FedEx Rates'!H82)/('UPS RATES'!H83)</f>
        <v>0.24633761550597263</v>
      </c>
      <c r="I83" s="11">
        <f>SUM('UPS RATES'!I83-'FedEx Rates'!I82)/('UPS RATES'!I83)</f>
        <v>0.29635449402891262</v>
      </c>
      <c r="J83" s="11">
        <f>SUM('UPS RATES'!J83-'FedEx Rates'!J82)/('UPS RATES'!J83)</f>
        <v>0.30858126383083356</v>
      </c>
      <c r="K83" s="11">
        <f>SUM('UPS RATES'!K83-'FedEx Rates'!K82)/('UPS RATES'!K83)</f>
        <v>0.33229207340882461</v>
      </c>
      <c r="L83" s="11">
        <f>SUM('UPS RATES'!L83-'FedEx Rates'!L82)/('UPS RATES'!L83)</f>
        <v>0.35622684525505849</v>
      </c>
      <c r="M83" s="11">
        <f>SUM('UPS RATES'!M83-'FedEx Rates'!M82)/('UPS RATES'!M83)</f>
        <v>0.42175172276041145</v>
      </c>
      <c r="N83" s="11">
        <f>SUM('UPS RATES'!N83-'FedEx Rates'!N82)/('UPS RATES'!N83)</f>
        <v>0.4</v>
      </c>
      <c r="O83" s="11">
        <f>SUM('UPS RATES'!O83-'FedEx Rates'!O82)/('UPS RATES'!O83)</f>
        <v>0.35901834999254062</v>
      </c>
      <c r="P83" s="11">
        <f>SUM('UPS RATES'!P83-'FedEx Rates'!P82)/('UPS RATES'!P83)</f>
        <v>0.21568627450980399</v>
      </c>
      <c r="Q83" s="11">
        <f>SUM('UPS RATES'!Q83-'FedEx Rates'!Q82)/('UPS RATES'!Q83)</f>
        <v>0.21593703885882928</v>
      </c>
      <c r="R83" s="11">
        <f>SUM('UPS RATES'!R83-'FedEx Rates'!R82)/('UPS RATES'!R83)</f>
        <v>0.21610738255033565</v>
      </c>
      <c r="S83" s="11">
        <f>SUM('UPS RATES'!S83-'FedEx Rates'!S82)/('UPS RATES'!S83)</f>
        <v>0.21536144578313249</v>
      </c>
      <c r="T83" s="11">
        <f>SUM('UPS RATES'!T83-'FedEx Rates'!T82)/('UPS RATES'!T83)</f>
        <v>0.21526479750778815</v>
      </c>
      <c r="U83" s="11">
        <f>SUM('UPS RATES'!U83-'FedEx Rates'!U82)/('UPS RATES'!U83)</f>
        <v>0.21520342612419699</v>
      </c>
      <c r="V83" s="11">
        <f>SUM('UPS RATES'!V83-'FedEx Rates'!V82)/('UPS RATES'!V83)</f>
        <v>0.2151484650226472</v>
      </c>
      <c r="W83" s="11">
        <f>SUM('UPS RATES'!W83-'FedEx Rates'!W82)/('UPS RATES'!W83)</f>
        <v>0.52354312354312349</v>
      </c>
      <c r="X83" s="11">
        <f>SUM('UPS RATES'!X83-'FedEx Rates'!X82)/('UPS RATES'!X83)</f>
        <v>0.52363989637305697</v>
      </c>
      <c r="Y83" s="11">
        <f>SUM('UPS RATES'!Y83-'FedEx Rates'!Y82)/('UPS RATES'!Y83)</f>
        <v>0.51879415920866701</v>
      </c>
      <c r="Z83" s="11">
        <f>SUM('UPS RATES'!Z83-'FedEx Rates'!Z82)/('UPS RATES'!Z83)</f>
        <v>0.5188773805546274</v>
      </c>
      <c r="AA83" s="11">
        <f>SUM('UPS RATES'!AA83-'FedEx Rates'!AA82)/('UPS RATES'!AA83)</f>
        <v>0.51890876419178311</v>
      </c>
      <c r="AB83" s="11">
        <f>SUM('UPS RATES'!AB83-'FedEx Rates'!AB82)/('UPS RATES'!AB83)</f>
        <v>0.52370036234563333</v>
      </c>
      <c r="AC83" s="11">
        <f>SUM('UPS RATES'!AC83-'FedEx Rates'!AC82)/('UPS RATES'!AC83)</f>
        <v>0.51952610794207987</v>
      </c>
    </row>
    <row r="84" spans="1:29" x14ac:dyDescent="0.25">
      <c r="A84">
        <v>82</v>
      </c>
      <c r="B84" s="11">
        <f>SUM('UPS RATES'!B84-'FedEx Rates'!B83)/('UPS RATES'!B84)</f>
        <v>0.2388807069219441</v>
      </c>
      <c r="C84" s="11">
        <f>SUM('UPS RATES'!C84-'FedEx Rates'!C83)/('UPS RATES'!C84)</f>
        <v>0.23866766841973455</v>
      </c>
      <c r="D84" s="11">
        <f>SUM('UPS RATES'!D84-'FedEx Rates'!D83)/('UPS RATES'!D84)</f>
        <v>0.2463105383496155</v>
      </c>
      <c r="E84" s="11">
        <f>SUM('UPS RATES'!E84-'FedEx Rates'!E83)/('UPS RATES'!E84)</f>
        <v>0.23879589632829371</v>
      </c>
      <c r="F84" s="11">
        <f>SUM('UPS RATES'!F84-'FedEx Rates'!F83)/('UPS RATES'!F84)</f>
        <v>0.23885145973692654</v>
      </c>
      <c r="G84" s="11">
        <f>SUM('UPS RATES'!G84-'FedEx Rates'!G83)/('UPS RATES'!G84)</f>
        <v>0.24632802937576501</v>
      </c>
      <c r="H84" s="11">
        <f>SUM('UPS RATES'!H84-'FedEx Rates'!H83)/('UPS RATES'!H84)</f>
        <v>0.24628768561571923</v>
      </c>
      <c r="I84" s="11">
        <f>SUM('UPS RATES'!I84-'FedEx Rates'!I83)/('UPS RATES'!I84)</f>
        <v>0.27720611163080761</v>
      </c>
      <c r="J84" s="11">
        <f>SUM('UPS RATES'!J84-'FedEx Rates'!J83)/('UPS RATES'!J84)</f>
        <v>0.2921999517024873</v>
      </c>
      <c r="K84" s="11">
        <f>SUM('UPS RATES'!K84-'FedEx Rates'!K83)/('UPS RATES'!K84)</f>
        <v>0.31693253891985396</v>
      </c>
      <c r="L84" s="11">
        <f>SUM('UPS RATES'!L84-'FedEx Rates'!L83)/('UPS RATES'!L84)</f>
        <v>0.31960207370043436</v>
      </c>
      <c r="M84" s="11">
        <f>SUM('UPS RATES'!M84-'FedEx Rates'!M83)/('UPS RATES'!M84)</f>
        <v>0.41552941176470587</v>
      </c>
      <c r="N84" s="11">
        <f>SUM('UPS RATES'!N84-'FedEx Rates'!N83)/('UPS RATES'!N84)</f>
        <v>0.36831025827868197</v>
      </c>
      <c r="O84" s="11">
        <f>SUM('UPS RATES'!O84-'FedEx Rates'!O83)/('UPS RATES'!O84)</f>
        <v>0.36318041008998381</v>
      </c>
      <c r="P84" s="11">
        <f>SUM('UPS RATES'!P84-'FedEx Rates'!P83)/('UPS RATES'!P84)</f>
        <v>0.21552660152008699</v>
      </c>
      <c r="Q84" s="11">
        <f>SUM('UPS RATES'!Q84-'FedEx Rates'!Q83)/('UPS RATES'!Q84)</f>
        <v>0.21565802113352556</v>
      </c>
      <c r="R84" s="11">
        <f>SUM('UPS RATES'!R84-'FedEx Rates'!R83)/('UPS RATES'!R84)</f>
        <v>0.21575342465753422</v>
      </c>
      <c r="S84" s="11">
        <f>SUM('UPS RATES'!S84-'FedEx Rates'!S83)/('UPS RATES'!S84)</f>
        <v>0.21462697537669972</v>
      </c>
      <c r="T84" s="11">
        <f>SUM('UPS RATES'!T84-'FedEx Rates'!T83)/('UPS RATES'!T84)</f>
        <v>0.21535114978247358</v>
      </c>
      <c r="U84" s="11">
        <f>SUM('UPS RATES'!U84-'FedEx Rates'!U83)/('UPS RATES'!U84)</f>
        <v>0.21503131524008356</v>
      </c>
      <c r="V84" s="11">
        <f>SUM('UPS RATES'!V84-'FedEx Rates'!V83)/('UPS RATES'!V84)</f>
        <v>0.21790371113340021</v>
      </c>
      <c r="W84" s="11">
        <f>SUM('UPS RATES'!W84-'FedEx Rates'!W83)/('UPS RATES'!W84)</f>
        <v>0.5237874216755628</v>
      </c>
      <c r="X84" s="11">
        <f>SUM('UPS RATES'!X84-'FedEx Rates'!X83)/('UPS RATES'!X84)</f>
        <v>0.52357119793348394</v>
      </c>
      <c r="Y84" s="11">
        <f>SUM('UPS RATES'!Y84-'FedEx Rates'!Y83)/('UPS RATES'!Y84)</f>
        <v>0.5188829538000187</v>
      </c>
      <c r="Z84" s="11">
        <f>SUM('UPS RATES'!Z84-'FedEx Rates'!Z83)/('UPS RATES'!Z84)</f>
        <v>0.51881073000581346</v>
      </c>
      <c r="AA84" s="11">
        <f>SUM('UPS RATES'!AA84-'FedEx Rates'!AA83)/('UPS RATES'!AA84)</f>
        <v>0.5188947582283624</v>
      </c>
      <c r="AB84" s="11">
        <f>SUM('UPS RATES'!AB84-'FedEx Rates'!AB83)/('UPS RATES'!AB84)</f>
        <v>0.5236057834169372</v>
      </c>
      <c r="AC84" s="11">
        <f>SUM('UPS RATES'!AC84-'FedEx Rates'!AC83)/('UPS RATES'!AC84)</f>
        <v>0.51955062737087832</v>
      </c>
    </row>
    <row r="85" spans="1:29" x14ac:dyDescent="0.25">
      <c r="A85">
        <v>83</v>
      </c>
      <c r="B85" s="11">
        <f>SUM('UPS RATES'!B85-'FedEx Rates'!B84)/('UPS RATES'!B85)</f>
        <v>0.23888404533565813</v>
      </c>
      <c r="C85" s="11">
        <f>SUM('UPS RATES'!C85-'FedEx Rates'!C84)/('UPS RATES'!C85)</f>
        <v>0.23890532544378701</v>
      </c>
      <c r="D85" s="11">
        <f>SUM('UPS RATES'!D85-'FedEx Rates'!D84)/('UPS RATES'!D85)</f>
        <v>0.24637980968142331</v>
      </c>
      <c r="E85" s="11">
        <f>SUM('UPS RATES'!E85-'FedEx Rates'!E84)/('UPS RATES'!E85)</f>
        <v>0.23869752421959092</v>
      </c>
      <c r="F85" s="11">
        <f>SUM('UPS RATES'!F85-'FedEx Rates'!F84)/('UPS RATES'!F85)</f>
        <v>0.2387871130764371</v>
      </c>
      <c r="G85" s="11">
        <f>SUM('UPS RATES'!G85-'FedEx Rates'!G84)/('UPS RATES'!G85)</f>
        <v>0.24635357006491021</v>
      </c>
      <c r="H85" s="11">
        <f>SUM('UPS RATES'!H85-'FedEx Rates'!H84)/('UPS RATES'!H85)</f>
        <v>0.24633123689727468</v>
      </c>
      <c r="I85" s="11">
        <f>SUM('UPS RATES'!I85-'FedEx Rates'!I84)/('UPS RATES'!I85)</f>
        <v>0.28264208909370186</v>
      </c>
      <c r="J85" s="11">
        <f>SUM('UPS RATES'!J85-'FedEx Rates'!J84)/('UPS RATES'!J85)</f>
        <v>0.2955088389870999</v>
      </c>
      <c r="K85" s="11">
        <f>SUM('UPS RATES'!K85-'FedEx Rates'!K84)/('UPS RATES'!K85)</f>
        <v>0.31392891450528332</v>
      </c>
      <c r="L85" s="11">
        <f>SUM('UPS RATES'!L85-'FedEx Rates'!L84)/('UPS RATES'!L85)</f>
        <v>0.32003325020781387</v>
      </c>
      <c r="M85" s="11">
        <f>SUM('UPS RATES'!M85-'FedEx Rates'!M84)/('UPS RATES'!M85)</f>
        <v>0.38209853328318916</v>
      </c>
      <c r="N85" s="11">
        <f>SUM('UPS RATES'!N85-'FedEx Rates'!N84)/('UPS RATES'!N85)</f>
        <v>0.36522160329377579</v>
      </c>
      <c r="O85" s="11">
        <f>SUM('UPS RATES'!O85-'FedEx Rates'!O84)/('UPS RATES'!O85)</f>
        <v>0.3545659937322353</v>
      </c>
      <c r="P85" s="11">
        <f>SUM('UPS RATES'!P85-'FedEx Rates'!P84)/('UPS RATES'!P85)</f>
        <v>0.2158351409978308</v>
      </c>
      <c r="Q85" s="11">
        <f>SUM('UPS RATES'!Q85-'FedEx Rates'!Q84)/('UPS RATES'!Q85)</f>
        <v>0.21565802113352556</v>
      </c>
      <c r="R85" s="11">
        <f>SUM('UPS RATES'!R85-'FedEx Rates'!R84)/('UPS RATES'!R85)</f>
        <v>0.21608900299529313</v>
      </c>
      <c r="S85" s="11">
        <f>SUM('UPS RATES'!S85-'FedEx Rates'!S84)/('UPS RATES'!S85)</f>
        <v>0.21512481644640233</v>
      </c>
      <c r="T85" s="11">
        <f>SUM('UPS RATES'!T85-'FedEx Rates'!T84)/('UPS RATES'!T85)</f>
        <v>0.21530359355638173</v>
      </c>
      <c r="U85" s="11">
        <f>SUM('UPS RATES'!U85-'FedEx Rates'!U84)/('UPS RATES'!U85)</f>
        <v>0.21523610748760763</v>
      </c>
      <c r="V85" s="11">
        <f>SUM('UPS RATES'!V85-'FedEx Rates'!V84)/('UPS RATES'!V85)</f>
        <v>0.22063968015992008</v>
      </c>
      <c r="W85" s="11">
        <f>SUM('UPS RATES'!W85-'FedEx Rates'!W84)/('UPS RATES'!W85)</f>
        <v>0.52368846776057321</v>
      </c>
      <c r="X85" s="11">
        <f>SUM('UPS RATES'!X85-'FedEx Rates'!X84)/('UPS RATES'!X85)</f>
        <v>0.52366387636831946</v>
      </c>
      <c r="Y85" s="11">
        <f>SUM('UPS RATES'!Y85-'FedEx Rates'!Y84)/('UPS RATES'!Y85)</f>
        <v>0.51880613772455086</v>
      </c>
      <c r="Z85" s="11">
        <f>SUM('UPS RATES'!Z85-'FedEx Rates'!Z84)/('UPS RATES'!Z85)</f>
        <v>0.51882567589981754</v>
      </c>
      <c r="AA85" s="11">
        <f>SUM('UPS RATES'!AA85-'FedEx Rates'!AA84)/('UPS RATES'!AA85)</f>
        <v>0.51890926797597792</v>
      </c>
      <c r="AB85" s="11">
        <f>SUM('UPS RATES'!AB85-'FedEx Rates'!AB84)/('UPS RATES'!AB85)</f>
        <v>0.52364815087667604</v>
      </c>
      <c r="AC85" s="11">
        <f>SUM('UPS RATES'!AC85-'FedEx Rates'!AC84)/('UPS RATES'!AC85)</f>
        <v>0.51952498907183442</v>
      </c>
    </row>
    <row r="86" spans="1:29" x14ac:dyDescent="0.25">
      <c r="A86">
        <v>84</v>
      </c>
      <c r="B86" s="11">
        <f>SUM('UPS RATES'!B86-'FedEx Rates'!B85)/('UPS RATES'!B86)</f>
        <v>0.23903002309468824</v>
      </c>
      <c r="C86" s="11">
        <f>SUM('UPS RATES'!C86-'FedEx Rates'!C85)/('UPS RATES'!C86)</f>
        <v>0.23878401569012009</v>
      </c>
      <c r="D86" s="11">
        <f>SUM('UPS RATES'!D86-'FedEx Rates'!D85)/('UPS RATES'!D86)</f>
        <v>0.24622910721565439</v>
      </c>
      <c r="E86" s="11">
        <f>SUM('UPS RATES'!E86-'FedEx Rates'!E85)/('UPS RATES'!E86)</f>
        <v>0.23873390557939919</v>
      </c>
      <c r="F86" s="11">
        <f>SUM('UPS RATES'!F86-'FedEx Rates'!F85)/('UPS RATES'!F86)</f>
        <v>0.23882812499999995</v>
      </c>
      <c r="G86" s="11">
        <f>SUM('UPS RATES'!G86-'FedEx Rates'!G85)/('UPS RATES'!G86)</f>
        <v>0.24639531390808053</v>
      </c>
      <c r="H86" s="11">
        <f>SUM('UPS RATES'!H86-'FedEx Rates'!H85)/('UPS RATES'!H86)</f>
        <v>0.24628184361655125</v>
      </c>
      <c r="I86" s="11">
        <f>SUM('UPS RATES'!I86-'FedEx Rates'!I85)/('UPS RATES'!I86)</f>
        <v>0.28488902401945881</v>
      </c>
      <c r="J86" s="11">
        <f>SUM('UPS RATES'!J86-'FedEx Rates'!J85)/('UPS RATES'!J86)</f>
        <v>0.30770980213782118</v>
      </c>
      <c r="K86" s="11">
        <f>SUM('UPS RATES'!K86-'FedEx Rates'!K85)/('UPS RATES'!K86)</f>
        <v>0.30368805224740686</v>
      </c>
      <c r="L86" s="11">
        <f>SUM('UPS RATES'!L86-'FedEx Rates'!L85)/('UPS RATES'!L86)</f>
        <v>0.32594720284502804</v>
      </c>
      <c r="M86" s="11">
        <f>SUM('UPS RATES'!M86-'FedEx Rates'!M85)/('UPS RATES'!M86)</f>
        <v>0.37956615644661473</v>
      </c>
      <c r="N86" s="11">
        <f>SUM('UPS RATES'!N86-'FedEx Rates'!N85)/('UPS RATES'!N86)</f>
        <v>0.3650422875553766</v>
      </c>
      <c r="O86" s="11">
        <f>SUM('UPS RATES'!O86-'FedEx Rates'!O85)/('UPS RATES'!O86)</f>
        <v>0.3590817210511118</v>
      </c>
      <c r="P86" s="11">
        <f>SUM('UPS RATES'!P86-'FedEx Rates'!P85)/('UPS RATES'!P86)</f>
        <v>0.21596244131455408</v>
      </c>
      <c r="Q86" s="11">
        <f>SUM('UPS RATES'!Q86-'FedEx Rates'!Q85)/('UPS RATES'!Q86)</f>
        <v>0.21606648199445982</v>
      </c>
      <c r="R86" s="11">
        <f>SUM('UPS RATES'!R86-'FedEx Rates'!R85)/('UPS RATES'!R86)</f>
        <v>0.21589018302828611</v>
      </c>
      <c r="S86" s="11">
        <f>SUM('UPS RATES'!S86-'FedEx Rates'!S85)/('UPS RATES'!S86)</f>
        <v>0.21527272727272734</v>
      </c>
      <c r="T86" s="11">
        <f>SUM('UPS RATES'!T86-'FedEx Rates'!T85)/('UPS RATES'!T86)</f>
        <v>0.21530087692772909</v>
      </c>
      <c r="U86" s="11">
        <f>SUM('UPS RATES'!U86-'FedEx Rates'!U85)/('UPS RATES'!U86)</f>
        <v>0.2152616653776746</v>
      </c>
      <c r="V86" s="11">
        <f>SUM('UPS RATES'!V86-'FedEx Rates'!V85)/('UPS RATES'!V86)</f>
        <v>0.2154268597104344</v>
      </c>
      <c r="W86" s="11">
        <f>SUM('UPS RATES'!W86-'FedEx Rates'!W85)/('UPS RATES'!W86)</f>
        <v>0.52382048331415421</v>
      </c>
      <c r="X86" s="11">
        <f>SUM('UPS RATES'!X86-'FedEx Rates'!X85)/('UPS RATES'!X86)</f>
        <v>0.52375601926163717</v>
      </c>
      <c r="Y86" s="11">
        <f>SUM('UPS RATES'!Y86-'FedEx Rates'!Y85)/('UPS RATES'!Y86)</f>
        <v>0.51886792452830188</v>
      </c>
      <c r="Z86" s="11">
        <f>SUM('UPS RATES'!Z86-'FedEx Rates'!Z85)/('UPS RATES'!Z86)</f>
        <v>0.51892339544513455</v>
      </c>
      <c r="AA86" s="11">
        <f>SUM('UPS RATES'!AA86-'FedEx Rates'!AA85)/('UPS RATES'!AA86)</f>
        <v>0.51884269389739857</v>
      </c>
      <c r="AB86" s="11">
        <f>SUM('UPS RATES'!AB86-'FedEx Rates'!AB85)/('UPS RATES'!AB86)</f>
        <v>0.52357570943750453</v>
      </c>
      <c r="AC86" s="11">
        <f>SUM('UPS RATES'!AC86-'FedEx Rates'!AC85)/('UPS RATES'!AC86)</f>
        <v>0.51976594833737688</v>
      </c>
    </row>
    <row r="87" spans="1:29" x14ac:dyDescent="0.25">
      <c r="A87">
        <v>85</v>
      </c>
      <c r="B87" s="11">
        <f>SUM('UPS RATES'!B87-'FedEx Rates'!B86)/('UPS RATES'!B87)</f>
        <v>0.23875241512558651</v>
      </c>
      <c r="C87" s="11">
        <f>SUM('UPS RATES'!C87-'FedEx Rates'!C86)/('UPS RATES'!C87)</f>
        <v>0.23873441994247357</v>
      </c>
      <c r="D87" s="11">
        <f>SUM('UPS RATES'!D87-'FedEx Rates'!D86)/('UPS RATES'!D87)</f>
        <v>0.23893458676067375</v>
      </c>
      <c r="E87" s="11">
        <f>SUM('UPS RATES'!E87-'FedEx Rates'!E86)/('UPS RATES'!E87)</f>
        <v>0.23888674139930421</v>
      </c>
      <c r="F87" s="11">
        <f>SUM('UPS RATES'!F87-'FedEx Rates'!F86)/('UPS RATES'!F87)</f>
        <v>0.23884903306300692</v>
      </c>
      <c r="G87" s="11">
        <f>SUM('UPS RATES'!G87-'FedEx Rates'!G86)/('UPS RATES'!G87)</f>
        <v>0.24628879892037783</v>
      </c>
      <c r="H87" s="11">
        <f>SUM('UPS RATES'!H87-'FedEx Rates'!H86)/('UPS RATES'!H87)</f>
        <v>0.24630650496141127</v>
      </c>
      <c r="I87" s="11">
        <f>SUM('UPS RATES'!I87-'FedEx Rates'!I86)/('UPS RATES'!I87)</f>
        <v>0.28299031476997571</v>
      </c>
      <c r="J87" s="11">
        <f>SUM('UPS RATES'!J87-'FedEx Rates'!J86)/('UPS RATES'!J87)</f>
        <v>0.29211184360081838</v>
      </c>
      <c r="K87" s="11">
        <f>SUM('UPS RATES'!K87-'FedEx Rates'!K86)/('UPS RATES'!K87)</f>
        <v>0.27753554502369671</v>
      </c>
      <c r="L87" s="11">
        <f>SUM('UPS RATES'!L87-'FedEx Rates'!L86)/('UPS RATES'!L87)</f>
        <v>0.31664882226980723</v>
      </c>
      <c r="M87" s="11">
        <f>SUM('UPS RATES'!M87-'FedEx Rates'!M86)/('UPS RATES'!M87)</f>
        <v>0.39714311709580558</v>
      </c>
      <c r="N87" s="11">
        <f>SUM('UPS RATES'!N87-'FedEx Rates'!N86)/('UPS RATES'!N87)</f>
        <v>0.38004079711281968</v>
      </c>
      <c r="O87" s="11">
        <f>SUM('UPS RATES'!O87-'FedEx Rates'!O86)/('UPS RATES'!O87)</f>
        <v>0.34530072515285082</v>
      </c>
      <c r="P87" s="11">
        <f>SUM('UPS RATES'!P87-'FedEx Rates'!P86)/('UPS RATES'!P87)</f>
        <v>0.21584560690705951</v>
      </c>
      <c r="Q87" s="11">
        <f>SUM('UPS RATES'!Q87-'FedEx Rates'!Q86)/('UPS RATES'!Q87)</f>
        <v>0.21570438799076205</v>
      </c>
      <c r="R87" s="11">
        <f>SUM('UPS RATES'!R87-'FedEx Rates'!R86)/('UPS RATES'!R87)</f>
        <v>0.21571072319201987</v>
      </c>
      <c r="S87" s="11">
        <f>SUM('UPS RATES'!S87-'FedEx Rates'!S86)/('UPS RATES'!S87)</f>
        <v>0.21510379384395137</v>
      </c>
      <c r="T87" s="11">
        <f>SUM('UPS RATES'!T87-'FedEx Rates'!T86)/('UPS RATES'!T87)</f>
        <v>0.2152088969041179</v>
      </c>
      <c r="U87" s="11">
        <f>SUM('UPS RATES'!U87-'FedEx Rates'!U86)/('UPS RATES'!U87)</f>
        <v>0.21505102040816335</v>
      </c>
      <c r="V87" s="11">
        <f>SUM('UPS RATES'!V87-'FedEx Rates'!V86)/('UPS RATES'!V87)</f>
        <v>0.21536181773277357</v>
      </c>
      <c r="W87" s="11">
        <f>SUM('UPS RATES'!W87-'FedEx Rates'!W86)/('UPS RATES'!W87)</f>
        <v>0.52372220948888382</v>
      </c>
      <c r="X87" s="11">
        <f>SUM('UPS RATES'!X87-'FedEx Rates'!X86)/('UPS RATES'!X87)</f>
        <v>0.52352752880921882</v>
      </c>
      <c r="Y87" s="11">
        <f>SUM('UPS RATES'!Y87-'FedEx Rates'!Y86)/('UPS RATES'!Y87)</f>
        <v>0.51888464049239946</v>
      </c>
      <c r="Z87" s="11">
        <f>SUM('UPS RATES'!Z87-'FedEx Rates'!Z86)/('UPS RATES'!Z87)</f>
        <v>0.51889522864467053</v>
      </c>
      <c r="AA87" s="11">
        <f>SUM('UPS RATES'!AA87-'FedEx Rates'!AA86)/('UPS RATES'!AA87)</f>
        <v>0.51885723535124639</v>
      </c>
      <c r="AB87" s="11">
        <f>SUM('UPS RATES'!AB87-'FedEx Rates'!AB86)/('UPS RATES'!AB87)</f>
        <v>0.52270594180925567</v>
      </c>
      <c r="AC87" s="11">
        <f>SUM('UPS RATES'!AC87-'FedEx Rates'!AC86)/('UPS RATES'!AC87)</f>
        <v>0.5199345009255304</v>
      </c>
    </row>
    <row r="88" spans="1:29" x14ac:dyDescent="0.25">
      <c r="A88">
        <v>86</v>
      </c>
      <c r="B88" s="11">
        <f>SUM('UPS RATES'!B88-'FedEx Rates'!B87)/('UPS RATES'!B88)</f>
        <v>0.23882643268439807</v>
      </c>
      <c r="C88" s="11">
        <f>SUM('UPS RATES'!C88-'FedEx Rates'!C87)/('UPS RATES'!C88)</f>
        <v>0.2387816786793768</v>
      </c>
      <c r="D88" s="11">
        <f>SUM('UPS RATES'!D88-'FedEx Rates'!D87)/('UPS RATES'!D88)</f>
        <v>0.23874488403819918</v>
      </c>
      <c r="E88" s="11">
        <f>SUM('UPS RATES'!E88-'FedEx Rates'!E87)/('UPS RATES'!E88)</f>
        <v>0.23873700423565647</v>
      </c>
      <c r="F88" s="11">
        <f>SUM('UPS RATES'!F88-'FedEx Rates'!F87)/('UPS RATES'!F88)</f>
        <v>0.23881061726473102</v>
      </c>
      <c r="G88" s="11">
        <f>SUM('UPS RATES'!G88-'FedEx Rates'!G87)/('UPS RATES'!G88)</f>
        <v>0.24635077475858969</v>
      </c>
      <c r="H88" s="11">
        <f>SUM('UPS RATES'!H88-'FedEx Rates'!H87)/('UPS RATES'!H88)</f>
        <v>0.24642254347985623</v>
      </c>
      <c r="I88" s="11">
        <f>SUM('UPS RATES'!I88-'FedEx Rates'!I87)/('UPS RATES'!I88)</f>
        <v>0.30949623624782857</v>
      </c>
      <c r="J88" s="11">
        <f>SUM('UPS RATES'!J88-'FedEx Rates'!J87)/('UPS RATES'!J88)</f>
        <v>0.2963709677419355</v>
      </c>
      <c r="K88" s="11">
        <f>SUM('UPS RATES'!K88-'FedEx Rates'!K87)/('UPS RATES'!K88)</f>
        <v>0.2893466963622866</v>
      </c>
      <c r="L88" s="11">
        <f>SUM('UPS RATES'!L88-'FedEx Rates'!L87)/('UPS RATES'!L88)</f>
        <v>0.32033943251127028</v>
      </c>
      <c r="M88" s="11">
        <f>SUM('UPS RATES'!M88-'FedEx Rates'!M87)/('UPS RATES'!M88)</f>
        <v>0.4041065184255358</v>
      </c>
      <c r="N88" s="11">
        <f>SUM('UPS RATES'!N88-'FedEx Rates'!N87)/('UPS RATES'!N88)</f>
        <v>0.3845855022919743</v>
      </c>
      <c r="O88" s="11">
        <f>SUM('UPS RATES'!O88-'FedEx Rates'!O87)/('UPS RATES'!O88)</f>
        <v>0.35121095121095114</v>
      </c>
      <c r="P88" s="11">
        <f>SUM('UPS RATES'!P88-'FedEx Rates'!P87)/('UPS RATES'!P88)</f>
        <v>0.21568627450980388</v>
      </c>
      <c r="Q88" s="11">
        <f>SUM('UPS RATES'!Q88-'FedEx Rates'!Q87)/('UPS RATES'!Q88)</f>
        <v>0.21609798775153097</v>
      </c>
      <c r="R88" s="11">
        <f>SUM('UPS RATES'!R88-'FedEx Rates'!R87)/('UPS RATES'!R88)</f>
        <v>0.21599999999999994</v>
      </c>
      <c r="S88" s="11">
        <f>SUM('UPS RATES'!S88-'FedEx Rates'!S87)/('UPS RATES'!S88)</f>
        <v>0.21531436599929749</v>
      </c>
      <c r="T88" s="11">
        <f>SUM('UPS RATES'!T88-'FedEx Rates'!T87)/('UPS RATES'!T88)</f>
        <v>0.21535745807590467</v>
      </c>
      <c r="U88" s="11">
        <f>SUM('UPS RATES'!U88-'FedEx Rates'!U87)/('UPS RATES'!U88)</f>
        <v>0.21533118332919879</v>
      </c>
      <c r="V88" s="11">
        <f>SUM('UPS RATES'!V88-'FedEx Rates'!V87)/('UPS RATES'!V88)</f>
        <v>0.21543254253534616</v>
      </c>
      <c r="W88" s="11">
        <f>SUM('UPS RATES'!W88-'FedEx Rates'!W87)/('UPS RATES'!W88)</f>
        <v>0.51876234364713625</v>
      </c>
      <c r="X88" s="11">
        <f>SUM('UPS RATES'!X88-'FedEx Rates'!X87)/('UPS RATES'!X88)</f>
        <v>0.51927227875423987</v>
      </c>
      <c r="Y88" s="11">
        <f>SUM('UPS RATES'!Y88-'FedEx Rates'!Y87)/('UPS RATES'!Y88)</f>
        <v>0.5188766970429608</v>
      </c>
      <c r="Z88" s="11">
        <f>SUM('UPS RATES'!Z88-'FedEx Rates'!Z87)/('UPS RATES'!Z88)</f>
        <v>0.52315230706410776</v>
      </c>
      <c r="AA88" s="11">
        <f>SUM('UPS RATES'!AA88-'FedEx Rates'!AA87)/('UPS RATES'!AA88)</f>
        <v>0.51886258986994105</v>
      </c>
      <c r="AB88" s="11">
        <f>SUM('UPS RATES'!AB88-'FedEx Rates'!AB87)/('UPS RATES'!AB88)</f>
        <v>0.52364159769701324</v>
      </c>
      <c r="AC88" s="11">
        <f>SUM('UPS RATES'!AC88-'FedEx Rates'!AC87)/('UPS RATES'!AC88)</f>
        <v>0.51998009101251419</v>
      </c>
    </row>
    <row r="89" spans="1:29" x14ac:dyDescent="0.25">
      <c r="A89">
        <v>87</v>
      </c>
      <c r="B89" s="11">
        <f>SUM('UPS RATES'!B89-'FedEx Rates'!B88)/('UPS RATES'!B89)</f>
        <v>0.23896457765667581</v>
      </c>
      <c r="C89" s="11">
        <f>SUM('UPS RATES'!C89-'FedEx Rates'!C88)/('UPS RATES'!C89)</f>
        <v>0.24396967608545841</v>
      </c>
      <c r="D89" s="11">
        <f>SUM('UPS RATES'!D89-'FedEx Rates'!D88)/('UPS RATES'!D89)</f>
        <v>0.2386495925494761</v>
      </c>
      <c r="E89" s="11">
        <f>SUM('UPS RATES'!E89-'FedEx Rates'!E88)/('UPS RATES'!E89)</f>
        <v>0.23877159309021118</v>
      </c>
      <c r="F89" s="11">
        <f>SUM('UPS RATES'!F89-'FedEx Rates'!F88)/('UPS RATES'!F89)</f>
        <v>0.23885003885003883</v>
      </c>
      <c r="G89" s="11">
        <f>SUM('UPS RATES'!G89-'FedEx Rates'!G88)/('UPS RATES'!G89)</f>
        <v>0.24633801769648306</v>
      </c>
      <c r="H89" s="11">
        <f>SUM('UPS RATES'!H89-'FedEx Rates'!H88)/('UPS RATES'!H89)</f>
        <v>0.24631870535063424</v>
      </c>
      <c r="I89" s="11">
        <f>SUM('UPS RATES'!I89-'FedEx Rates'!I88)/('UPS RATES'!I89)</f>
        <v>0.31253577561534057</v>
      </c>
      <c r="J89" s="11">
        <f>SUM('UPS RATES'!J89-'FedEx Rates'!J88)/('UPS RATES'!J89)</f>
        <v>0.30323974082073435</v>
      </c>
      <c r="K89" s="11">
        <f>SUM('UPS RATES'!K89-'FedEx Rates'!K88)/('UPS RATES'!K89)</f>
        <v>0.29503390141103175</v>
      </c>
      <c r="L89" s="11">
        <f>SUM('UPS RATES'!L89-'FedEx Rates'!L88)/('UPS RATES'!L89)</f>
        <v>0.32293722858270818</v>
      </c>
      <c r="M89" s="11">
        <f>SUM('UPS RATES'!M89-'FedEx Rates'!M88)/('UPS RATES'!M89)</f>
        <v>0.40512317029632272</v>
      </c>
      <c r="N89" s="11">
        <f>SUM('UPS RATES'!N89-'FedEx Rates'!N88)/('UPS RATES'!N89)</f>
        <v>0.39306885544915648</v>
      </c>
      <c r="O89" s="11">
        <f>SUM('UPS RATES'!O89-'FedEx Rates'!O88)/('UPS RATES'!O89)</f>
        <v>0.35654770170809613</v>
      </c>
      <c r="P89" s="11">
        <f>SUM('UPS RATES'!P89-'FedEx Rates'!P88)/('UPS RATES'!P89)</f>
        <v>0.21565802113352556</v>
      </c>
      <c r="Q89" s="11">
        <f>SUM('UPS RATES'!Q89-'FedEx Rates'!Q88)/('UPS RATES'!Q89)</f>
        <v>0.21566054243219596</v>
      </c>
      <c r="R89" s="11">
        <f>SUM('UPS RATES'!R89-'FedEx Rates'!R88)/('UPS RATES'!R89)</f>
        <v>0.21560000000000001</v>
      </c>
      <c r="S89" s="11">
        <f>SUM('UPS RATES'!S89-'FedEx Rates'!S88)/('UPS RATES'!S89)</f>
        <v>0.21523876404494377</v>
      </c>
      <c r="T89" s="11">
        <f>SUM('UPS RATES'!T89-'FedEx Rates'!T88)/('UPS RATES'!T89)</f>
        <v>0.21521928550682545</v>
      </c>
      <c r="U89" s="11">
        <f>SUM('UPS RATES'!U89-'FedEx Rates'!U88)/('UPS RATES'!U89)</f>
        <v>0.215365551425031</v>
      </c>
      <c r="V89" s="11">
        <f>SUM('UPS RATES'!V89-'FedEx Rates'!V88)/('UPS RATES'!V89)</f>
        <v>0.2151232352237378</v>
      </c>
      <c r="W89" s="11">
        <f>SUM('UPS RATES'!W89-'FedEx Rates'!W88)/('UPS RATES'!W89)</f>
        <v>0.51888234010041479</v>
      </c>
      <c r="X89" s="11">
        <f>SUM('UPS RATES'!X89-'FedEx Rates'!X88)/('UPS RATES'!X89)</f>
        <v>0.51897372868336145</v>
      </c>
      <c r="Y89" s="11">
        <f>SUM('UPS RATES'!Y89-'FedEx Rates'!Y88)/('UPS RATES'!Y89)</f>
        <v>0.5188509874326751</v>
      </c>
      <c r="Z89" s="11">
        <f>SUM('UPS RATES'!Z89-'FedEx Rates'!Z88)/('UPS RATES'!Z89)</f>
        <v>0.52344194360932794</v>
      </c>
      <c r="AA89" s="11">
        <f>SUM('UPS RATES'!AA89-'FedEx Rates'!AA88)/('UPS RATES'!AA89)</f>
        <v>0.51881936625382019</v>
      </c>
      <c r="AB89" s="11">
        <f>SUM('UPS RATES'!AB89-'FedEx Rates'!AB88)/('UPS RATES'!AB89)</f>
        <v>0.5236760796148594</v>
      </c>
      <c r="AC89" s="11">
        <f>SUM('UPS RATES'!AC89-'FedEx Rates'!AC88)/('UPS RATES'!AC89)</f>
        <v>0.52001987789294335</v>
      </c>
    </row>
    <row r="90" spans="1:29" x14ac:dyDescent="0.25">
      <c r="A90">
        <v>88</v>
      </c>
      <c r="B90" s="11">
        <f>SUM('UPS RATES'!B90-'FedEx Rates'!B89)/('UPS RATES'!B90)</f>
        <v>0.23910100189547789</v>
      </c>
      <c r="C90" s="11">
        <f>SUM('UPS RATES'!C90-'FedEx Rates'!C89)/('UPS RATES'!C90)</f>
        <v>0.24606971975393022</v>
      </c>
      <c r="D90" s="11">
        <f>SUM('UPS RATES'!D90-'FedEx Rates'!D89)/('UPS RATES'!D90)</f>
        <v>0.2389414718949199</v>
      </c>
      <c r="E90" s="11">
        <f>SUM('UPS RATES'!E90-'FedEx Rates'!E89)/('UPS RATES'!E90)</f>
        <v>0.23867840285750735</v>
      </c>
      <c r="F90" s="11">
        <f>SUM('UPS RATES'!F90-'FedEx Rates'!F89)/('UPS RATES'!F90)</f>
        <v>0.23879323716457262</v>
      </c>
      <c r="G90" s="11">
        <f>SUM('UPS RATES'!G90-'FedEx Rates'!G89)/('UPS RATES'!G90)</f>
        <v>0.24629233380063451</v>
      </c>
      <c r="H90" s="11">
        <f>SUM('UPS RATES'!H90-'FedEx Rates'!H89)/('UPS RATES'!H90)</f>
        <v>0.24629294755877032</v>
      </c>
      <c r="I90" s="11">
        <f>SUM('UPS RATES'!I90-'FedEx Rates'!I89)/('UPS RATES'!I90)</f>
        <v>0.30826422647983981</v>
      </c>
      <c r="J90" s="11">
        <f>SUM('UPS RATES'!J90-'FedEx Rates'!J89)/('UPS RATES'!J90)</f>
        <v>0.30890498508734554</v>
      </c>
      <c r="K90" s="11">
        <f>SUM('UPS RATES'!K90-'FedEx Rates'!K89)/('UPS RATES'!K90)</f>
        <v>0.29579004920721702</v>
      </c>
      <c r="L90" s="11">
        <f>SUM('UPS RATES'!L90-'FedEx Rates'!L89)/('UPS RATES'!L90)</f>
        <v>0.3297416590938595</v>
      </c>
      <c r="M90" s="11">
        <f>SUM('UPS RATES'!M90-'FedEx Rates'!M89)/('UPS RATES'!M90)</f>
        <v>0.40395933654360616</v>
      </c>
      <c r="N90" s="11">
        <f>SUM('UPS RATES'!N90-'FedEx Rates'!N89)/('UPS RATES'!N90)</f>
        <v>0.39197812215132166</v>
      </c>
      <c r="O90" s="11">
        <f>SUM('UPS RATES'!O90-'FedEx Rates'!O89)/('UPS RATES'!O90)</f>
        <v>0.36150460734424422</v>
      </c>
      <c r="P90" s="11">
        <f>SUM('UPS RATES'!P90-'FedEx Rates'!P89)/('UPS RATES'!P90)</f>
        <v>0.21576763485477177</v>
      </c>
      <c r="Q90" s="11">
        <f>SUM('UPS RATES'!Q90-'FedEx Rates'!Q89)/('UPS RATES'!Q90)</f>
        <v>0.21599657827202742</v>
      </c>
      <c r="R90" s="11">
        <f>SUM('UPS RATES'!R90-'FedEx Rates'!R89)/('UPS RATES'!R90)</f>
        <v>0.21597518417991471</v>
      </c>
      <c r="S90" s="11">
        <f>SUM('UPS RATES'!S90-'FedEx Rates'!S89)/('UPS RATES'!S90)</f>
        <v>0.21503912895542701</v>
      </c>
      <c r="T90" s="11">
        <f>SUM('UPS RATES'!T90-'FedEx Rates'!T89)/('UPS RATES'!T90)</f>
        <v>0.21527777777777779</v>
      </c>
      <c r="U90" s="11">
        <f>SUM('UPS RATES'!U90-'FedEx Rates'!U89)/('UPS RATES'!U90)</f>
        <v>0.21539985144837828</v>
      </c>
      <c r="V90" s="11">
        <f>SUM('UPS RATES'!V90-'FedEx Rates'!V89)/('UPS RATES'!V90)</f>
        <v>0.21514792899408292</v>
      </c>
      <c r="W90" s="11">
        <f>SUM('UPS RATES'!W90-'FedEx Rates'!W89)/('UPS RATES'!W90)</f>
        <v>0.51880843661665588</v>
      </c>
      <c r="X90" s="11">
        <f>SUM('UPS RATES'!X90-'FedEx Rates'!X89)/('UPS RATES'!X90)</f>
        <v>0.51893300628545158</v>
      </c>
      <c r="Y90" s="11">
        <f>SUM('UPS RATES'!Y90-'FedEx Rates'!Y89)/('UPS RATES'!Y90)</f>
        <v>0.51878690284487383</v>
      </c>
      <c r="Z90" s="11">
        <f>SUM('UPS RATES'!Z90-'FedEx Rates'!Z89)/('UPS RATES'!Z90)</f>
        <v>0.52304446608244071</v>
      </c>
      <c r="AA90" s="11">
        <f>SUM('UPS RATES'!AA90-'FedEx Rates'!AA89)/('UPS RATES'!AA90)</f>
        <v>0.51885127546927645</v>
      </c>
      <c r="AB90" s="11">
        <f>SUM('UPS RATES'!AB90-'FedEx Rates'!AB89)/('UPS RATES'!AB90)</f>
        <v>0.52362204724409445</v>
      </c>
      <c r="AC90" s="11">
        <f>SUM('UPS RATES'!AC90-'FedEx Rates'!AC89)/('UPS RATES'!AC90)</f>
        <v>0.5200254291163382</v>
      </c>
    </row>
    <row r="91" spans="1:29" x14ac:dyDescent="0.25">
      <c r="A91">
        <v>89</v>
      </c>
      <c r="B91" s="11">
        <f>SUM('UPS RATES'!B91-'FedEx Rates'!B90)/('UPS RATES'!B91)</f>
        <v>0.23876177658142658</v>
      </c>
      <c r="C91" s="11">
        <f>SUM('UPS RATES'!C91-'FedEx Rates'!C90)/('UPS RATES'!C91)</f>
        <v>0.24283113336367762</v>
      </c>
      <c r="D91" s="11">
        <f>SUM('UPS RATES'!D91-'FedEx Rates'!D90)/('UPS RATES'!D91)</f>
        <v>0.23884615384615387</v>
      </c>
      <c r="E91" s="11">
        <f>SUM('UPS RATES'!E91-'FedEx Rates'!E90)/('UPS RATES'!E91)</f>
        <v>0.23884013735215559</v>
      </c>
      <c r="F91" s="11">
        <f>SUM('UPS RATES'!F91-'FedEx Rates'!F90)/('UPS RATES'!F91)</f>
        <v>0.23879567915421743</v>
      </c>
      <c r="G91" s="11">
        <f>SUM('UPS RATES'!G91-'FedEx Rates'!G90)/('UPS RATES'!G91)</f>
        <v>0.24639068945197401</v>
      </c>
      <c r="H91" s="11">
        <f>SUM('UPS RATES'!H91-'FedEx Rates'!H90)/('UPS RATES'!H91)</f>
        <v>0.24631715771230495</v>
      </c>
      <c r="I91" s="11">
        <f>SUM('UPS RATES'!I91-'FedEx Rates'!I90)/('UPS RATES'!I91)</f>
        <v>0.3038010860245785</v>
      </c>
      <c r="J91" s="11">
        <f>SUM('UPS RATES'!J91-'FedEx Rates'!J90)/('UPS RATES'!J91)</f>
        <v>0.31520369592608144</v>
      </c>
      <c r="K91" s="11">
        <f>SUM('UPS RATES'!K91-'FedEx Rates'!K90)/('UPS RATES'!K91)</f>
        <v>0.29958491247067309</v>
      </c>
      <c r="L91" s="11">
        <f>SUM('UPS RATES'!L91-'FedEx Rates'!L90)/('UPS RATES'!L91)</f>
        <v>0.33410434335646355</v>
      </c>
      <c r="M91" s="11">
        <f>SUM('UPS RATES'!M91-'FedEx Rates'!M90)/('UPS RATES'!M91)</f>
        <v>0.41049762616493757</v>
      </c>
      <c r="N91" s="11">
        <f>SUM('UPS RATES'!N91-'FedEx Rates'!N90)/('UPS RATES'!N91)</f>
        <v>0.39812453113278323</v>
      </c>
      <c r="O91" s="11">
        <f>SUM('UPS RATES'!O91-'FedEx Rates'!O90)/('UPS RATES'!O91)</f>
        <v>0.36628065395095372</v>
      </c>
      <c r="P91" s="11">
        <f>SUM('UPS RATES'!P91-'FedEx Rates'!P90)/('UPS RATES'!P91)</f>
        <v>0.21579876434245368</v>
      </c>
      <c r="Q91" s="11">
        <f>SUM('UPS RATES'!Q91-'FedEx Rates'!Q90)/('UPS RATES'!Q91)</f>
        <v>0.21556387848522679</v>
      </c>
      <c r="R91" s="11">
        <f>SUM('UPS RATES'!R91-'FedEx Rates'!R90)/('UPS RATES'!R91)</f>
        <v>0.21626757886735073</v>
      </c>
      <c r="S91" s="11">
        <f>SUM('UPS RATES'!S91-'FedEx Rates'!S90)/('UPS RATES'!S91)</f>
        <v>0.21559322033898304</v>
      </c>
      <c r="T91" s="11">
        <f>SUM('UPS RATES'!T91-'FedEx Rates'!T90)/('UPS RATES'!T91)</f>
        <v>0.21523647691871994</v>
      </c>
      <c r="U91" s="11">
        <f>SUM('UPS RATES'!U91-'FedEx Rates'!U90)/('UPS RATES'!U91)</f>
        <v>0.21519607843137242</v>
      </c>
      <c r="V91" s="11">
        <f>SUM('UPS RATES'!V91-'FedEx Rates'!V90)/('UPS RATES'!V91)</f>
        <v>0.21534538711172924</v>
      </c>
      <c r="W91" s="11">
        <f>SUM('UPS RATES'!W91-'FedEx Rates'!W90)/('UPS RATES'!W91)</f>
        <v>0.51895170023824999</v>
      </c>
      <c r="X91" s="11">
        <f>SUM('UPS RATES'!X91-'FedEx Rates'!X90)/('UPS RATES'!X91)</f>
        <v>0.51889245831421138</v>
      </c>
      <c r="Y91" s="11">
        <f>SUM('UPS RATES'!Y91-'FedEx Rates'!Y90)/('UPS RATES'!Y91)</f>
        <v>0.51894492654008073</v>
      </c>
      <c r="Z91" s="11">
        <f>SUM('UPS RATES'!Z91-'FedEx Rates'!Z90)/('UPS RATES'!Z91)</f>
        <v>0.51890789267221082</v>
      </c>
      <c r="AA91" s="11">
        <f>SUM('UPS RATES'!AA91-'FedEx Rates'!AA90)/('UPS RATES'!AA91)</f>
        <v>0.51889457210474077</v>
      </c>
      <c r="AB91" s="11">
        <f>SUM('UPS RATES'!AB91-'FedEx Rates'!AB90)/('UPS RATES'!AB91)</f>
        <v>0.52059197749949782</v>
      </c>
      <c r="AC91" s="11">
        <f>SUM('UPS RATES'!AC91-'FedEx Rates'!AC90)/('UPS RATES'!AC91)</f>
        <v>0.52121445535656974</v>
      </c>
    </row>
    <row r="92" spans="1:29" x14ac:dyDescent="0.25">
      <c r="A92">
        <v>90</v>
      </c>
      <c r="B92" s="11">
        <f>SUM('UPS RATES'!B92-'FedEx Rates'!B91)/('UPS RATES'!B92)</f>
        <v>0.23883391281091199</v>
      </c>
      <c r="C92" s="11">
        <f>SUM('UPS RATES'!C92-'FedEx Rates'!C91)/('UPS RATES'!C92)</f>
        <v>0.23936291240045512</v>
      </c>
      <c r="D92" s="11">
        <f>SUM('UPS RATES'!D92-'FedEx Rates'!D91)/('UPS RATES'!D92)</f>
        <v>0.23875167528240474</v>
      </c>
      <c r="E92" s="11">
        <f>SUM('UPS RATES'!E92-'FedEx Rates'!E91)/('UPS RATES'!E92)</f>
        <v>0.23887409661468242</v>
      </c>
      <c r="F92" s="11">
        <f>SUM('UPS RATES'!F92-'FedEx Rates'!F91)/('UPS RATES'!F92)</f>
        <v>0.23883539313063909</v>
      </c>
      <c r="G92" s="11">
        <f>SUM('UPS RATES'!G92-'FedEx Rates'!G91)/('UPS RATES'!G92)</f>
        <v>0.24634164276785067</v>
      </c>
      <c r="H92" s="11">
        <f>SUM('UPS RATES'!H92-'FedEx Rates'!H91)/('UPS RATES'!H92)</f>
        <v>0.24634128757840099</v>
      </c>
      <c r="I92" s="11">
        <f>SUM('UPS RATES'!I92-'FedEx Rates'!I91)/('UPS RATES'!I92)</f>
        <v>0.29934304484433011</v>
      </c>
      <c r="J92" s="11">
        <f>SUM('UPS RATES'!J92-'FedEx Rates'!J91)/('UPS RATES'!J92)</f>
        <v>0.31977588711350896</v>
      </c>
      <c r="K92" s="11">
        <f>SUM('UPS RATES'!K92-'FedEx Rates'!K91)/('UPS RATES'!K92)</f>
        <v>0.30621328111091334</v>
      </c>
      <c r="L92" s="11">
        <f>SUM('UPS RATES'!L92-'FedEx Rates'!L91)/('UPS RATES'!L92)</f>
        <v>0.34043362495245338</v>
      </c>
      <c r="M92" s="11">
        <f>SUM('UPS RATES'!M92-'FedEx Rates'!M91)/('UPS RATES'!M92)</f>
        <v>0.41710024280263613</v>
      </c>
      <c r="N92" s="11">
        <f>SUM('UPS RATES'!N92-'FedEx Rates'!N91)/('UPS RATES'!N92)</f>
        <v>0.39902876354127753</v>
      </c>
      <c r="O92" s="11">
        <f>SUM('UPS RATES'!O92-'FedEx Rates'!O91)/('UPS RATES'!O92)</f>
        <v>0.37154416722859074</v>
      </c>
      <c r="P92" s="11">
        <f>SUM('UPS RATES'!P92-'FedEx Rates'!P91)/('UPS RATES'!P92)</f>
        <v>0.21556387848522679</v>
      </c>
      <c r="Q92" s="11">
        <f>SUM('UPS RATES'!Q92-'FedEx Rates'!Q91)/('UPS RATES'!Q92)</f>
        <v>0.21579577183885121</v>
      </c>
      <c r="R92" s="11">
        <f>SUM('UPS RATES'!R92-'FedEx Rates'!R91)/('UPS RATES'!R92)</f>
        <v>0.21524990879241149</v>
      </c>
      <c r="S92" s="11">
        <f>SUM('UPS RATES'!S92-'FedEx Rates'!S91)/('UPS RATES'!S92)</f>
        <v>0.21541501976284583</v>
      </c>
      <c r="T92" s="11">
        <f>SUM('UPS RATES'!T92-'FedEx Rates'!T91)/('UPS RATES'!T92)</f>
        <v>0.21552205471803459</v>
      </c>
      <c r="U92" s="11">
        <f>SUM('UPS RATES'!U92-'FedEx Rates'!U91)/('UPS RATES'!U92)</f>
        <v>0.21514135122184963</v>
      </c>
      <c r="V92" s="11">
        <f>SUM('UPS RATES'!V92-'FedEx Rates'!V91)/('UPS RATES'!V92)</f>
        <v>0.21527619913616727</v>
      </c>
      <c r="W92" s="11">
        <f>SUM('UPS RATES'!W92-'FedEx Rates'!W91)/('UPS RATES'!W92)</f>
        <v>0.51887810140237323</v>
      </c>
      <c r="X92" s="11">
        <f>SUM('UPS RATES'!X92-'FedEx Rates'!X91)/('UPS RATES'!X92)</f>
        <v>0.51892551892551897</v>
      </c>
      <c r="Y92" s="11">
        <f>SUM('UPS RATES'!Y92-'FedEx Rates'!Y91)/('UPS RATES'!Y92)</f>
        <v>0.51884033753864145</v>
      </c>
      <c r="Z92" s="11">
        <f>SUM('UPS RATES'!Z92-'FedEx Rates'!Z91)/('UPS RATES'!Z92)</f>
        <v>0.5188767550702027</v>
      </c>
      <c r="AA92" s="11">
        <f>SUM('UPS RATES'!AA92-'FedEx Rates'!AA91)/('UPS RATES'!AA92)</f>
        <v>0.51888712960868577</v>
      </c>
      <c r="AB92" s="11">
        <f>SUM('UPS RATES'!AB92-'FedEx Rates'!AB91)/('UPS RATES'!AB92)</f>
        <v>0.52232573080629618</v>
      </c>
      <c r="AC92" s="11">
        <f>SUM('UPS RATES'!AC92-'FedEx Rates'!AC91)/('UPS RATES'!AC92)</f>
        <v>0.52135567594809118</v>
      </c>
    </row>
    <row r="93" spans="1:29" x14ac:dyDescent="0.25">
      <c r="A93">
        <v>91</v>
      </c>
      <c r="B93" s="11">
        <f>SUM('UPS RATES'!B93-'FedEx Rates'!B92)/('UPS RATES'!B93)</f>
        <v>0.238702817650186</v>
      </c>
      <c r="C93" s="11">
        <f>SUM('UPS RATES'!C93-'FedEx Rates'!C92)/('UPS RATES'!C93)</f>
        <v>0.23867753623188406</v>
      </c>
      <c r="D93" s="11">
        <f>SUM('UPS RATES'!D93-'FedEx Rates'!D92)/('UPS RATES'!D93)</f>
        <v>0.2388486465878765</v>
      </c>
      <c r="E93" s="11">
        <f>SUM('UPS RATES'!E93-'FedEx Rates'!E92)/('UPS RATES'!E93)</f>
        <v>0.238811630847029</v>
      </c>
      <c r="F93" s="11">
        <f>SUM('UPS RATES'!F93-'FedEx Rates'!F92)/('UPS RATES'!F93)</f>
        <v>0.23887375113533152</v>
      </c>
      <c r="G93" s="11">
        <f>SUM('UPS RATES'!G93-'FedEx Rates'!G92)/('UPS RATES'!G93)</f>
        <v>0.2463108435504002</v>
      </c>
      <c r="H93" s="11">
        <f>SUM('UPS RATES'!H93-'FedEx Rates'!H92)/('UPS RATES'!H93)</f>
        <v>0.2463653375557795</v>
      </c>
      <c r="I93" s="11">
        <f>SUM('UPS RATES'!I93-'FedEx Rates'!I92)/('UPS RATES'!I93)</f>
        <v>0.32295823357275877</v>
      </c>
      <c r="J93" s="11">
        <f>SUM('UPS RATES'!J93-'FedEx Rates'!J92)/('UPS RATES'!J93)</f>
        <v>0.32103853286626827</v>
      </c>
      <c r="K93" s="11">
        <f>SUM('UPS RATES'!K93-'FedEx Rates'!K92)/('UPS RATES'!K93)</f>
        <v>0.30769230769230771</v>
      </c>
      <c r="L93" s="11">
        <f>SUM('UPS RATES'!L93-'FedEx Rates'!L92)/('UPS RATES'!L93)</f>
        <v>0.34397385949478437</v>
      </c>
      <c r="M93" s="11">
        <f>SUM('UPS RATES'!M93-'FedEx Rates'!M92)/('UPS RATES'!M93)</f>
        <v>0.41570598942532727</v>
      </c>
      <c r="N93" s="11">
        <f>SUM('UPS RATES'!N93-'FedEx Rates'!N92)/('UPS RATES'!N93)</f>
        <v>0.40068391317276242</v>
      </c>
      <c r="O93" s="11">
        <f>SUM('UPS RATES'!O93-'FedEx Rates'!O92)/('UPS RATES'!O93)</f>
        <v>0.38045641501923844</v>
      </c>
      <c r="P93" s="11">
        <f>SUM('UPS RATES'!P93-'FedEx Rates'!P92)/('UPS RATES'!P93)</f>
        <v>0.21514773200166465</v>
      </c>
      <c r="Q93" s="11">
        <f>SUM('UPS RATES'!Q93-'FedEx Rates'!Q92)/('UPS RATES'!Q93)</f>
        <v>0.21570972886762349</v>
      </c>
      <c r="R93" s="11">
        <f>SUM('UPS RATES'!R93-'FedEx Rates'!R92)/('UPS RATES'!R93)</f>
        <v>0.21517140773158286</v>
      </c>
      <c r="S93" s="11">
        <f>SUM('UPS RATES'!S93-'FedEx Rates'!S92)/('UPS RATES'!S93)</f>
        <v>0.21586048042119124</v>
      </c>
      <c r="T93" s="11">
        <f>SUM('UPS RATES'!T93-'FedEx Rates'!T92)/('UPS RATES'!T93)</f>
        <v>0.21568080357142866</v>
      </c>
      <c r="U93" s="11">
        <f>SUM('UPS RATES'!U93-'FedEx Rates'!U92)/('UPS RATES'!U93)</f>
        <v>0.21532934131736531</v>
      </c>
      <c r="V93" s="11">
        <f>SUM('UPS RATES'!V93-'FedEx Rates'!V92)/('UPS RATES'!V93)</f>
        <v>0.21527619913616727</v>
      </c>
      <c r="W93" s="11">
        <f>SUM('UPS RATES'!W93-'FedEx Rates'!W92)/('UPS RATES'!W93)</f>
        <v>0.51889222842421634</v>
      </c>
      <c r="X93" s="11">
        <f>SUM('UPS RATES'!X93-'FedEx Rates'!X92)/('UPS RATES'!X93)</f>
        <v>0.51888516600670109</v>
      </c>
      <c r="Y93" s="11">
        <f>SUM('UPS RATES'!Y93-'FedEx Rates'!Y92)/('UPS RATES'!Y93)</f>
        <v>0.51883019496750538</v>
      </c>
      <c r="Z93" s="11">
        <f>SUM('UPS RATES'!Z93-'FedEx Rates'!Z92)/('UPS RATES'!Z93)</f>
        <v>0.51889070655137504</v>
      </c>
      <c r="AA93" s="11">
        <f>SUM('UPS RATES'!AA93-'FedEx Rates'!AA92)/('UPS RATES'!AA93)</f>
        <v>0.51890060240963864</v>
      </c>
      <c r="AB93" s="11">
        <f>SUM('UPS RATES'!AB93-'FedEx Rates'!AB92)/('UPS RATES'!AB93)</f>
        <v>0.52245968773995399</v>
      </c>
      <c r="AC93" s="11">
        <f>SUM('UPS RATES'!AC93-'FedEx Rates'!AC92)/('UPS RATES'!AC93)</f>
        <v>0.52137826961770617</v>
      </c>
    </row>
    <row r="94" spans="1:29" x14ac:dyDescent="0.25">
      <c r="A94">
        <v>92</v>
      </c>
      <c r="B94" s="11">
        <f>SUM('UPS RATES'!B94-'FedEx Rates'!B93)/('UPS RATES'!B94)</f>
        <v>0.23883751651254961</v>
      </c>
      <c r="C94" s="11">
        <f>SUM('UPS RATES'!C94-'FedEx Rates'!C93)/('UPS RATES'!C94)</f>
        <v>0.23901779680108132</v>
      </c>
      <c r="D94" s="11">
        <f>SUM('UPS RATES'!D94-'FedEx Rates'!D93)/('UPS RATES'!D94)</f>
        <v>0.23894477130385267</v>
      </c>
      <c r="E94" s="11">
        <f>SUM('UPS RATES'!E94-'FedEx Rates'!E93)/('UPS RATES'!E94)</f>
        <v>0.23884547517015378</v>
      </c>
      <c r="F94" s="11">
        <f>SUM('UPS RATES'!F94-'FedEx Rates'!F93)/('UPS RATES'!F94)</f>
        <v>0.23883641858707971</v>
      </c>
      <c r="G94" s="11">
        <f>SUM('UPS RATES'!G94-'FedEx Rates'!G93)/('UPS RATES'!G94)</f>
        <v>0.2463534413252218</v>
      </c>
      <c r="H94" s="11">
        <f>SUM('UPS RATES'!H94-'FedEx Rates'!H93)/('UPS RATES'!H94)</f>
        <v>0.24631745347416822</v>
      </c>
      <c r="I94" s="11">
        <f>SUM('UPS RATES'!I94-'FedEx Rates'!I93)/('UPS RATES'!I94)</f>
        <v>0.32032908704883228</v>
      </c>
      <c r="J94" s="11">
        <f>SUM('UPS RATES'!J94-'FedEx Rates'!J93)/('UPS RATES'!J94)</f>
        <v>0.31795716639209232</v>
      </c>
      <c r="K94" s="11">
        <f>SUM('UPS RATES'!K94-'FedEx Rates'!K93)/('UPS RATES'!K94)</f>
        <v>0.31095530236634522</v>
      </c>
      <c r="L94" s="11">
        <f>SUM('UPS RATES'!L94-'FedEx Rates'!L93)/('UPS RATES'!L94)</f>
        <v>0.35003721161002238</v>
      </c>
      <c r="M94" s="11">
        <f>SUM('UPS RATES'!M94-'FedEx Rates'!M93)/('UPS RATES'!M94)</f>
        <v>0.4170043976890575</v>
      </c>
      <c r="N94" s="11">
        <f>SUM('UPS RATES'!N94-'FedEx Rates'!N93)/('UPS RATES'!N94)</f>
        <v>0.40131871388353824</v>
      </c>
      <c r="O94" s="11">
        <f>SUM('UPS RATES'!O94-'FedEx Rates'!O93)/('UPS RATES'!O94)</f>
        <v>0.38629508196721307</v>
      </c>
      <c r="P94" s="11">
        <f>SUM('UPS RATES'!P94-'FedEx Rates'!P93)/('UPS RATES'!P94)</f>
        <v>0.21498371335504876</v>
      </c>
      <c r="Q94" s="11">
        <f>SUM('UPS RATES'!Q94-'FedEx Rates'!Q93)/('UPS RATES'!Q94)</f>
        <v>0.21510478449980222</v>
      </c>
      <c r="R94" s="11">
        <f>SUM('UPS RATES'!R94-'FedEx Rates'!R93)/('UPS RATES'!R94)</f>
        <v>0.21516690856313497</v>
      </c>
      <c r="S94" s="11">
        <f>SUM('UPS RATES'!S94-'FedEx Rates'!S93)/('UPS RATES'!S94)</f>
        <v>0.21430904933028419</v>
      </c>
      <c r="T94" s="11">
        <f>SUM('UPS RATES'!T94-'FedEx Rates'!T93)/('UPS RATES'!T94)</f>
        <v>0.21430544048605363</v>
      </c>
      <c r="U94" s="11">
        <f>SUM('UPS RATES'!U94-'FedEx Rates'!U93)/('UPS RATES'!U94)</f>
        <v>0.21527777777777768</v>
      </c>
      <c r="V94" s="11">
        <f>SUM('UPS RATES'!V94-'FedEx Rates'!V93)/('UPS RATES'!V94)</f>
        <v>0.21420467438166549</v>
      </c>
      <c r="W94" s="11">
        <f>SUM('UPS RATES'!W94-'FedEx Rates'!W93)/('UPS RATES'!W94)</f>
        <v>0.51893858335116627</v>
      </c>
      <c r="X94" s="11">
        <f>SUM('UPS RATES'!X94-'FedEx Rates'!X93)/('UPS RATES'!X94)</f>
        <v>0.51891809755356333</v>
      </c>
      <c r="Y94" s="11">
        <f>SUM('UPS RATES'!Y94-'FedEx Rates'!Y93)/('UPS RATES'!Y94)</f>
        <v>0.51893151368894064</v>
      </c>
      <c r="Z94" s="11">
        <f>SUM('UPS RATES'!Z94-'FedEx Rates'!Z93)/('UPS RATES'!Z94)</f>
        <v>0.51894499338675792</v>
      </c>
      <c r="AA94" s="11">
        <f>SUM('UPS RATES'!AA94-'FedEx Rates'!AA93)/('UPS RATES'!AA94)</f>
        <v>0.51913102307750136</v>
      </c>
      <c r="AB94" s="11">
        <f>SUM('UPS RATES'!AB94-'FedEx Rates'!AB93)/('UPS RATES'!AB94)</f>
        <v>0.52249776300651929</v>
      </c>
      <c r="AC94" s="11">
        <f>SUM('UPS RATES'!AC94-'FedEx Rates'!AC93)/('UPS RATES'!AC94)</f>
        <v>0.5213841612761414</v>
      </c>
    </row>
    <row r="95" spans="1:29" x14ac:dyDescent="0.25">
      <c r="A95">
        <v>93</v>
      </c>
      <c r="B95" s="11">
        <f>SUM('UPS RATES'!B95-'FedEx Rates'!B94)/('UPS RATES'!B95)</f>
        <v>0.23870798319327732</v>
      </c>
      <c r="C95" s="11">
        <f>SUM('UPS RATES'!C95-'FedEx Rates'!C94)/('UPS RATES'!C95)</f>
        <v>0.23890632003585829</v>
      </c>
      <c r="D95" s="11">
        <f>SUM('UPS RATES'!D95-'FedEx Rates'!D94)/('UPS RATES'!D95)</f>
        <v>0.24423185143500287</v>
      </c>
      <c r="E95" s="11">
        <f>SUM('UPS RATES'!E95-'FedEx Rates'!E94)/('UPS RATES'!E95)</f>
        <v>0.23875345564212114</v>
      </c>
      <c r="F95" s="11">
        <f>SUM('UPS RATES'!F95-'FedEx Rates'!F94)/('UPS RATES'!F95)</f>
        <v>0.23878120521909643</v>
      </c>
      <c r="G95" s="11">
        <f>SUM('UPS RATES'!G95-'FedEx Rates'!G94)/('UPS RATES'!G95)</f>
        <v>0.24630469779013608</v>
      </c>
      <c r="H95" s="11">
        <f>SUM('UPS RATES'!H95-'FedEx Rates'!H94)/('UPS RATES'!H95)</f>
        <v>0.24628739507855649</v>
      </c>
      <c r="I95" s="11">
        <f>SUM('UPS RATES'!I95-'FedEx Rates'!I94)/('UPS RATES'!I95)</f>
        <v>0.31602649006622519</v>
      </c>
      <c r="J95" s="11">
        <f>SUM('UPS RATES'!J95-'FedEx Rates'!J94)/('UPS RATES'!J95)</f>
        <v>0.31453272951832034</v>
      </c>
      <c r="K95" s="11">
        <f>SUM('UPS RATES'!K95-'FedEx Rates'!K94)/('UPS RATES'!K95)</f>
        <v>0.31678200692041514</v>
      </c>
      <c r="L95" s="11">
        <f>SUM('UPS RATES'!L95-'FedEx Rates'!L94)/('UPS RATES'!L95)</f>
        <v>0.35226013055795041</v>
      </c>
      <c r="M95" s="11">
        <f>SUM('UPS RATES'!M95-'FedEx Rates'!M94)/('UPS RATES'!M95)</f>
        <v>0.41580489486384004</v>
      </c>
      <c r="N95" s="11">
        <f>SUM('UPS RATES'!N95-'FedEx Rates'!N94)/('UPS RATES'!N95)</f>
        <v>0.41592154600519182</v>
      </c>
      <c r="O95" s="11">
        <f>SUM('UPS RATES'!O95-'FedEx Rates'!O94)/('UPS RATES'!O95)</f>
        <v>0.39174990271111687</v>
      </c>
      <c r="P95" s="11">
        <f>SUM('UPS RATES'!P95-'FedEx Rates'!P94)/('UPS RATES'!P95)</f>
        <v>0.21566265060240955</v>
      </c>
      <c r="Q95" s="11">
        <f>SUM('UPS RATES'!Q95-'FedEx Rates'!Q94)/('UPS RATES'!Q95)</f>
        <v>0.21596244131455397</v>
      </c>
      <c r="R95" s="11">
        <f>SUM('UPS RATES'!R95-'FedEx Rates'!R94)/('UPS RATES'!R95)</f>
        <v>0.21593738882959801</v>
      </c>
      <c r="S95" s="11">
        <f>SUM('UPS RATES'!S95-'FedEx Rates'!S94)/('UPS RATES'!S95)</f>
        <v>0.21603128054740967</v>
      </c>
      <c r="T95" s="11">
        <f>SUM('UPS RATES'!T95-'FedEx Rates'!T94)/('UPS RATES'!T95)</f>
        <v>0.2158213891951489</v>
      </c>
      <c r="U95" s="11">
        <f>SUM('UPS RATES'!U95-'FedEx Rates'!U94)/('UPS RATES'!U95)</f>
        <v>0.21527777777777768</v>
      </c>
      <c r="V95" s="11">
        <f>SUM('UPS RATES'!V95-'FedEx Rates'!V94)/('UPS RATES'!V95)</f>
        <v>0.21527305687740764</v>
      </c>
      <c r="W95" s="11">
        <f>SUM('UPS RATES'!W95-'FedEx Rates'!W94)/('UPS RATES'!W95)</f>
        <v>0.51888201408150203</v>
      </c>
      <c r="X95" s="11">
        <f>SUM('UPS RATES'!X95-'FedEx Rates'!X94)/('UPS RATES'!X95)</f>
        <v>0.51887793783169067</v>
      </c>
      <c r="Y95" s="11">
        <f>SUM('UPS RATES'!Y95-'FedEx Rates'!Y94)/('UPS RATES'!Y95)</f>
        <v>0.51882636522317349</v>
      </c>
      <c r="Z95" s="11">
        <f>SUM('UPS RATES'!Z95-'FedEx Rates'!Z94)/('UPS RATES'!Z95)</f>
        <v>0.5189588189588189</v>
      </c>
      <c r="AA95" s="11">
        <f>SUM('UPS RATES'!AA95-'FedEx Rates'!AA94)/('UPS RATES'!AA95)</f>
        <v>0.5192192192192191</v>
      </c>
      <c r="AB95" s="11">
        <f>SUM('UPS RATES'!AB95-'FedEx Rates'!AB94)/('UPS RATES'!AB95)</f>
        <v>0.52237757773095828</v>
      </c>
      <c r="AC95" s="11">
        <f>SUM('UPS RATES'!AC95-'FedEx Rates'!AC94)/('UPS RATES'!AC95)</f>
        <v>0.52139003889097979</v>
      </c>
    </row>
    <row r="96" spans="1:29" x14ac:dyDescent="0.25">
      <c r="A96">
        <v>94</v>
      </c>
      <c r="B96" s="11">
        <f>SUM('UPS RATES'!B96-'FedEx Rates'!B95)/('UPS RATES'!B96)</f>
        <v>0.23884103367267037</v>
      </c>
      <c r="C96" s="11">
        <f>SUM('UPS RATES'!C96-'FedEx Rates'!C95)/('UPS RATES'!C96)</f>
        <v>0.2387959866220736</v>
      </c>
      <c r="D96" s="11">
        <f>SUM('UPS RATES'!D96-'FedEx Rates'!D95)/('UPS RATES'!D96)</f>
        <v>0.2414698162729659</v>
      </c>
      <c r="E96" s="11">
        <f>SUM('UPS RATES'!E96-'FedEx Rates'!E95)/('UPS RATES'!E96)</f>
        <v>0.2386918932464604</v>
      </c>
      <c r="F96" s="11">
        <f>SUM('UPS RATES'!F96-'FedEx Rates'!F95)/('UPS RATES'!F96)</f>
        <v>0.2387441650353862</v>
      </c>
      <c r="G96" s="11">
        <f>SUM('UPS RATES'!G96-'FedEx Rates'!G95)/('UPS RATES'!G96)</f>
        <v>0.24640222076119506</v>
      </c>
      <c r="H96" s="11">
        <f>SUM('UPS RATES'!H96-'FedEx Rates'!H95)/('UPS RATES'!H96)</f>
        <v>0.24636539425624859</v>
      </c>
      <c r="I96" s="11">
        <f>SUM('UPS RATES'!I96-'FedEx Rates'!I95)/('UPS RATES'!I96)</f>
        <v>0.31208674953715948</v>
      </c>
      <c r="J96" s="11">
        <f>SUM('UPS RATES'!J96-'FedEx Rates'!J95)/('UPS RATES'!J96)</f>
        <v>0.31188322368421056</v>
      </c>
      <c r="K96" s="11">
        <f>SUM('UPS RATES'!K96-'FedEx Rates'!K95)/('UPS RATES'!K96)</f>
        <v>0.32123908950881402</v>
      </c>
      <c r="L96" s="11">
        <f>SUM('UPS RATES'!L96-'FedEx Rates'!L95)/('UPS RATES'!L96)</f>
        <v>0.36463223787167443</v>
      </c>
      <c r="M96" s="11">
        <f>SUM('UPS RATES'!M96-'FedEx Rates'!M95)/('UPS RATES'!M96)</f>
        <v>0.42677683163308328</v>
      </c>
      <c r="N96" s="11">
        <f>SUM('UPS RATES'!N96-'FedEx Rates'!N95)/('UPS RATES'!N96)</f>
        <v>0.41771244173538896</v>
      </c>
      <c r="O96" s="11">
        <f>SUM('UPS RATES'!O96-'FedEx Rates'!O95)/('UPS RATES'!O96)</f>
        <v>0.3977192645268755</v>
      </c>
      <c r="P96" s="11">
        <f>SUM('UPS RATES'!P96-'FedEx Rates'!P95)/('UPS RATES'!P96)</f>
        <v>0.21582733812949634</v>
      </c>
      <c r="Q96" s="11">
        <f>SUM('UPS RATES'!Q96-'FedEx Rates'!Q95)/('UPS RATES'!Q96)</f>
        <v>0.21578345406023638</v>
      </c>
      <c r="R96" s="11">
        <f>SUM('UPS RATES'!R96-'FedEx Rates'!R95)/('UPS RATES'!R96)</f>
        <v>0.21565155807365441</v>
      </c>
      <c r="S96" s="11">
        <f>SUM('UPS RATES'!S96-'FedEx Rates'!S95)/('UPS RATES'!S96)</f>
        <v>0.21589446589446581</v>
      </c>
      <c r="T96" s="11">
        <f>SUM('UPS RATES'!T96-'FedEx Rates'!T95)/('UPS RATES'!T96)</f>
        <v>0.21592442645074217</v>
      </c>
      <c r="U96" s="11">
        <f>SUM('UPS RATES'!U96-'FedEx Rates'!U95)/('UPS RATES'!U96)</f>
        <v>0.21522623892745993</v>
      </c>
      <c r="V96" s="11">
        <f>SUM('UPS RATES'!V96-'FedEx Rates'!V95)/('UPS RATES'!V96)</f>
        <v>0.21511111111111111</v>
      </c>
      <c r="W96" s="11">
        <f>SUM('UPS RATES'!W96-'FedEx Rates'!W95)/('UPS RATES'!W96)</f>
        <v>0.51892811569544872</v>
      </c>
      <c r="X96" s="11">
        <f>SUM('UPS RATES'!X96-'FedEx Rates'!X95)/('UPS RATES'!X96)</f>
        <v>0.51891074130105896</v>
      </c>
      <c r="Y96" s="11">
        <f>SUM('UPS RATES'!Y96-'FedEx Rates'!Y95)/('UPS RATES'!Y96)</f>
        <v>0.51892744479495267</v>
      </c>
      <c r="Z96" s="11">
        <f>SUM('UPS RATES'!Z96-'FedEx Rates'!Z95)/('UPS RATES'!Z96)</f>
        <v>0.5188576749961199</v>
      </c>
      <c r="AA96" s="11">
        <f>SUM('UPS RATES'!AA96-'FedEx Rates'!AA95)/('UPS RATES'!AA96)</f>
        <v>0.51915723176126571</v>
      </c>
      <c r="AB96" s="11">
        <f>SUM('UPS RATES'!AB96-'FedEx Rates'!AB95)/('UPS RATES'!AB96)</f>
        <v>0.52253458277554665</v>
      </c>
      <c r="AC96" s="11">
        <f>SUM('UPS RATES'!AC96-'FedEx Rates'!AC95)/('UPS RATES'!AC96)</f>
        <v>0.521395902512374</v>
      </c>
    </row>
    <row r="97" spans="1:29" x14ac:dyDescent="0.25">
      <c r="A97">
        <v>95</v>
      </c>
      <c r="B97" s="11">
        <f>SUM('UPS RATES'!B97-'FedEx Rates'!B96)/('UPS RATES'!B97)</f>
        <v>0.23871302542812661</v>
      </c>
      <c r="C97" s="11">
        <f>SUM('UPS RATES'!C97-'FedEx Rates'!C96)/('UPS RATES'!C97)</f>
        <v>0.23868677905944982</v>
      </c>
      <c r="D97" s="11">
        <f>SUM('UPS RATES'!D97-'FedEx Rates'!D96)/('UPS RATES'!D97)</f>
        <v>0.2409413522599925</v>
      </c>
      <c r="E97" s="11">
        <f>SUM('UPS RATES'!E97-'FedEx Rates'!E96)/('UPS RATES'!E97)</f>
        <v>0.2388208843367475</v>
      </c>
      <c r="F97" s="11">
        <f>SUM('UPS RATES'!F97-'FedEx Rates'!F96)/('UPS RATES'!F97)</f>
        <v>0.23876003903024837</v>
      </c>
      <c r="G97" s="11">
        <f>SUM('UPS RATES'!G97-'FedEx Rates'!G96)/('UPS RATES'!G97)</f>
        <v>0.24627081824764657</v>
      </c>
      <c r="H97" s="11">
        <f>SUM('UPS RATES'!H97-'FedEx Rates'!H96)/('UPS RATES'!H97)</f>
        <v>0.24632640022715979</v>
      </c>
      <c r="I97" s="11">
        <f>SUM('UPS RATES'!I97-'FedEx Rates'!I96)/('UPS RATES'!I97)</f>
        <v>0.30700132100396305</v>
      </c>
      <c r="J97" s="11">
        <f>SUM('UPS RATES'!J97-'FedEx Rates'!J96)/('UPS RATES'!J97)</f>
        <v>0.31192472898343221</v>
      </c>
      <c r="K97" s="11">
        <f>SUM('UPS RATES'!K97-'FedEx Rates'!K96)/('UPS RATES'!K97)</f>
        <v>0.32267936076164566</v>
      </c>
      <c r="L97" s="11">
        <f>SUM('UPS RATES'!L97-'FedEx Rates'!L96)/('UPS RATES'!L97)</f>
        <v>0.37405482041587906</v>
      </c>
      <c r="M97" s="11">
        <f>SUM('UPS RATES'!M97-'FedEx Rates'!M96)/('UPS RATES'!M97)</f>
        <v>0.42932374822368974</v>
      </c>
      <c r="N97" s="11">
        <f>SUM('UPS RATES'!N97-'FedEx Rates'!N96)/('UPS RATES'!N97)</f>
        <v>0.42382840152909523</v>
      </c>
      <c r="O97" s="11">
        <f>SUM('UPS RATES'!O97-'FedEx Rates'!O96)/('UPS RATES'!O97)</f>
        <v>0.40305906535275982</v>
      </c>
      <c r="P97" s="11">
        <f>SUM('UPS RATES'!P97-'FedEx Rates'!P96)/('UPS RATES'!P97)</f>
        <v>0.21600315333070558</v>
      </c>
      <c r="Q97" s="11">
        <f>SUM('UPS RATES'!Q97-'FedEx Rates'!Q96)/('UPS RATES'!Q97)</f>
        <v>0.21609369097091044</v>
      </c>
      <c r="R97" s="11">
        <f>SUM('UPS RATES'!R97-'FedEx Rates'!R96)/('UPS RATES'!R97)</f>
        <v>0.2158931082981716</v>
      </c>
      <c r="S97" s="11">
        <f>SUM('UPS RATES'!S97-'FedEx Rates'!S96)/('UPS RATES'!S97)</f>
        <v>0.21587301587301588</v>
      </c>
      <c r="T97" s="11">
        <f>SUM('UPS RATES'!T97-'FedEx Rates'!T96)/('UPS RATES'!T97)</f>
        <v>0.21582346609257258</v>
      </c>
      <c r="U97" s="11">
        <f>SUM('UPS RATES'!U97-'FedEx Rates'!U96)/('UPS RATES'!U97)</f>
        <v>0.21522309711286081</v>
      </c>
      <c r="V97" s="11">
        <f>SUM('UPS RATES'!V97-'FedEx Rates'!V96)/('UPS RATES'!V97)</f>
        <v>0.21525945470536501</v>
      </c>
      <c r="W97" s="11">
        <f>SUM('UPS RATES'!W97-'FedEx Rates'!W96)/('UPS RATES'!W97)</f>
        <v>0.51887192536047488</v>
      </c>
      <c r="X97" s="11">
        <f>SUM('UPS RATES'!X97-'FedEx Rates'!X96)/('UPS RATES'!X97)</f>
        <v>0.51887077294685979</v>
      </c>
      <c r="Y97" s="11">
        <f>SUM('UPS RATES'!Y97-'FedEx Rates'!Y96)/('UPS RATES'!Y97)</f>
        <v>0.51890547263681586</v>
      </c>
      <c r="Z97" s="11">
        <f>SUM('UPS RATES'!Z97-'FedEx Rates'!Z96)/('UPS RATES'!Z97)</f>
        <v>0.5188381231219662</v>
      </c>
      <c r="AA97" s="11">
        <f>SUM('UPS RATES'!AA97-'FedEx Rates'!AA96)/('UPS RATES'!AA97)</f>
        <v>0.51920628977910899</v>
      </c>
      <c r="AB97" s="11">
        <f>SUM('UPS RATES'!AB97-'FedEx Rates'!AB96)/('UPS RATES'!AB97)</f>
        <v>0.52260570555272545</v>
      </c>
      <c r="AC97" s="11">
        <f>SUM('UPS RATES'!AC97-'FedEx Rates'!AC96)/('UPS RATES'!AC97)</f>
        <v>0.52133917396745943</v>
      </c>
    </row>
    <row r="98" spans="1:29" x14ac:dyDescent="0.25">
      <c r="A98">
        <v>96</v>
      </c>
      <c r="B98" s="11">
        <f>SUM('UPS RATES'!B98-'FedEx Rates'!B97)/('UPS RATES'!B98)</f>
        <v>0.23881360265916646</v>
      </c>
      <c r="C98" s="11">
        <f>SUM('UPS RATES'!C98-'FedEx Rates'!C97)/('UPS RATES'!C98)</f>
        <v>0.2389048355045264</v>
      </c>
      <c r="D98" s="11">
        <f>SUM('UPS RATES'!D98-'FedEx Rates'!D97)/('UPS RATES'!D98)</f>
        <v>0.23875432525951557</v>
      </c>
      <c r="E98" s="11">
        <f>SUM('UPS RATES'!E98-'FedEx Rates'!E97)/('UPS RATES'!E98)</f>
        <v>0.23873818583527673</v>
      </c>
      <c r="F98" s="11">
        <f>SUM('UPS RATES'!F98-'FedEx Rates'!F97)/('UPS RATES'!F98)</f>
        <v>0.2462945210530198</v>
      </c>
      <c r="G98" s="11">
        <f>SUM('UPS RATES'!G98-'FedEx Rates'!G97)/('UPS RATES'!G98)</f>
        <v>0.24629509144798672</v>
      </c>
      <c r="H98" s="11">
        <f>SUM('UPS RATES'!H98-'FedEx Rates'!H97)/('UPS RATES'!H98)</f>
        <v>0.24635010630758322</v>
      </c>
      <c r="I98" s="11">
        <f>SUM('UPS RATES'!I98-'FedEx Rates'!I97)/('UPS RATES'!I98)</f>
        <v>0.29264434484576857</v>
      </c>
      <c r="J98" s="11">
        <f>SUM('UPS RATES'!J98-'FedEx Rates'!J97)/('UPS RATES'!J98)</f>
        <v>0.31223285161815595</v>
      </c>
      <c r="K98" s="11">
        <f>SUM('UPS RATES'!K98-'FedEx Rates'!K97)/('UPS RATES'!K98)</f>
        <v>0.30353501019714491</v>
      </c>
      <c r="L98" s="11">
        <f>SUM('UPS RATES'!L98-'FedEx Rates'!L97)/('UPS RATES'!L98)</f>
        <v>0.38325020299269219</v>
      </c>
      <c r="M98" s="11">
        <f>SUM('UPS RATES'!M98-'FedEx Rates'!M97)/('UPS RATES'!M98)</f>
        <v>0.38848801526084425</v>
      </c>
      <c r="N98" s="11">
        <f>SUM('UPS RATES'!N98-'FedEx Rates'!N97)/('UPS RATES'!N98)</f>
        <v>0.42276940493879578</v>
      </c>
      <c r="O98" s="11">
        <f>SUM('UPS RATES'!O98-'FedEx Rates'!O97)/('UPS RATES'!O98)</f>
        <v>0.38422223558415008</v>
      </c>
      <c r="P98" s="11">
        <f>SUM('UPS RATES'!P98-'FedEx Rates'!P97)/('UPS RATES'!P98)</f>
        <v>0.21581359816653928</v>
      </c>
      <c r="Q98" s="11">
        <f>SUM('UPS RATES'!Q98-'FedEx Rates'!Q97)/('UPS RATES'!Q98)</f>
        <v>0.21584084084084085</v>
      </c>
      <c r="R98" s="11">
        <f>SUM('UPS RATES'!R98-'FedEx Rates'!R97)/('UPS RATES'!R98)</f>
        <v>0.21581269087207328</v>
      </c>
      <c r="S98" s="11">
        <f>SUM('UPS RATES'!S98-'FedEx Rates'!S97)/('UPS RATES'!S98)</f>
        <v>0.2160125588697018</v>
      </c>
      <c r="T98" s="11">
        <f>SUM('UPS RATES'!T98-'FedEx Rates'!T97)/('UPS RATES'!T98)</f>
        <v>0.21603443637341946</v>
      </c>
      <c r="U98" s="11">
        <f>SUM('UPS RATES'!U98-'FedEx Rates'!U97)/('UPS RATES'!U98)</f>
        <v>0.2151717557251909</v>
      </c>
      <c r="V98" s="11">
        <f>SUM('UPS RATES'!V98-'FedEx Rates'!V97)/('UPS RATES'!V98)</f>
        <v>0.21510994992379714</v>
      </c>
      <c r="W98" s="11">
        <f>SUM('UPS RATES'!W98-'FedEx Rates'!W97)/('UPS RATES'!W98)</f>
        <v>0.51881606765327692</v>
      </c>
      <c r="X98" s="11">
        <f>SUM('UPS RATES'!X98-'FedEx Rates'!X97)/('UPS RATES'!X98)</f>
        <v>0.52363907531692766</v>
      </c>
      <c r="Y98" s="11">
        <f>SUM('UPS RATES'!Y98-'FedEx Rates'!Y97)/('UPS RATES'!Y98)</f>
        <v>0.51888355143283083</v>
      </c>
      <c r="Z98" s="11">
        <f>SUM('UPS RATES'!Z98-'FedEx Rates'!Z97)/('UPS RATES'!Z98)</f>
        <v>0.51886720244929208</v>
      </c>
      <c r="AA98" s="11">
        <f>SUM('UPS RATES'!AA98-'FedEx Rates'!AA97)/('UPS RATES'!AA98)</f>
        <v>0.51928364420004458</v>
      </c>
      <c r="AB98" s="11">
        <f>SUM('UPS RATES'!AB98-'FedEx Rates'!AB97)/('UPS RATES'!AB98)</f>
        <v>0.52361305065380215</v>
      </c>
      <c r="AC98" s="11">
        <f>SUM('UPS RATES'!AC98-'FedEx Rates'!AC97)/('UPS RATES'!AC98)</f>
        <v>0.52141026442457961</v>
      </c>
    </row>
    <row r="99" spans="1:29" x14ac:dyDescent="0.25">
      <c r="A99">
        <v>97</v>
      </c>
      <c r="B99" s="11">
        <f>SUM('UPS RATES'!B99-'FedEx Rates'!B98)/('UPS RATES'!B99)</f>
        <v>0.2391249046044264</v>
      </c>
      <c r="C99" s="11">
        <f>SUM('UPS RATES'!C99-'FedEx Rates'!C98)/('UPS RATES'!C99)</f>
        <v>0.23869126043039082</v>
      </c>
      <c r="D99" s="11">
        <f>SUM('UPS RATES'!D99-'FedEx Rates'!D98)/('UPS RATES'!D99)</f>
        <v>0.23866263560377016</v>
      </c>
      <c r="E99" s="11">
        <f>SUM('UPS RATES'!E99-'FedEx Rates'!E98)/('UPS RATES'!E99)</f>
        <v>0.23889364826826578</v>
      </c>
      <c r="F99" s="11">
        <f>SUM('UPS RATES'!F99-'FedEx Rates'!F98)/('UPS RATES'!F99)</f>
        <v>0.24633494619773236</v>
      </c>
      <c r="G99" s="11">
        <f>SUM('UPS RATES'!G99-'FedEx Rates'!G98)/('UPS RATES'!G99)</f>
        <v>0.24638912489379786</v>
      </c>
      <c r="H99" s="11">
        <f>SUM('UPS RATES'!H99-'FedEx Rates'!H98)/('UPS RATES'!H99)</f>
        <v>0.24635568513119541</v>
      </c>
      <c r="I99" s="11">
        <f>SUM('UPS RATES'!I99-'FedEx Rates'!I98)/('UPS RATES'!I99)</f>
        <v>0.29141506957206625</v>
      </c>
      <c r="J99" s="11">
        <f>SUM('UPS RATES'!J99-'FedEx Rates'!J98)/('UPS RATES'!J99)</f>
        <v>0.31436642453591618</v>
      </c>
      <c r="K99" s="11">
        <f>SUM('UPS RATES'!K99-'FedEx Rates'!K98)/('UPS RATES'!K99)</f>
        <v>0.30621693121693117</v>
      </c>
      <c r="L99" s="11">
        <f>SUM('UPS RATES'!L99-'FedEx Rates'!L98)/('UPS RATES'!L99)</f>
        <v>0.38870431893687712</v>
      </c>
      <c r="M99" s="11">
        <f>SUM('UPS RATES'!M99-'FedEx Rates'!M98)/('UPS RATES'!M99)</f>
        <v>0.39114754098360655</v>
      </c>
      <c r="N99" s="11">
        <f>SUM('UPS RATES'!N99-'FedEx Rates'!N98)/('UPS RATES'!N99)</f>
        <v>0.43267429760665976</v>
      </c>
      <c r="O99" s="11">
        <f>SUM('UPS RATES'!O99-'FedEx Rates'!O98)/('UPS RATES'!O99)</f>
        <v>0.39179833126220487</v>
      </c>
      <c r="P99" s="11">
        <f>SUM('UPS RATES'!P99-'FedEx Rates'!P98)/('UPS RATES'!P99)</f>
        <v>0.21560650887573959</v>
      </c>
      <c r="Q99" s="11">
        <f>SUM('UPS RATES'!Q99-'FedEx Rates'!Q98)/('UPS RATES'!Q99)</f>
        <v>0.21567919075144504</v>
      </c>
      <c r="R99" s="11">
        <f>SUM('UPS RATES'!R99-'FedEx Rates'!R98)/('UPS RATES'!R99)</f>
        <v>0.2157190635451505</v>
      </c>
      <c r="S99" s="11">
        <f>SUM('UPS RATES'!S99-'FedEx Rates'!S98)/('UPS RATES'!S99)</f>
        <v>0.21527992576554278</v>
      </c>
      <c r="T99" s="11">
        <f>SUM('UPS RATES'!T99-'FedEx Rates'!T98)/('UPS RATES'!T99)</f>
        <v>0.21513313999472714</v>
      </c>
      <c r="U99" s="11">
        <f>SUM('UPS RATES'!U99-'FedEx Rates'!U98)/('UPS RATES'!U99)</f>
        <v>0.21519285042333031</v>
      </c>
      <c r="V99" s="11">
        <f>SUM('UPS RATES'!V99-'FedEx Rates'!V98)/('UPS RATES'!V99)</f>
        <v>0.21536819637139815</v>
      </c>
      <c r="W99" s="11">
        <f>SUM('UPS RATES'!W99-'FedEx Rates'!W98)/('UPS RATES'!W99)</f>
        <v>0.51946958535045251</v>
      </c>
      <c r="X99" s="11">
        <f>SUM('UPS RATES'!X99-'FedEx Rates'!X98)/('UPS RATES'!X99)</f>
        <v>0.52366071428571437</v>
      </c>
      <c r="Y99" s="11">
        <f>SUM('UPS RATES'!Y99-'FedEx Rates'!Y98)/('UPS RATES'!Y99)</f>
        <v>0.51890148068492026</v>
      </c>
      <c r="Z99" s="11">
        <f>SUM('UPS RATES'!Z99-'FedEx Rates'!Z98)/('UPS RATES'!Z99)</f>
        <v>0.51886434373339407</v>
      </c>
      <c r="AA99" s="11">
        <f>SUM('UPS RATES'!AA99-'FedEx Rates'!AA98)/('UPS RATES'!AA99)</f>
        <v>0.51949102677258019</v>
      </c>
      <c r="AB99" s="11">
        <f>SUM('UPS RATES'!AB99-'FedEx Rates'!AB98)/('UPS RATES'!AB99)</f>
        <v>0.52361930124912814</v>
      </c>
      <c r="AC99" s="11">
        <f>SUM('UPS RATES'!AC99-'FedEx Rates'!AC98)/('UPS RATES'!AC99)</f>
        <v>0.52141340991384699</v>
      </c>
    </row>
    <row r="100" spans="1:29" x14ac:dyDescent="0.25">
      <c r="A100">
        <v>98</v>
      </c>
      <c r="B100" s="11">
        <f>SUM('UPS RATES'!B100-'FedEx Rates'!B99)/('UPS RATES'!B100)</f>
        <v>0.25367088607594934</v>
      </c>
      <c r="C100" s="11">
        <f>SUM('UPS RATES'!C100-'FedEx Rates'!C99)/('UPS RATES'!C100)</f>
        <v>0.23880270919816471</v>
      </c>
      <c r="D100" s="11">
        <f>SUM('UPS RATES'!D100-'FedEx Rates'!D99)/('UPS RATES'!D100)</f>
        <v>0.23875309953949705</v>
      </c>
      <c r="E100" s="11">
        <f>SUM('UPS RATES'!E100-'FedEx Rates'!E99)/('UPS RATES'!E100)</f>
        <v>0.23880414887126297</v>
      </c>
      <c r="F100" s="11">
        <f>SUM('UPS RATES'!F100-'FedEx Rates'!F99)/('UPS RATES'!F100)</f>
        <v>0.24634817585209237</v>
      </c>
      <c r="G100" s="11">
        <f>SUM('UPS RATES'!G100-'FedEx Rates'!G99)/('UPS RATES'!G100)</f>
        <v>0.2463507436873055</v>
      </c>
      <c r="H100" s="11">
        <f>SUM('UPS RATES'!H100-'FedEx Rates'!H99)/('UPS RATES'!H100)</f>
        <v>0.24623524623524615</v>
      </c>
      <c r="I100" s="11">
        <f>SUM('UPS RATES'!I100-'FedEx Rates'!I99)/('UPS RATES'!I100)</f>
        <v>0.26657963446475191</v>
      </c>
      <c r="J100" s="11">
        <f>SUM('UPS RATES'!J100-'FedEx Rates'!J99)/('UPS RATES'!J100)</f>
        <v>0.31156791616283758</v>
      </c>
      <c r="K100" s="11">
        <f>SUM('UPS RATES'!K100-'FedEx Rates'!K99)/('UPS RATES'!K100)</f>
        <v>0.30393128510075978</v>
      </c>
      <c r="L100" s="11">
        <f>SUM('UPS RATES'!L100-'FedEx Rates'!L99)/('UPS RATES'!L100)</f>
        <v>0.38897763578274763</v>
      </c>
      <c r="M100" s="11">
        <f>SUM('UPS RATES'!M100-'FedEx Rates'!M99)/('UPS RATES'!M100)</f>
        <v>0.39004013432713575</v>
      </c>
      <c r="N100" s="11">
        <f>SUM('UPS RATES'!N100-'FedEx Rates'!N99)/('UPS RATES'!N100)</f>
        <v>0.43901271707917405</v>
      </c>
      <c r="O100" s="11">
        <f>SUM('UPS RATES'!O100-'FedEx Rates'!O99)/('UPS RATES'!O100)</f>
        <v>0.39537341474870824</v>
      </c>
      <c r="P100" s="11">
        <f>SUM('UPS RATES'!P100-'FedEx Rates'!P99)/('UPS RATES'!P100)</f>
        <v>0.21569343065693433</v>
      </c>
      <c r="Q100" s="11">
        <f>SUM('UPS RATES'!Q100-'FedEx Rates'!Q99)/('UPS RATES'!Q100)</f>
        <v>0.215721464465183</v>
      </c>
      <c r="R100" s="11">
        <f>SUM('UPS RATES'!R100-'FedEx Rates'!R99)/('UPS RATES'!R100)</f>
        <v>0.21598127716482785</v>
      </c>
      <c r="S100" s="11">
        <f>SUM('UPS RATES'!S100-'FedEx Rates'!S99)/('UPS RATES'!S100)</f>
        <v>0.21522470192601648</v>
      </c>
      <c r="T100" s="11">
        <f>SUM('UPS RATES'!T100-'FedEx Rates'!T99)/('UPS RATES'!T100)</f>
        <v>0.21532846715328463</v>
      </c>
      <c r="U100" s="11">
        <f>SUM('UPS RATES'!U100-'FedEx Rates'!U99)/('UPS RATES'!U100)</f>
        <v>0.21519285042333031</v>
      </c>
      <c r="V100" s="11">
        <f>SUM('UPS RATES'!V100-'FedEx Rates'!V99)/('UPS RATES'!V100)</f>
        <v>0.21536819637139815</v>
      </c>
      <c r="W100" s="11">
        <f>SUM('UPS RATES'!W100-'FedEx Rates'!W99)/('UPS RATES'!W100)</f>
        <v>0.51921058156623978</v>
      </c>
      <c r="X100" s="11">
        <f>SUM('UPS RATES'!X100-'FedEx Rates'!X99)/('UPS RATES'!X100)</f>
        <v>0.52376002376002373</v>
      </c>
      <c r="Y100" s="11">
        <f>SUM('UPS RATES'!Y100-'FedEx Rates'!Y99)/('UPS RATES'!Y100)</f>
        <v>0.51887961662397752</v>
      </c>
      <c r="Z100" s="11">
        <f>SUM('UPS RATES'!Z100-'FedEx Rates'!Z99)/('UPS RATES'!Z100)</f>
        <v>0.51903428441686217</v>
      </c>
      <c r="AA100" s="11">
        <f>SUM('UPS RATES'!AA100-'FedEx Rates'!AA99)/('UPS RATES'!AA100)</f>
        <v>0.51886043995672559</v>
      </c>
      <c r="AB100" s="11">
        <f>SUM('UPS RATES'!AB100-'FedEx Rates'!AB99)/('UPS RATES'!AB100)</f>
        <v>0.52362578278195959</v>
      </c>
      <c r="AC100" s="11">
        <f>SUM('UPS RATES'!AC100-'FedEx Rates'!AC99)/('UPS RATES'!AC100)</f>
        <v>0.52145481721367626</v>
      </c>
    </row>
    <row r="101" spans="1:29" x14ac:dyDescent="0.25">
      <c r="A101">
        <v>99</v>
      </c>
      <c r="B101" s="11">
        <f>SUM('UPS RATES'!B101-'FedEx Rates'!B100)/('UPS RATES'!B101)</f>
        <v>0.25743073047858944</v>
      </c>
      <c r="C101" s="11">
        <f>SUM('UPS RATES'!C101-'FedEx Rates'!C100)/('UPS RATES'!C101)</f>
        <v>0.23869565217391298</v>
      </c>
      <c r="D101" s="11">
        <f>SUM('UPS RATES'!D101-'FedEx Rates'!D100)/('UPS RATES'!D101)</f>
        <v>0.23875432525951554</v>
      </c>
      <c r="E101" s="11">
        <f>SUM('UPS RATES'!E101-'FedEx Rates'!E100)/('UPS RATES'!E101)</f>
        <v>0.23881457564575639</v>
      </c>
      <c r="F101" s="11">
        <f>SUM('UPS RATES'!F101-'FedEx Rates'!F100)/('UPS RATES'!F101)</f>
        <v>0.23885930493273544</v>
      </c>
      <c r="G101" s="11">
        <f>SUM('UPS RATES'!G101-'FedEx Rates'!G100)/('UPS RATES'!G101)</f>
        <v>0.23878301571380814</v>
      </c>
      <c r="H101" s="11">
        <f>SUM('UPS RATES'!H101-'FedEx Rates'!H100)/('UPS RATES'!H101)</f>
        <v>0.2463572758200141</v>
      </c>
      <c r="I101" s="11">
        <f>SUM('UPS RATES'!I101-'FedEx Rates'!I100)/('UPS RATES'!I101)</f>
        <v>0.30031870556508949</v>
      </c>
      <c r="J101" s="11">
        <f>SUM('UPS RATES'!J101-'FedEx Rates'!J100)/('UPS RATES'!J101)</f>
        <v>0.31257509010812978</v>
      </c>
      <c r="K101" s="11">
        <f>SUM('UPS RATES'!K101-'FedEx Rates'!K100)/('UPS RATES'!K101)</f>
        <v>0.30725987793125598</v>
      </c>
      <c r="L101" s="11">
        <f>SUM('UPS RATES'!L101-'FedEx Rates'!L100)/('UPS RATES'!L101)</f>
        <v>0.38609059847900362</v>
      </c>
      <c r="M101" s="11">
        <f>SUM('UPS RATES'!M101-'FedEx Rates'!M100)/('UPS RATES'!M101)</f>
        <v>0.3919974992185058</v>
      </c>
      <c r="N101" s="11">
        <f>SUM('UPS RATES'!N101-'FedEx Rates'!N100)/('UPS RATES'!N101)</f>
        <v>0.41864170483967339</v>
      </c>
      <c r="O101" s="11">
        <f>SUM('UPS RATES'!O101-'FedEx Rates'!O100)/('UPS RATES'!O101)</f>
        <v>0.3844635392475616</v>
      </c>
      <c r="P101" s="11">
        <f>SUM('UPS RATES'!P101-'FedEx Rates'!P100)/('UPS RATES'!P101)</f>
        <v>0.21571428571428569</v>
      </c>
      <c r="Q101" s="11">
        <f>SUM('UPS RATES'!Q101-'FedEx Rates'!Q100)/('UPS RATES'!Q101)</f>
        <v>0.21611982881597713</v>
      </c>
      <c r="R101" s="11">
        <f>SUM('UPS RATES'!R101-'FedEx Rates'!R100)/('UPS RATES'!R101)</f>
        <v>0.2159349593495935</v>
      </c>
      <c r="S101" s="11">
        <f>SUM('UPS RATES'!S101-'FedEx Rates'!S100)/('UPS RATES'!S101)</f>
        <v>0.21527777777777776</v>
      </c>
      <c r="T101" s="11">
        <f>SUM('UPS RATES'!T101-'FedEx Rates'!T100)/('UPS RATES'!T101)</f>
        <v>0.21534460338101433</v>
      </c>
      <c r="U101" s="11">
        <f>SUM('UPS RATES'!U101-'FedEx Rates'!U100)/('UPS RATES'!U101)</f>
        <v>0.21536670547147846</v>
      </c>
      <c r="V101" s="11">
        <f>SUM('UPS RATES'!V101-'FedEx Rates'!V100)/('UPS RATES'!V101)</f>
        <v>0.21513102282333052</v>
      </c>
      <c r="W101" s="11">
        <f>SUM('UPS RATES'!W101-'FedEx Rates'!W100)/('UPS RATES'!W101)</f>
        <v>0.52165764264889636</v>
      </c>
      <c r="X101" s="11">
        <f>SUM('UPS RATES'!X101-'FedEx Rates'!X100)/('UPS RATES'!X101)</f>
        <v>0.5236331308341976</v>
      </c>
      <c r="Y101" s="11">
        <f>SUM('UPS RATES'!Y101-'FedEx Rates'!Y100)/('UPS RATES'!Y101)</f>
        <v>0.5189800297078726</v>
      </c>
      <c r="Z101" s="11">
        <f>SUM('UPS RATES'!Z101-'FedEx Rates'!Z100)/('UPS RATES'!Z101)</f>
        <v>0.51887740453631925</v>
      </c>
      <c r="AA101" s="11">
        <f>SUM('UPS RATES'!AA101-'FedEx Rates'!AA100)/('UPS RATES'!AA101)</f>
        <v>0.51918767507002805</v>
      </c>
      <c r="AB101" s="11">
        <f>SUM('UPS RATES'!AB101-'FedEx Rates'!AB100)/('UPS RATES'!AB101)</f>
        <v>0.52358234192886044</v>
      </c>
      <c r="AC101" s="11">
        <f>SUM('UPS RATES'!AC101-'FedEx Rates'!AC100)/('UPS RATES'!AC101)</f>
        <v>0.52164090368608795</v>
      </c>
    </row>
  </sheetData>
  <conditionalFormatting sqref="B3:AC101">
    <cfRule type="top10" dxfId="2" priority="3" rank="10"/>
    <cfRule type="top10" dxfId="1" priority="2" percent="1" rank="10"/>
    <cfRule type="top10" dxfId="0" priority="1" percent="1" bottom="1" rank="10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45F54-AC02-49E0-B1A7-12397EC30D3C}">
  <dimension ref="A1:AC103"/>
  <sheetViews>
    <sheetView tabSelected="1" workbookViewId="0">
      <selection activeCell="R30" sqref="R30"/>
    </sheetView>
  </sheetViews>
  <sheetFormatPr defaultColWidth="9.140625" defaultRowHeight="15" x14ac:dyDescent="0.2"/>
  <cols>
    <col min="1" max="1" width="5.42578125" style="2" bestFit="1" customWidth="1"/>
    <col min="2" max="2" width="13.28515625" style="2" bestFit="1" customWidth="1"/>
    <col min="3" max="4" width="9.85546875" style="2" bestFit="1" customWidth="1"/>
    <col min="5" max="6" width="10.85546875" style="2" bestFit="1" customWidth="1"/>
    <col min="7" max="7" width="9.85546875" style="2" bestFit="1" customWidth="1"/>
    <col min="8" max="8" width="10.85546875" style="2" bestFit="1" customWidth="1"/>
    <col min="9" max="11" width="8.5703125" style="2" bestFit="1" customWidth="1"/>
    <col min="12" max="14" width="9.85546875" style="2" bestFit="1" customWidth="1"/>
    <col min="15" max="15" width="10.85546875" style="2" bestFit="1" customWidth="1"/>
    <col min="16" max="16" width="11.85546875" style="5" bestFit="1" customWidth="1"/>
    <col min="17" max="17" width="10.85546875" style="5" bestFit="1" customWidth="1"/>
    <col min="18" max="22" width="11.85546875" style="5" bestFit="1" customWidth="1"/>
    <col min="23" max="29" width="12.28515625" style="2" bestFit="1" customWidth="1"/>
    <col min="30" max="16384" width="9.140625" style="2"/>
  </cols>
  <sheetData>
    <row r="1" spans="1:29" ht="12" x14ac:dyDescent="0.2">
      <c r="A1" s="2" t="s">
        <v>28</v>
      </c>
      <c r="B1" s="2" t="s">
        <v>3</v>
      </c>
      <c r="C1" s="2" t="s">
        <v>6</v>
      </c>
      <c r="D1" s="2" t="s">
        <v>5</v>
      </c>
      <c r="E1" s="2" t="s">
        <v>1</v>
      </c>
      <c r="F1" s="2" t="s">
        <v>4</v>
      </c>
      <c r="G1" s="2" t="s">
        <v>2</v>
      </c>
      <c r="H1" s="2" t="s">
        <v>0</v>
      </c>
      <c r="I1" s="2" t="s">
        <v>17</v>
      </c>
      <c r="J1" s="2" t="s">
        <v>20</v>
      </c>
      <c r="K1" s="2" t="s">
        <v>16</v>
      </c>
      <c r="L1" s="2" t="s">
        <v>18</v>
      </c>
      <c r="M1" s="2" t="s">
        <v>19</v>
      </c>
      <c r="N1" s="2" t="s">
        <v>14</v>
      </c>
      <c r="O1" s="2" t="s">
        <v>15</v>
      </c>
      <c r="P1" s="5" t="s">
        <v>23</v>
      </c>
      <c r="Q1" s="5" t="s">
        <v>22</v>
      </c>
      <c r="R1" s="5" t="s">
        <v>27</v>
      </c>
      <c r="S1" s="5" t="s">
        <v>25</v>
      </c>
      <c r="T1" s="5" t="s">
        <v>26</v>
      </c>
      <c r="U1" s="5" t="s">
        <v>24</v>
      </c>
      <c r="V1" s="5" t="s">
        <v>21</v>
      </c>
      <c r="W1" s="2" t="s">
        <v>10</v>
      </c>
      <c r="X1" s="2" t="s">
        <v>9</v>
      </c>
      <c r="Y1" s="2" t="s">
        <v>13</v>
      </c>
      <c r="Z1" s="2" t="s">
        <v>11</v>
      </c>
      <c r="AA1" s="2" t="s">
        <v>12</v>
      </c>
      <c r="AB1" s="2" t="s">
        <v>8</v>
      </c>
      <c r="AC1" s="2" t="s">
        <v>7</v>
      </c>
    </row>
    <row r="2" spans="1:29" ht="12" x14ac:dyDescent="0.2">
      <c r="A2" s="2">
        <v>1</v>
      </c>
      <c r="B2" s="4">
        <f>SUM('TOTAL VOLUME'!B2*'Side by Side Amount'!B3)</f>
        <v>111.15</v>
      </c>
      <c r="C2" s="4">
        <f>SUM('TOTAL VOLUME'!C2*'Side by Side Amount'!C3)</f>
        <v>35.1</v>
      </c>
      <c r="D2" s="4">
        <f>SUM('TOTAL VOLUME'!D2*'Side by Side Amount'!D3)</f>
        <v>76.050000000000011</v>
      </c>
      <c r="E2" s="4">
        <f>SUM('TOTAL VOLUME'!E2*'Side by Side Amount'!E3)</f>
        <v>76.050000000000011</v>
      </c>
      <c r="F2" s="4">
        <f>SUM('TOTAL VOLUME'!F2*'Side by Side Amount'!F3)</f>
        <v>57.419999999999987</v>
      </c>
      <c r="G2" s="4">
        <f>SUM('TOTAL VOLUME'!G2*'Side by Side Amount'!G3)</f>
        <v>22.680000000000003</v>
      </c>
      <c r="H2" s="4">
        <f>SUM('TOTAL VOLUME'!H2*'Side by Side Amount'!H3)</f>
        <v>91.460000000000008</v>
      </c>
      <c r="I2" s="4">
        <f>SUM('TOTAL VOLUME'!I2*'Side by Side Amount'!I3)</f>
        <v>21.330000000000002</v>
      </c>
      <c r="J2" s="4">
        <f>SUM('TOTAL VOLUME'!J2*'Side by Side Amount'!J3)</f>
        <v>2.37</v>
      </c>
      <c r="K2" s="4">
        <f>SUM('TOTAL VOLUME'!K2*'Side by Side Amount'!K3)</f>
        <v>11.850000000000001</v>
      </c>
      <c r="L2" s="4">
        <f>SUM('TOTAL VOLUME'!L2*'Side by Side Amount'!L3)</f>
        <v>16.59</v>
      </c>
      <c r="M2" s="4">
        <f>SUM('TOTAL VOLUME'!M2*'Side by Side Amount'!M3)</f>
        <v>18.660000000000004</v>
      </c>
      <c r="N2" s="4">
        <f>SUM('TOTAL VOLUME'!N2*'Side by Side Amount'!N3)</f>
        <v>7.9999999999999982</v>
      </c>
      <c r="O2" s="4">
        <f>SUM('TOTAL VOLUME'!O2*'Side by Side Amount'!O3)</f>
        <v>87.969999999999985</v>
      </c>
      <c r="P2" s="4">
        <f>SUM('TOTAL VOLUME'!P2*'Side by Side Amount'!P3)</f>
        <v>4268.8000000000011</v>
      </c>
      <c r="Q2" s="4">
        <f>SUM('TOTAL VOLUME'!Q2*'Side by Side Amount'!Q3)</f>
        <v>1543.6800000000003</v>
      </c>
      <c r="R2" s="4">
        <f>SUM('TOTAL VOLUME'!R2*'Side by Side Amount'!R3)</f>
        <v>3562.2400000000007</v>
      </c>
      <c r="S2" s="4">
        <f>SUM('TOTAL VOLUME'!S2*'Side by Side Amount'!S3)</f>
        <v>4586.2400000000007</v>
      </c>
      <c r="T2" s="4">
        <f>SUM('TOTAL VOLUME'!T2*'Side by Side Amount'!T3)</f>
        <v>1276.1600000000003</v>
      </c>
      <c r="U2" s="4">
        <f>SUM('TOTAL VOLUME'!U2*'Side by Side Amount'!U3)</f>
        <v>535.04000000000008</v>
      </c>
      <c r="V2" s="4">
        <f>SUM('TOTAL VOLUME'!V2*'Side by Side Amount'!V3)</f>
        <v>1286.4000000000003</v>
      </c>
      <c r="W2" s="4">
        <f>SUM('TOTAL VOLUME'!W2*'Side by Side Amount'!W3)</f>
        <v>1576.9600000000003</v>
      </c>
      <c r="X2" s="4">
        <f>SUM('TOTAL VOLUME'!X2*'Side by Side Amount'!X3)</f>
        <v>260.48</v>
      </c>
      <c r="Y2" s="4">
        <f>SUM('TOTAL VOLUME'!Y2*'Side by Side Amount'!Y3)</f>
        <v>515.79</v>
      </c>
      <c r="Z2" s="4">
        <f>SUM('TOTAL VOLUME'!Z2*'Side by Side Amount'!Z3)</f>
        <v>1060.99</v>
      </c>
      <c r="AA2" s="4">
        <f>SUM('TOTAL VOLUME'!AA2*'Side by Side Amount'!AA3)</f>
        <v>926.1</v>
      </c>
      <c r="AB2" s="4">
        <f>SUM('TOTAL VOLUME'!AB2*'Side by Side Amount'!AB3)</f>
        <v>676.5</v>
      </c>
      <c r="AC2" s="4">
        <f>SUM('TOTAL VOLUME'!AC2*'Side by Side Amount'!AC3)</f>
        <v>2308.2300000000005</v>
      </c>
    </row>
    <row r="3" spans="1:29" ht="12" x14ac:dyDescent="0.2">
      <c r="A3" s="2">
        <v>2</v>
      </c>
      <c r="B3" s="4">
        <f>SUM('TOTAL VOLUME'!B3*'Side by Side Amount'!B4)</f>
        <v>83.850000000000009</v>
      </c>
      <c r="C3" s="4">
        <f>SUM('TOTAL VOLUME'!C3*'Side by Side Amount'!C4)</f>
        <v>39</v>
      </c>
      <c r="D3" s="4">
        <f>SUM('TOTAL VOLUME'!D3*'Side by Side Amount'!D4)</f>
        <v>48.750000000000007</v>
      </c>
      <c r="E3" s="4">
        <f>SUM('TOTAL VOLUME'!E3*'Side by Side Amount'!E4)</f>
        <v>58.500000000000007</v>
      </c>
      <c r="F3" s="4">
        <f>SUM('TOTAL VOLUME'!F3*'Side by Side Amount'!F4)</f>
        <v>71.759999999999991</v>
      </c>
      <c r="G3" s="4">
        <f>SUM('TOTAL VOLUME'!G3*'Side by Side Amount'!G4)</f>
        <v>67.66</v>
      </c>
      <c r="H3" s="4">
        <f>SUM('TOTAL VOLUME'!H3*'Side by Side Amount'!H4)</f>
        <v>216.47999999999996</v>
      </c>
      <c r="I3" s="4">
        <f>SUM('TOTAL VOLUME'!I3*'Side by Side Amount'!I4)</f>
        <v>4.74</v>
      </c>
      <c r="J3" s="4">
        <f>SUM('TOTAL VOLUME'!J3*'Side by Side Amount'!J4)</f>
        <v>2.37</v>
      </c>
      <c r="K3" s="4">
        <f>SUM('TOTAL VOLUME'!K3*'Side by Side Amount'!K4)</f>
        <v>7.11</v>
      </c>
      <c r="L3" s="4">
        <f>SUM('TOTAL VOLUME'!L3*'Side by Side Amount'!L4)</f>
        <v>11.850000000000001</v>
      </c>
      <c r="M3" s="4">
        <f>SUM('TOTAL VOLUME'!M3*'Side by Side Amount'!M4)</f>
        <v>28.419999999999998</v>
      </c>
      <c r="N3" s="4">
        <f>SUM('TOTAL VOLUME'!N3*'Side by Side Amount'!N4)</f>
        <v>9.9400000000000013</v>
      </c>
      <c r="O3" s="4">
        <f>SUM('TOTAL VOLUME'!O3*'Side by Side Amount'!O4)</f>
        <v>38.71</v>
      </c>
      <c r="P3" s="4">
        <f>SUM('TOTAL VOLUME'!P3*'Side by Side Amount'!P4)</f>
        <v>5173.7600000000011</v>
      </c>
      <c r="Q3" s="4">
        <f>SUM('TOTAL VOLUME'!Q3*'Side by Side Amount'!Q4)</f>
        <v>1512.9600000000003</v>
      </c>
      <c r="R3" s="4">
        <f>SUM('TOTAL VOLUME'!R3*'Side by Side Amount'!R4)</f>
        <v>2142.7200000000003</v>
      </c>
      <c r="S3" s="4">
        <f>SUM('TOTAL VOLUME'!S3*'Side by Side Amount'!S4)</f>
        <v>2480.6400000000003</v>
      </c>
      <c r="T3" s="4">
        <f>SUM('TOTAL VOLUME'!T3*'Side by Side Amount'!T4)</f>
        <v>1152.0000000000002</v>
      </c>
      <c r="U3" s="4">
        <f>SUM('TOTAL VOLUME'!U3*'Side by Side Amount'!U4)</f>
        <v>586.57999999999981</v>
      </c>
      <c r="V3" s="4">
        <f>SUM('TOTAL VOLUME'!V3*'Side by Side Amount'!V4)</f>
        <v>1684.5300000000002</v>
      </c>
      <c r="W3" s="4">
        <f>SUM('TOTAL VOLUME'!W3*'Side by Side Amount'!W4)</f>
        <v>1598.0800000000002</v>
      </c>
      <c r="X3" s="4">
        <f>SUM('TOTAL VOLUME'!X3*'Side by Side Amount'!X4)</f>
        <v>278.08000000000004</v>
      </c>
      <c r="Y3" s="4">
        <f>SUM('TOTAL VOLUME'!Y3*'Side by Side Amount'!Y4)</f>
        <v>532.86</v>
      </c>
      <c r="Z3" s="4">
        <f>SUM('TOTAL VOLUME'!Z3*'Side by Side Amount'!Z4)</f>
        <v>1285.2000000000003</v>
      </c>
      <c r="AA3" s="4">
        <f>SUM('TOTAL VOLUME'!AA3*'Side by Side Amount'!AA4)</f>
        <v>1120.5600000000002</v>
      </c>
      <c r="AB3" s="4">
        <f>SUM('TOTAL VOLUME'!AB3*'Side by Side Amount'!AB4)</f>
        <v>741.81000000000006</v>
      </c>
      <c r="AC3" s="4">
        <f>SUM('TOTAL VOLUME'!AC3*'Side by Side Amount'!AC4)</f>
        <v>2786.8399999999997</v>
      </c>
    </row>
    <row r="4" spans="1:29" ht="12" x14ac:dyDescent="0.2">
      <c r="A4" s="2">
        <v>3</v>
      </c>
      <c r="B4" s="4">
        <f>SUM('TOTAL VOLUME'!B4*'Side by Side Amount'!B5)</f>
        <v>113.10000000000001</v>
      </c>
      <c r="C4" s="4">
        <f>SUM('TOTAL VOLUME'!C4*'Side by Side Amount'!C5)</f>
        <v>33.150000000000006</v>
      </c>
      <c r="D4" s="4">
        <f>SUM('TOTAL VOLUME'!D4*'Side by Side Amount'!D5)</f>
        <v>25.35</v>
      </c>
      <c r="E4" s="4">
        <f>SUM('TOTAL VOLUME'!E4*'Side by Side Amount'!E5)</f>
        <v>35.1</v>
      </c>
      <c r="F4" s="4">
        <f>SUM('TOTAL VOLUME'!F4*'Side by Side Amount'!F5)</f>
        <v>38.550000000000018</v>
      </c>
      <c r="G4" s="4">
        <f>SUM('TOTAL VOLUME'!G4*'Side by Side Amount'!G5)</f>
        <v>66.009999999999977</v>
      </c>
      <c r="H4" s="4">
        <f>SUM('TOTAL VOLUME'!H4*'Side by Side Amount'!H5)</f>
        <v>145.52999999999994</v>
      </c>
      <c r="I4" s="4">
        <f>SUM('TOTAL VOLUME'!I4*'Side by Side Amount'!I5)</f>
        <v>4.74</v>
      </c>
      <c r="J4" s="4">
        <f>SUM('TOTAL VOLUME'!J4*'Side by Side Amount'!J5)</f>
        <v>4.74</v>
      </c>
      <c r="K4" s="4">
        <f>SUM('TOTAL VOLUME'!K4*'Side by Side Amount'!K5)</f>
        <v>2.37</v>
      </c>
      <c r="L4" s="4">
        <f>SUM('TOTAL VOLUME'!L4*'Side by Side Amount'!L5)</f>
        <v>15.25</v>
      </c>
      <c r="M4" s="4">
        <f>SUM('TOTAL VOLUME'!M4*'Side by Side Amount'!M5)</f>
        <v>20.52</v>
      </c>
      <c r="N4" s="4">
        <f>SUM('TOTAL VOLUME'!N4*'Side by Side Amount'!N5)</f>
        <v>38.849999999999994</v>
      </c>
      <c r="O4" s="4">
        <f>SUM('TOTAL VOLUME'!O4*'Side by Side Amount'!O5)</f>
        <v>76.679999999999993</v>
      </c>
      <c r="P4" s="4">
        <f>SUM('TOTAL VOLUME'!P4*'Side by Side Amount'!P5)</f>
        <v>1849.6000000000004</v>
      </c>
      <c r="Q4" s="4">
        <f>SUM('TOTAL VOLUME'!Q4*'Side by Side Amount'!Q5)</f>
        <v>590.08000000000015</v>
      </c>
      <c r="R4" s="4">
        <f>SUM('TOTAL VOLUME'!R4*'Side by Side Amount'!R5)</f>
        <v>628.48000000000013</v>
      </c>
      <c r="S4" s="4">
        <f>SUM('TOTAL VOLUME'!S4*'Side by Side Amount'!S5)</f>
        <v>782.04000000000008</v>
      </c>
      <c r="T4" s="4">
        <f>SUM('TOTAL VOLUME'!T4*'Side by Side Amount'!T5)</f>
        <v>606.79999999999984</v>
      </c>
      <c r="U4" s="4">
        <f>SUM('TOTAL VOLUME'!U4*'Side by Side Amount'!U5)</f>
        <v>370.50000000000006</v>
      </c>
      <c r="V4" s="4">
        <f>SUM('TOTAL VOLUME'!V4*'Side by Side Amount'!V5)</f>
        <v>1145.7600000000002</v>
      </c>
      <c r="W4" s="4">
        <f>SUM('TOTAL VOLUME'!W4*'Side by Side Amount'!W5)</f>
        <v>1943.0400000000002</v>
      </c>
      <c r="X4" s="4">
        <f>SUM('TOTAL VOLUME'!X4*'Side by Side Amount'!X5)</f>
        <v>264.00000000000006</v>
      </c>
      <c r="Y4" s="4">
        <f>SUM('TOTAL VOLUME'!Y4*'Side by Side Amount'!Y5)</f>
        <v>922.2</v>
      </c>
      <c r="Z4" s="4">
        <f>SUM('TOTAL VOLUME'!Z4*'Side by Side Amount'!Z5)</f>
        <v>2229.2500000000005</v>
      </c>
      <c r="AA4" s="4">
        <f>SUM('TOTAL VOLUME'!AA4*'Side by Side Amount'!AA5)</f>
        <v>1942.2000000000003</v>
      </c>
      <c r="AB4" s="4">
        <f>SUM('TOTAL VOLUME'!AB4*'Side by Side Amount'!AB5)</f>
        <v>1005.5600000000002</v>
      </c>
      <c r="AC4" s="4">
        <f>SUM('TOTAL VOLUME'!AC4*'Side by Side Amount'!AC5)</f>
        <v>3237.52</v>
      </c>
    </row>
    <row r="5" spans="1:29" ht="12" x14ac:dyDescent="0.2">
      <c r="A5" s="2">
        <v>4</v>
      </c>
      <c r="B5" s="4">
        <f>SUM('TOTAL VOLUME'!B5*'Side by Side Amount'!B6)</f>
        <v>37.050000000000004</v>
      </c>
      <c r="C5" s="4">
        <f>SUM('TOTAL VOLUME'!C5*'Side by Side Amount'!C6)</f>
        <v>25.35</v>
      </c>
      <c r="D5" s="4">
        <f>SUM('TOTAL VOLUME'!D5*'Side by Side Amount'!D6)</f>
        <v>23.400000000000002</v>
      </c>
      <c r="E5" s="4">
        <f>SUM('TOTAL VOLUME'!E5*'Side by Side Amount'!E6)</f>
        <v>87.360000000000014</v>
      </c>
      <c r="F5" s="4">
        <f>SUM('TOTAL VOLUME'!F5*'Side by Side Amount'!F6)</f>
        <v>123.48000000000005</v>
      </c>
      <c r="G5" s="4">
        <f>SUM('TOTAL VOLUME'!G5*'Side by Side Amount'!G6)</f>
        <v>129.60000000000002</v>
      </c>
      <c r="H5" s="4">
        <f>SUM('TOTAL VOLUME'!H5*'Side by Side Amount'!H6)</f>
        <v>557.75999999999988</v>
      </c>
      <c r="I5" s="4">
        <f>SUM('TOTAL VOLUME'!I5*'Side by Side Amount'!I6)</f>
        <v>0</v>
      </c>
      <c r="J5" s="4">
        <f>SUM('TOTAL VOLUME'!J5*'Side by Side Amount'!J6)</f>
        <v>2.37</v>
      </c>
      <c r="K5" s="4">
        <f>SUM('TOTAL VOLUME'!K5*'Side by Side Amount'!K6)</f>
        <v>2.37</v>
      </c>
      <c r="L5" s="4">
        <f>SUM('TOTAL VOLUME'!L5*'Side by Side Amount'!L6)</f>
        <v>28.84</v>
      </c>
      <c r="M5" s="4">
        <f>SUM('TOTAL VOLUME'!M5*'Side by Side Amount'!M6)</f>
        <v>48.96</v>
      </c>
      <c r="N5" s="4">
        <f>SUM('TOTAL VOLUME'!N5*'Side by Side Amount'!N6)</f>
        <v>74.759999999999991</v>
      </c>
      <c r="O5" s="4">
        <f>SUM('TOTAL VOLUME'!O5*'Side by Side Amount'!O6)</f>
        <v>555.96</v>
      </c>
      <c r="P5" s="4">
        <f>SUM('TOTAL VOLUME'!P5*'Side by Side Amount'!P6)</f>
        <v>1452.8000000000002</v>
      </c>
      <c r="Q5" s="4">
        <f>SUM('TOTAL VOLUME'!Q5*'Side by Side Amount'!Q6)</f>
        <v>720.6400000000001</v>
      </c>
      <c r="R5" s="4">
        <f>SUM('TOTAL VOLUME'!R5*'Side by Side Amount'!R6)</f>
        <v>1099.5200000000002</v>
      </c>
      <c r="S5" s="4">
        <f>SUM('TOTAL VOLUME'!S5*'Side by Side Amount'!S6)</f>
        <v>2811.84</v>
      </c>
      <c r="T5" s="4">
        <f>SUM('TOTAL VOLUME'!T5*'Side by Side Amount'!T6)</f>
        <v>4495.5400000000018</v>
      </c>
      <c r="U5" s="4">
        <f>SUM('TOTAL VOLUME'!U5*'Side by Side Amount'!U6)</f>
        <v>3739.8999999999996</v>
      </c>
      <c r="V5" s="4">
        <f>SUM('TOTAL VOLUME'!V5*'Side by Side Amount'!V6)</f>
        <v>9006.4500000000007</v>
      </c>
      <c r="W5" s="4">
        <f>SUM('TOTAL VOLUME'!W5*'Side by Side Amount'!W6)</f>
        <v>1601.6000000000001</v>
      </c>
      <c r="X5" s="4">
        <f>SUM('TOTAL VOLUME'!X5*'Side by Side Amount'!X6)</f>
        <v>299.03999999999996</v>
      </c>
      <c r="Y5" s="4">
        <f>SUM('TOTAL VOLUME'!Y5*'Side by Side Amount'!Y6)</f>
        <v>1615.25</v>
      </c>
      <c r="Z5" s="4">
        <f>SUM('TOTAL VOLUME'!Z5*'Side by Side Amount'!Z6)</f>
        <v>3549</v>
      </c>
      <c r="AA5" s="4">
        <f>SUM('TOTAL VOLUME'!AA5*'Side by Side Amount'!AA6)</f>
        <v>3300.1399999999994</v>
      </c>
      <c r="AB5" s="4">
        <f>SUM('TOTAL VOLUME'!AB5*'Side by Side Amount'!AB6)</f>
        <v>1853.2800000000004</v>
      </c>
      <c r="AC5" s="4">
        <f>SUM('TOTAL VOLUME'!AC5*'Side by Side Amount'!AC6)</f>
        <v>7268.8</v>
      </c>
    </row>
    <row r="6" spans="1:29" ht="12" x14ac:dyDescent="0.2">
      <c r="A6" s="2">
        <v>5</v>
      </c>
      <c r="B6" s="4">
        <f>SUM('TOTAL VOLUME'!B6*'Side by Side Amount'!B7)</f>
        <v>11.700000000000001</v>
      </c>
      <c r="C6" s="4">
        <f>SUM('TOTAL VOLUME'!C6*'Side by Side Amount'!C7)</f>
        <v>5.8500000000000005</v>
      </c>
      <c r="D6" s="4">
        <f>SUM('TOTAL VOLUME'!D6*'Side by Side Amount'!D7)</f>
        <v>5.8500000000000005</v>
      </c>
      <c r="E6" s="4">
        <f>SUM('TOTAL VOLUME'!E6*'Side by Side Amount'!E7)</f>
        <v>61.749999999999993</v>
      </c>
      <c r="F6" s="4">
        <f>SUM('TOTAL VOLUME'!F6*'Side by Side Amount'!F7)</f>
        <v>49.200000000000017</v>
      </c>
      <c r="G6" s="4">
        <f>SUM('TOTAL VOLUME'!G6*'Side by Side Amount'!G7)</f>
        <v>46.54</v>
      </c>
      <c r="H6" s="4">
        <f>SUM('TOTAL VOLUME'!H6*'Side by Side Amount'!H7)</f>
        <v>197.08000000000004</v>
      </c>
      <c r="I6" s="4">
        <f>SUM('TOTAL VOLUME'!I6*'Side by Side Amount'!I7)</f>
        <v>4.74</v>
      </c>
      <c r="J6" s="4">
        <f>SUM('TOTAL VOLUME'!J6*'Side by Side Amount'!J7)</f>
        <v>0</v>
      </c>
      <c r="K6" s="4">
        <f>SUM('TOTAL VOLUME'!K6*'Side by Side Amount'!K7)</f>
        <v>7.11</v>
      </c>
      <c r="L6" s="4">
        <f>SUM('TOTAL VOLUME'!L6*'Side by Side Amount'!L7)</f>
        <v>14.73</v>
      </c>
      <c r="M6" s="4">
        <f>SUM('TOTAL VOLUME'!M6*'Side by Side Amount'!M7)</f>
        <v>29.75</v>
      </c>
      <c r="N6" s="4">
        <f>SUM('TOTAL VOLUME'!N6*'Side by Side Amount'!N7)</f>
        <v>75.900000000000006</v>
      </c>
      <c r="O6" s="4">
        <f>SUM('TOTAL VOLUME'!O6*'Side by Side Amount'!O7)</f>
        <v>241.88999999999993</v>
      </c>
      <c r="P6" s="4">
        <f>SUM('TOTAL VOLUME'!P6*'Side by Side Amount'!P7)</f>
        <v>1116.1600000000003</v>
      </c>
      <c r="Q6" s="4">
        <f>SUM('TOTAL VOLUME'!Q6*'Side by Side Amount'!Q7)</f>
        <v>467.2000000000001</v>
      </c>
      <c r="R6" s="4">
        <f>SUM('TOTAL VOLUME'!R6*'Side by Side Amount'!R7)</f>
        <v>791.7</v>
      </c>
      <c r="S6" s="4">
        <f>SUM('TOTAL VOLUME'!S6*'Side by Side Amount'!S7)</f>
        <v>2261.6999999999998</v>
      </c>
      <c r="T6" s="4">
        <f>SUM('TOTAL VOLUME'!T6*'Side by Side Amount'!T7)</f>
        <v>2376.5599999999995</v>
      </c>
      <c r="U6" s="4">
        <f>SUM('TOTAL VOLUME'!U6*'Side by Side Amount'!U7)</f>
        <v>1309.5</v>
      </c>
      <c r="V6" s="4">
        <f>SUM('TOTAL VOLUME'!V6*'Side by Side Amount'!V7)</f>
        <v>4108.0000000000009</v>
      </c>
      <c r="W6" s="4">
        <f>SUM('TOTAL VOLUME'!W6*'Side by Side Amount'!W7)</f>
        <v>2583.6800000000003</v>
      </c>
      <c r="X6" s="4">
        <f>SUM('TOTAL VOLUME'!X6*'Side by Side Amount'!X7)</f>
        <v>423.54</v>
      </c>
      <c r="Y6" s="4">
        <f>SUM('TOTAL VOLUME'!Y6*'Side by Side Amount'!Y7)</f>
        <v>1488.3599999999997</v>
      </c>
      <c r="Z6" s="4">
        <f>SUM('TOTAL VOLUME'!Z6*'Side by Side Amount'!Z7)</f>
        <v>3918.09</v>
      </c>
      <c r="AA6" s="4">
        <f>SUM('TOTAL VOLUME'!AA6*'Side by Side Amount'!AA7)</f>
        <v>3116.3999999999992</v>
      </c>
      <c r="AB6" s="4">
        <f>SUM('TOTAL VOLUME'!AB6*'Side by Side Amount'!AB7)</f>
        <v>1851.0800000000002</v>
      </c>
      <c r="AC6" s="4">
        <f>SUM('TOTAL VOLUME'!AC6*'Side by Side Amount'!AC7)</f>
        <v>6843.1500000000015</v>
      </c>
    </row>
    <row r="7" spans="1:29" ht="12" x14ac:dyDescent="0.2">
      <c r="A7" s="2">
        <v>6</v>
      </c>
      <c r="B7" s="4">
        <f>SUM('TOTAL VOLUME'!B7*'Side by Side Amount'!B8)</f>
        <v>13.650000000000002</v>
      </c>
      <c r="C7" s="4">
        <f>SUM('TOTAL VOLUME'!C7*'Side by Side Amount'!C8)</f>
        <v>7.8000000000000007</v>
      </c>
      <c r="D7" s="4">
        <f>SUM('TOTAL VOLUME'!D7*'Side by Side Amount'!D8)</f>
        <v>11.999999999999995</v>
      </c>
      <c r="E7" s="4">
        <f>SUM('TOTAL VOLUME'!E7*'Side by Side Amount'!E8)</f>
        <v>29.589999999999996</v>
      </c>
      <c r="F7" s="4">
        <f>SUM('TOTAL VOLUME'!F7*'Side by Side Amount'!F8)</f>
        <v>18.099999999999994</v>
      </c>
      <c r="G7" s="4">
        <f>SUM('TOTAL VOLUME'!G7*'Side by Side Amount'!G8)</f>
        <v>15.919999999999995</v>
      </c>
      <c r="H7" s="4">
        <f>SUM('TOTAL VOLUME'!H7*'Side by Side Amount'!H8)</f>
        <v>103.74999999999997</v>
      </c>
      <c r="I7" s="4">
        <f>SUM('TOTAL VOLUME'!I7*'Side by Side Amount'!I8)</f>
        <v>4.74</v>
      </c>
      <c r="J7" s="4">
        <f>SUM('TOTAL VOLUME'!J7*'Side by Side Amount'!J8)</f>
        <v>4.74</v>
      </c>
      <c r="K7" s="4">
        <f>SUM('TOTAL VOLUME'!K7*'Side by Side Amount'!K8)</f>
        <v>0</v>
      </c>
      <c r="L7" s="4">
        <f>SUM('TOTAL VOLUME'!L7*'Side by Side Amount'!L8)</f>
        <v>19.399999999999999</v>
      </c>
      <c r="M7" s="4">
        <f>SUM('TOTAL VOLUME'!M7*'Side by Side Amount'!M8)</f>
        <v>33.099999999999994</v>
      </c>
      <c r="N7" s="4">
        <f>SUM('TOTAL VOLUME'!N7*'Side by Side Amount'!N8)</f>
        <v>7.6399999999999988</v>
      </c>
      <c r="O7" s="4">
        <f>SUM('TOTAL VOLUME'!O7*'Side by Side Amount'!O8)</f>
        <v>66.33</v>
      </c>
      <c r="P7" s="4">
        <f>SUM('TOTAL VOLUME'!P7*'Side by Side Amount'!P8)</f>
        <v>1358.0800000000002</v>
      </c>
      <c r="Q7" s="4">
        <f>SUM('TOTAL VOLUME'!Q7*'Side by Side Amount'!Q8)</f>
        <v>579.84000000000015</v>
      </c>
      <c r="R7" s="4">
        <f>SUM('TOTAL VOLUME'!R7*'Side by Side Amount'!R8)</f>
        <v>363.5200000000001</v>
      </c>
      <c r="S7" s="4">
        <f>SUM('TOTAL VOLUME'!S7*'Side by Side Amount'!S8)</f>
        <v>731.6400000000001</v>
      </c>
      <c r="T7" s="4">
        <f>SUM('TOTAL VOLUME'!T7*'Side by Side Amount'!T8)</f>
        <v>622.44999999999982</v>
      </c>
      <c r="U7" s="4">
        <f>SUM('TOTAL VOLUME'!U7*'Side by Side Amount'!U8)</f>
        <v>300.69000000000005</v>
      </c>
      <c r="V7" s="4">
        <f>SUM('TOTAL VOLUME'!V7*'Side by Side Amount'!V8)</f>
        <v>1699.3199999999997</v>
      </c>
      <c r="W7" s="4">
        <f>SUM('TOTAL VOLUME'!W7*'Side by Side Amount'!W8)</f>
        <v>1661.4400000000003</v>
      </c>
      <c r="X7" s="4">
        <f>SUM('TOTAL VOLUME'!X7*'Side by Side Amount'!X8)</f>
        <v>375.17999999999995</v>
      </c>
      <c r="Y7" s="4">
        <f>SUM('TOTAL VOLUME'!Y7*'Side by Side Amount'!Y8)</f>
        <v>582.45000000000005</v>
      </c>
      <c r="Z7" s="4">
        <f>SUM('TOTAL VOLUME'!Z7*'Side by Side Amount'!Z8)</f>
        <v>1998.99</v>
      </c>
      <c r="AA7" s="4">
        <f>SUM('TOTAL VOLUME'!AA7*'Side by Side Amount'!AA8)</f>
        <v>1238.49</v>
      </c>
      <c r="AB7" s="4">
        <f>SUM('TOTAL VOLUME'!AB7*'Side by Side Amount'!AB8)</f>
        <v>939.07999999999993</v>
      </c>
      <c r="AC7" s="4">
        <f>SUM('TOTAL VOLUME'!AC7*'Side by Side Amount'!AC8)</f>
        <v>3470.3999999999996</v>
      </c>
    </row>
    <row r="8" spans="1:29" ht="12" x14ac:dyDescent="0.2">
      <c r="A8" s="2">
        <v>7</v>
      </c>
      <c r="B8" s="4">
        <f>SUM('TOTAL VOLUME'!B8*'Side by Side Amount'!B9)</f>
        <v>3.9000000000000004</v>
      </c>
      <c r="C8" s="4">
        <f>SUM('TOTAL VOLUME'!C8*'Side by Side Amount'!C9)</f>
        <v>0</v>
      </c>
      <c r="D8" s="4">
        <f>SUM('TOTAL VOLUME'!D8*'Side by Side Amount'!D9)</f>
        <v>4.3400000000000016</v>
      </c>
      <c r="E8" s="4">
        <f>SUM('TOTAL VOLUME'!E8*'Side by Side Amount'!E9)</f>
        <v>64.679999999999993</v>
      </c>
      <c r="F8" s="4">
        <f>SUM('TOTAL VOLUME'!F8*'Side by Side Amount'!F9)</f>
        <v>40.699999999999989</v>
      </c>
      <c r="G8" s="4">
        <f>SUM('TOTAL VOLUME'!G8*'Side by Side Amount'!G9)</f>
        <v>56.550000000000018</v>
      </c>
      <c r="H8" s="4">
        <f>SUM('TOTAL VOLUME'!H8*'Side by Side Amount'!H9)</f>
        <v>167.60999999999999</v>
      </c>
      <c r="I8" s="4">
        <f>SUM('TOTAL VOLUME'!I8*'Side by Side Amount'!I9)</f>
        <v>2.37</v>
      </c>
      <c r="J8" s="4">
        <f>SUM('TOTAL VOLUME'!J8*'Side by Side Amount'!J9)</f>
        <v>0</v>
      </c>
      <c r="K8" s="4">
        <f>SUM('TOTAL VOLUME'!K8*'Side by Side Amount'!K9)</f>
        <v>3.2</v>
      </c>
      <c r="L8" s="4">
        <f>SUM('TOTAL VOLUME'!L8*'Side by Side Amount'!L9)</f>
        <v>21.960000000000004</v>
      </c>
      <c r="M8" s="4">
        <f>SUM('TOTAL VOLUME'!M8*'Side by Side Amount'!M9)</f>
        <v>14.86</v>
      </c>
      <c r="N8" s="4">
        <f>SUM('TOTAL VOLUME'!N8*'Side by Side Amount'!N9)</f>
        <v>34.479999999999997</v>
      </c>
      <c r="O8" s="4">
        <f>SUM('TOTAL VOLUME'!O8*'Side by Side Amount'!O9)</f>
        <v>123.06000000000002</v>
      </c>
      <c r="P8" s="4">
        <f>SUM('TOTAL VOLUME'!P8*'Side by Side Amount'!P9)</f>
        <v>646.40000000000009</v>
      </c>
      <c r="Q8" s="4">
        <f>SUM('TOTAL VOLUME'!Q8*'Side by Side Amount'!Q9)</f>
        <v>186.88000000000002</v>
      </c>
      <c r="R8" s="4">
        <f>SUM('TOTAL VOLUME'!R8*'Side by Side Amount'!R9)</f>
        <v>508.35999999999996</v>
      </c>
      <c r="S8" s="4">
        <f>SUM('TOTAL VOLUME'!S8*'Side by Side Amount'!S9)</f>
        <v>2156.96</v>
      </c>
      <c r="T8" s="4">
        <f>SUM('TOTAL VOLUME'!T8*'Side by Side Amount'!T9)</f>
        <v>1688.8799999999997</v>
      </c>
      <c r="U8" s="4">
        <f>SUM('TOTAL VOLUME'!U8*'Side by Side Amount'!U9)</f>
        <v>1062.9900000000005</v>
      </c>
      <c r="V8" s="4">
        <f>SUM('TOTAL VOLUME'!V8*'Side by Side Amount'!V9)</f>
        <v>2549.9999999999991</v>
      </c>
      <c r="W8" s="4">
        <f>SUM('TOTAL VOLUME'!W8*'Side by Side Amount'!W9)</f>
        <v>563.20000000000005</v>
      </c>
      <c r="X8" s="4">
        <f>SUM('TOTAL VOLUME'!X8*'Side by Side Amount'!X9)</f>
        <v>163.80000000000001</v>
      </c>
      <c r="Y8" s="4">
        <f>SUM('TOTAL VOLUME'!Y8*'Side by Side Amount'!Y9)</f>
        <v>763.83</v>
      </c>
      <c r="Z8" s="4">
        <f>SUM('TOTAL VOLUME'!Z8*'Side by Side Amount'!Z9)</f>
        <v>2459.8000000000002</v>
      </c>
      <c r="AA8" s="4">
        <f>SUM('TOTAL VOLUME'!AA8*'Side by Side Amount'!AA9)</f>
        <v>2293.2800000000002</v>
      </c>
      <c r="AB8" s="4">
        <f>SUM('TOTAL VOLUME'!AB8*'Side by Side Amount'!AB9)</f>
        <v>1397.7700000000002</v>
      </c>
      <c r="AC8" s="4">
        <f>SUM('TOTAL VOLUME'!AC8*'Side by Side Amount'!AC9)</f>
        <v>3783.48</v>
      </c>
    </row>
    <row r="9" spans="1:29" ht="12" x14ac:dyDescent="0.2">
      <c r="A9" s="2">
        <v>8</v>
      </c>
      <c r="B9" s="4">
        <f>SUM('TOTAL VOLUME'!B9*'Side by Side Amount'!B10)</f>
        <v>5.8500000000000005</v>
      </c>
      <c r="C9" s="4">
        <f>SUM('TOTAL VOLUME'!C9*'Side by Side Amount'!C10)</f>
        <v>1.9500000000000002</v>
      </c>
      <c r="D9" s="4">
        <f>SUM('TOTAL VOLUME'!D9*'Side by Side Amount'!D10)</f>
        <v>23.100000000000005</v>
      </c>
      <c r="E9" s="4">
        <f>SUM('TOTAL VOLUME'!E9*'Side by Side Amount'!E10)</f>
        <v>73.830000000000013</v>
      </c>
      <c r="F9" s="4">
        <f>SUM('TOTAL VOLUME'!F9*'Side by Side Amount'!F10)</f>
        <v>75.989999999999981</v>
      </c>
      <c r="G9" s="4">
        <f>SUM('TOTAL VOLUME'!G9*'Side by Side Amount'!G10)</f>
        <v>62.269999999999989</v>
      </c>
      <c r="H9" s="4">
        <f>SUM('TOTAL VOLUME'!H9*'Side by Side Amount'!H10)</f>
        <v>309.38</v>
      </c>
      <c r="I9" s="4">
        <f>SUM('TOTAL VOLUME'!I9*'Side by Side Amount'!I10)</f>
        <v>11.850000000000001</v>
      </c>
      <c r="J9" s="4">
        <f>SUM('TOTAL VOLUME'!J9*'Side by Side Amount'!J10)</f>
        <v>0</v>
      </c>
      <c r="K9" s="4">
        <f>SUM('TOTAL VOLUME'!K9*'Side by Side Amount'!K10)</f>
        <v>7.48</v>
      </c>
      <c r="L9" s="4">
        <f>SUM('TOTAL VOLUME'!L9*'Side by Side Amount'!L10)</f>
        <v>23.4</v>
      </c>
      <c r="M9" s="4">
        <f>SUM('TOTAL VOLUME'!M9*'Side by Side Amount'!M10)</f>
        <v>54.25</v>
      </c>
      <c r="N9" s="4">
        <f>SUM('TOTAL VOLUME'!N9*'Side by Side Amount'!N10)</f>
        <v>63.209999999999994</v>
      </c>
      <c r="O9" s="4">
        <f>SUM('TOTAL VOLUME'!O9*'Side by Side Amount'!O10)</f>
        <v>152.47999999999999</v>
      </c>
      <c r="P9" s="4">
        <f>SUM('TOTAL VOLUME'!P9*'Side by Side Amount'!P10)</f>
        <v>330.24000000000007</v>
      </c>
      <c r="Q9" s="4">
        <f>SUM('TOTAL VOLUME'!Q9*'Side by Side Amount'!Q10)</f>
        <v>226.56000000000003</v>
      </c>
      <c r="R9" s="4">
        <f>SUM('TOTAL VOLUME'!R9*'Side by Side Amount'!R10)</f>
        <v>672.62000000000012</v>
      </c>
      <c r="S9" s="4">
        <f>SUM('TOTAL VOLUME'!S9*'Side by Side Amount'!S10)</f>
        <v>3973.2000000000007</v>
      </c>
      <c r="T9" s="4">
        <f>SUM('TOTAL VOLUME'!T9*'Side by Side Amount'!T10)</f>
        <v>2904.9299999999994</v>
      </c>
      <c r="U9" s="4">
        <f>SUM('TOTAL VOLUME'!U9*'Side by Side Amount'!U10)</f>
        <v>1810.02</v>
      </c>
      <c r="V9" s="4">
        <f>SUM('TOTAL VOLUME'!V9*'Side by Side Amount'!V10)</f>
        <v>3996.7199999999989</v>
      </c>
      <c r="W9" s="4">
        <f>SUM('TOTAL VOLUME'!W9*'Side by Side Amount'!W10)</f>
        <v>380.16</v>
      </c>
      <c r="X9" s="4">
        <f>SUM('TOTAL VOLUME'!X9*'Side by Side Amount'!X10)</f>
        <v>154.84</v>
      </c>
      <c r="Y9" s="4">
        <f>SUM('TOTAL VOLUME'!Y9*'Side by Side Amount'!Y10)</f>
        <v>845.82000000000016</v>
      </c>
      <c r="Z9" s="4">
        <f>SUM('TOTAL VOLUME'!Z9*'Side by Side Amount'!Z10)</f>
        <v>1877.7600000000002</v>
      </c>
      <c r="AA9" s="4">
        <f>SUM('TOTAL VOLUME'!AA9*'Side by Side Amount'!AA10)</f>
        <v>1418.56</v>
      </c>
      <c r="AB9" s="4">
        <f>SUM('TOTAL VOLUME'!AB9*'Side by Side Amount'!AB10)</f>
        <v>1037.68</v>
      </c>
      <c r="AC9" s="4">
        <f>SUM('TOTAL VOLUME'!AC9*'Side by Side Amount'!AC10)</f>
        <v>3280.9500000000003</v>
      </c>
    </row>
    <row r="10" spans="1:29" ht="12" x14ac:dyDescent="0.2">
      <c r="A10" s="2">
        <v>9</v>
      </c>
      <c r="B10" s="4">
        <f>SUM('TOTAL VOLUME'!B10*'Side by Side Amount'!B11)</f>
        <v>0</v>
      </c>
      <c r="C10" s="4">
        <f>SUM('TOTAL VOLUME'!C10*'Side by Side Amount'!C11)</f>
        <v>5.8799999999999972</v>
      </c>
      <c r="D10" s="4">
        <f>SUM('TOTAL VOLUME'!D10*'Side by Side Amount'!D11)</f>
        <v>47.5</v>
      </c>
      <c r="E10" s="4">
        <f>SUM('TOTAL VOLUME'!E10*'Side by Side Amount'!E11)</f>
        <v>155.24999999999997</v>
      </c>
      <c r="F10" s="4">
        <f>SUM('TOTAL VOLUME'!F10*'Side by Side Amount'!F11)</f>
        <v>154.56</v>
      </c>
      <c r="G10" s="4">
        <f>SUM('TOTAL VOLUME'!G10*'Side by Side Amount'!G11)</f>
        <v>105</v>
      </c>
      <c r="H10" s="4">
        <f>SUM('TOTAL VOLUME'!H10*'Side by Side Amount'!H11)</f>
        <v>539.54999999999995</v>
      </c>
      <c r="I10" s="4">
        <f>SUM('TOTAL VOLUME'!I10*'Side by Side Amount'!I11)</f>
        <v>0</v>
      </c>
      <c r="J10" s="4">
        <f>SUM('TOTAL VOLUME'!J10*'Side by Side Amount'!J11)</f>
        <v>0</v>
      </c>
      <c r="K10" s="4">
        <f>SUM('TOTAL VOLUME'!K10*'Side by Side Amount'!K11)</f>
        <v>15.799999999999997</v>
      </c>
      <c r="L10" s="4">
        <f>SUM('TOTAL VOLUME'!L10*'Side by Side Amount'!L11)</f>
        <v>28.949999999999996</v>
      </c>
      <c r="M10" s="4">
        <f>SUM('TOTAL VOLUME'!M10*'Side by Side Amount'!M11)</f>
        <v>56.210000000000008</v>
      </c>
      <c r="N10" s="4">
        <f>SUM('TOTAL VOLUME'!N10*'Side by Side Amount'!N11)</f>
        <v>82.97999999999999</v>
      </c>
      <c r="O10" s="4">
        <f>SUM('TOTAL VOLUME'!O10*'Side by Side Amount'!O11)</f>
        <v>426.15000000000003</v>
      </c>
      <c r="P10" s="4">
        <f>SUM('TOTAL VOLUME'!P10*'Side by Side Amount'!P11)</f>
        <v>372.48000000000008</v>
      </c>
      <c r="Q10" s="4">
        <f>SUM('TOTAL VOLUME'!Q10*'Side by Side Amount'!Q11)</f>
        <v>432.6400000000001</v>
      </c>
      <c r="R10" s="4">
        <f>SUM('TOTAL VOLUME'!R10*'Side by Side Amount'!R11)</f>
        <v>1695.9199999999998</v>
      </c>
      <c r="S10" s="4">
        <f>SUM('TOTAL VOLUME'!S10*'Side by Side Amount'!S11)</f>
        <v>5365.5500000000011</v>
      </c>
      <c r="T10" s="4">
        <f>SUM('TOTAL VOLUME'!T10*'Side by Side Amount'!T11)</f>
        <v>4204.5300000000016</v>
      </c>
      <c r="U10" s="4">
        <f>SUM('TOTAL VOLUME'!U10*'Side by Side Amount'!U11)</f>
        <v>2745.1800000000003</v>
      </c>
      <c r="V10" s="4">
        <f>SUM('TOTAL VOLUME'!V10*'Side by Side Amount'!V11)</f>
        <v>5464.4800000000005</v>
      </c>
      <c r="W10" s="4">
        <f>SUM('TOTAL VOLUME'!W10*'Side by Side Amount'!W11)</f>
        <v>352.00000000000006</v>
      </c>
      <c r="X10" s="4">
        <f>SUM('TOTAL VOLUME'!X10*'Side by Side Amount'!X11)</f>
        <v>309.64999999999998</v>
      </c>
      <c r="Y10" s="4">
        <f>SUM('TOTAL VOLUME'!Y10*'Side by Side Amount'!Y11)</f>
        <v>1496.25</v>
      </c>
      <c r="Z10" s="4">
        <f>SUM('TOTAL VOLUME'!Z10*'Side by Side Amount'!Z11)</f>
        <v>2973.6999999999994</v>
      </c>
      <c r="AA10" s="4">
        <f>SUM('TOTAL VOLUME'!AA10*'Side by Side Amount'!AA11)</f>
        <v>1698.8</v>
      </c>
      <c r="AB10" s="4">
        <f>SUM('TOTAL VOLUME'!AB10*'Side by Side Amount'!AB11)</f>
        <v>1488.95</v>
      </c>
      <c r="AC10" s="4">
        <f>SUM('TOTAL VOLUME'!AC10*'Side by Side Amount'!AC11)</f>
        <v>5250.2999999999993</v>
      </c>
    </row>
    <row r="11" spans="1:29" ht="12" x14ac:dyDescent="0.2">
      <c r="A11" s="2">
        <v>10</v>
      </c>
      <c r="B11" s="4">
        <f>SUM('TOTAL VOLUME'!B11*'Side by Side Amount'!B12)</f>
        <v>3.9000000000000004</v>
      </c>
      <c r="C11" s="4">
        <f>SUM('TOTAL VOLUME'!C11*'Side by Side Amount'!C12)</f>
        <v>0</v>
      </c>
      <c r="D11" s="4">
        <f>SUM('TOTAL VOLUME'!D11*'Side by Side Amount'!D12)</f>
        <v>5.379999999999999</v>
      </c>
      <c r="E11" s="4">
        <f>SUM('TOTAL VOLUME'!E11*'Side by Side Amount'!E12)</f>
        <v>33.209999999999994</v>
      </c>
      <c r="F11" s="4">
        <f>SUM('TOTAL VOLUME'!F11*'Side by Side Amount'!F12)</f>
        <v>52.300000000000004</v>
      </c>
      <c r="G11" s="4">
        <f>SUM('TOTAL VOLUME'!G11*'Side by Side Amount'!G12)</f>
        <v>51.390000000000008</v>
      </c>
      <c r="H11" s="4">
        <f>SUM('TOTAL VOLUME'!H11*'Side by Side Amount'!H12)</f>
        <v>118.40000000000003</v>
      </c>
      <c r="I11" s="4">
        <f>SUM('TOTAL VOLUME'!I11*'Side by Side Amount'!I12)</f>
        <v>4.74</v>
      </c>
      <c r="J11" s="4">
        <f>SUM('TOTAL VOLUME'!J11*'Side by Side Amount'!J12)</f>
        <v>3.8400000000000007</v>
      </c>
      <c r="K11" s="4">
        <f>SUM('TOTAL VOLUME'!K11*'Side by Side Amount'!K12)</f>
        <v>11.940000000000001</v>
      </c>
      <c r="L11" s="4">
        <f>SUM('TOTAL VOLUME'!L11*'Side by Side Amount'!L12)</f>
        <v>0</v>
      </c>
      <c r="M11" s="4">
        <f>SUM('TOTAL VOLUME'!M11*'Side by Side Amount'!M12)</f>
        <v>16.66</v>
      </c>
      <c r="N11" s="4">
        <f>SUM('TOTAL VOLUME'!N11*'Side by Side Amount'!N12)</f>
        <v>29.789999999999992</v>
      </c>
      <c r="O11" s="4">
        <f>SUM('TOTAL VOLUME'!O11*'Side by Side Amount'!O12)</f>
        <v>221.31999999999996</v>
      </c>
      <c r="P11" s="4">
        <f>SUM('TOTAL VOLUME'!P11*'Side by Side Amount'!P12)</f>
        <v>1822.7200000000003</v>
      </c>
      <c r="Q11" s="4">
        <f>SUM('TOTAL VOLUME'!Q11*'Side by Side Amount'!Q12)</f>
        <v>334.08000000000004</v>
      </c>
      <c r="R11" s="4">
        <f>SUM('TOTAL VOLUME'!R11*'Side by Side Amount'!R12)</f>
        <v>739.8000000000003</v>
      </c>
      <c r="S11" s="4">
        <f>SUM('TOTAL VOLUME'!S11*'Side by Side Amount'!S12)</f>
        <v>4258.7999999999993</v>
      </c>
      <c r="T11" s="4">
        <f>SUM('TOTAL VOLUME'!T11*'Side by Side Amount'!T12)</f>
        <v>1184.4000000000001</v>
      </c>
      <c r="U11" s="4">
        <f>SUM('TOTAL VOLUME'!U11*'Side by Side Amount'!U12)</f>
        <v>1914.36</v>
      </c>
      <c r="V11" s="4">
        <f>SUM('TOTAL VOLUME'!V11*'Side by Side Amount'!V12)</f>
        <v>3703</v>
      </c>
      <c r="W11" s="4">
        <f>SUM('TOTAL VOLUME'!W11*'Side by Side Amount'!W12)</f>
        <v>320.32000000000005</v>
      </c>
      <c r="X11" s="4">
        <f>SUM('TOTAL VOLUME'!X11*'Side by Side Amount'!X12)</f>
        <v>406</v>
      </c>
      <c r="Y11" s="4">
        <f>SUM('TOTAL VOLUME'!Y11*'Side by Side Amount'!Y12)</f>
        <v>1499.16</v>
      </c>
      <c r="Z11" s="4">
        <f>SUM('TOTAL VOLUME'!Z11*'Side by Side Amount'!Z12)</f>
        <v>2930.2200000000003</v>
      </c>
      <c r="AA11" s="4">
        <f>SUM('TOTAL VOLUME'!AA11*'Side by Side Amount'!AA12)</f>
        <v>2014.0499999999997</v>
      </c>
      <c r="AB11" s="4">
        <f>SUM('TOTAL VOLUME'!AB11*'Side by Side Amount'!AB12)</f>
        <v>1177.2399999999998</v>
      </c>
      <c r="AC11" s="4">
        <f>SUM('TOTAL VOLUME'!AC11*'Side by Side Amount'!AC12)</f>
        <v>5293.2</v>
      </c>
    </row>
    <row r="12" spans="1:29" ht="12" x14ac:dyDescent="0.2">
      <c r="A12" s="2">
        <v>11</v>
      </c>
      <c r="B12" s="4">
        <f>SUM('TOTAL VOLUME'!B12*'Side by Side Amount'!B13)</f>
        <v>5.8500000000000005</v>
      </c>
      <c r="C12" s="4">
        <f>SUM('TOTAL VOLUME'!C12*'Side by Side Amount'!C13)</f>
        <v>0</v>
      </c>
      <c r="D12" s="4">
        <f>SUM('TOTAL VOLUME'!D12*'Side by Side Amount'!D13)</f>
        <v>14.100000000000001</v>
      </c>
      <c r="E12" s="4">
        <f>SUM('TOTAL VOLUME'!E12*'Side by Side Amount'!E13)</f>
        <v>70.920000000000016</v>
      </c>
      <c r="F12" s="4">
        <f>SUM('TOTAL VOLUME'!F12*'Side by Side Amount'!F13)</f>
        <v>27.999999999999989</v>
      </c>
      <c r="G12" s="4">
        <f>SUM('TOTAL VOLUME'!G12*'Side by Side Amount'!G13)</f>
        <v>110.88</v>
      </c>
      <c r="H12" s="4">
        <f>SUM('TOTAL VOLUME'!H12*'Side by Side Amount'!H13)</f>
        <v>134.19</v>
      </c>
      <c r="I12" s="4">
        <f>SUM('TOTAL VOLUME'!I12*'Side by Side Amount'!I13)</f>
        <v>0</v>
      </c>
      <c r="J12" s="4">
        <f>SUM('TOTAL VOLUME'!J12*'Side by Side Amount'!J13)</f>
        <v>0</v>
      </c>
      <c r="K12" s="4">
        <f>SUM('TOTAL VOLUME'!K12*'Side by Side Amount'!K13)</f>
        <v>0</v>
      </c>
      <c r="L12" s="4">
        <f>SUM('TOTAL VOLUME'!L12*'Side by Side Amount'!L13)</f>
        <v>6.25</v>
      </c>
      <c r="M12" s="4">
        <f>SUM('TOTAL VOLUME'!M12*'Side by Side Amount'!M13)</f>
        <v>9.1300000000000008</v>
      </c>
      <c r="N12" s="4">
        <f>SUM('TOTAL VOLUME'!N12*'Side by Side Amount'!N13)</f>
        <v>30.540000000000006</v>
      </c>
      <c r="O12" s="4">
        <f>SUM('TOTAL VOLUME'!O12*'Side by Side Amount'!O13)</f>
        <v>94.320000000000007</v>
      </c>
      <c r="P12" s="4">
        <f>SUM('TOTAL VOLUME'!P12*'Side by Side Amount'!P13)</f>
        <v>2296.3200000000006</v>
      </c>
      <c r="Q12" s="4">
        <f>SUM('TOTAL VOLUME'!Q12*'Side by Side Amount'!Q13)</f>
        <v>984.32000000000016</v>
      </c>
      <c r="R12" s="4">
        <f>SUM('TOTAL VOLUME'!R12*'Side by Side Amount'!R13)</f>
        <v>853.2</v>
      </c>
      <c r="S12" s="4">
        <f>SUM('TOTAL VOLUME'!S12*'Side by Side Amount'!S13)</f>
        <v>3638.8099999999995</v>
      </c>
      <c r="T12" s="4">
        <f>SUM('TOTAL VOLUME'!T12*'Side by Side Amount'!T13)</f>
        <v>1335</v>
      </c>
      <c r="U12" s="4">
        <f>SUM('TOTAL VOLUME'!U12*'Side by Side Amount'!U13)</f>
        <v>2305.8399999999992</v>
      </c>
      <c r="V12" s="4">
        <f>SUM('TOTAL VOLUME'!V12*'Side by Side Amount'!V13)</f>
        <v>5273.5999999999985</v>
      </c>
      <c r="W12" s="4">
        <f>SUM('TOTAL VOLUME'!W12*'Side by Side Amount'!W13)</f>
        <v>259.88</v>
      </c>
      <c r="X12" s="4">
        <f>SUM('TOTAL VOLUME'!X12*'Side by Side Amount'!X13)</f>
        <v>525.44000000000005</v>
      </c>
      <c r="Y12" s="4">
        <f>SUM('TOTAL VOLUME'!Y12*'Side by Side Amount'!Y13)</f>
        <v>1121</v>
      </c>
      <c r="Z12" s="4">
        <f>SUM('TOTAL VOLUME'!Z12*'Side by Side Amount'!Z13)</f>
        <v>3369.7999999999997</v>
      </c>
      <c r="AA12" s="4">
        <f>SUM('TOTAL VOLUME'!AA12*'Side by Side Amount'!AA13)</f>
        <v>2388.16</v>
      </c>
      <c r="AB12" s="4">
        <f>SUM('TOTAL VOLUME'!AB12*'Side by Side Amount'!AB13)</f>
        <v>1882.92</v>
      </c>
      <c r="AC12" s="4">
        <f>SUM('TOTAL VOLUME'!AC12*'Side by Side Amount'!AC13)</f>
        <v>6398.7999999999993</v>
      </c>
    </row>
    <row r="13" spans="1:29" ht="12" x14ac:dyDescent="0.2">
      <c r="A13" s="2">
        <v>12</v>
      </c>
      <c r="B13" s="4">
        <f>SUM('TOTAL VOLUME'!B13*'Side by Side Amount'!B14)</f>
        <v>5.7899999999999991</v>
      </c>
      <c r="C13" s="4">
        <f>SUM('TOTAL VOLUME'!C13*'Side by Side Amount'!C14)</f>
        <v>11.749999999999998</v>
      </c>
      <c r="D13" s="4">
        <f>SUM('TOTAL VOLUME'!D13*'Side by Side Amount'!D14)</f>
        <v>23.840000000000003</v>
      </c>
      <c r="E13" s="4">
        <f>SUM('TOTAL VOLUME'!E13*'Side by Side Amount'!E14)</f>
        <v>49.920000000000023</v>
      </c>
      <c r="F13" s="4">
        <f>SUM('TOTAL VOLUME'!F13*'Side by Side Amount'!F14)</f>
        <v>96.480000000000018</v>
      </c>
      <c r="G13" s="4">
        <f>SUM('TOTAL VOLUME'!G13*'Side by Side Amount'!G14)</f>
        <v>72.929999999999993</v>
      </c>
      <c r="H13" s="4">
        <f>SUM('TOTAL VOLUME'!H13*'Side by Side Amount'!H14)</f>
        <v>188.18999999999997</v>
      </c>
      <c r="I13" s="4">
        <f>SUM('TOTAL VOLUME'!I13*'Side by Side Amount'!I14)</f>
        <v>2.88</v>
      </c>
      <c r="J13" s="4">
        <f>SUM('TOTAL VOLUME'!J13*'Side by Side Amount'!J14)</f>
        <v>0</v>
      </c>
      <c r="K13" s="4">
        <f>SUM('TOTAL VOLUME'!K13*'Side by Side Amount'!K14)</f>
        <v>0</v>
      </c>
      <c r="L13" s="4">
        <f>SUM('TOTAL VOLUME'!L13*'Side by Side Amount'!L14)</f>
        <v>0</v>
      </c>
      <c r="M13" s="4">
        <f>SUM('TOTAL VOLUME'!M13*'Side by Side Amount'!M14)</f>
        <v>58.56</v>
      </c>
      <c r="N13" s="4">
        <f>SUM('TOTAL VOLUME'!N13*'Side by Side Amount'!N14)</f>
        <v>62.759999999999991</v>
      </c>
      <c r="O13" s="4">
        <f>SUM('TOTAL VOLUME'!O13*'Side by Side Amount'!O14)</f>
        <v>100.71000000000001</v>
      </c>
      <c r="P13" s="4">
        <f>SUM('TOTAL VOLUME'!P13*'Side by Side Amount'!P14)</f>
        <v>821.7600000000001</v>
      </c>
      <c r="Q13" s="4">
        <f>SUM('TOTAL VOLUME'!Q13*'Side by Side Amount'!Q14)</f>
        <v>145.92000000000002</v>
      </c>
      <c r="R13" s="4">
        <f>SUM('TOTAL VOLUME'!R13*'Side by Side Amount'!R14)</f>
        <v>522.90000000000009</v>
      </c>
      <c r="S13" s="4">
        <f>SUM('TOTAL VOLUME'!S13*'Side by Side Amount'!S14)</f>
        <v>1886.5199999999993</v>
      </c>
      <c r="T13" s="4">
        <f>SUM('TOTAL VOLUME'!T13*'Side by Side Amount'!T14)</f>
        <v>699.3</v>
      </c>
      <c r="U13" s="4">
        <f>SUM('TOTAL VOLUME'!U13*'Side by Side Amount'!U14)</f>
        <v>752.14999999999986</v>
      </c>
      <c r="V13" s="4">
        <f>SUM('TOTAL VOLUME'!V13*'Side by Side Amount'!V14)</f>
        <v>2355.3599999999997</v>
      </c>
      <c r="W13" s="4">
        <f>SUM('TOTAL VOLUME'!W13*'Side by Side Amount'!W14)</f>
        <v>371.5100000000001</v>
      </c>
      <c r="X13" s="4">
        <f>SUM('TOTAL VOLUME'!X13*'Side by Side Amount'!X14)</f>
        <v>320.79000000000008</v>
      </c>
      <c r="Y13" s="4">
        <f>SUM('TOTAL VOLUME'!Y13*'Side by Side Amount'!Y14)</f>
        <v>1040.52</v>
      </c>
      <c r="Z13" s="4">
        <f>SUM('TOTAL VOLUME'!Z13*'Side by Side Amount'!Z14)</f>
        <v>2589.6200000000003</v>
      </c>
      <c r="AA13" s="4">
        <f>SUM('TOTAL VOLUME'!AA13*'Side by Side Amount'!AA14)</f>
        <v>3092.88</v>
      </c>
      <c r="AB13" s="4">
        <f>SUM('TOTAL VOLUME'!AB13*'Side by Side Amount'!AB14)</f>
        <v>1506.3999999999999</v>
      </c>
      <c r="AC13" s="4">
        <f>SUM('TOTAL VOLUME'!AC13*'Side by Side Amount'!AC14)</f>
        <v>5016.420000000001</v>
      </c>
    </row>
    <row r="14" spans="1:29" ht="12" x14ac:dyDescent="0.2">
      <c r="A14" s="2">
        <v>13</v>
      </c>
      <c r="B14" s="4">
        <f>SUM('TOTAL VOLUME'!B14*'Side by Side Amount'!B15)</f>
        <v>2.0700000000000003</v>
      </c>
      <c r="C14" s="4">
        <f>SUM('TOTAL VOLUME'!C14*'Side by Side Amount'!C15)</f>
        <v>2.4699999999999998</v>
      </c>
      <c r="D14" s="4">
        <f>SUM('TOTAL VOLUME'!D14*'Side by Side Amount'!D15)</f>
        <v>18.599999999999998</v>
      </c>
      <c r="E14" s="4">
        <f>SUM('TOTAL VOLUME'!E14*'Side by Side Amount'!E15)</f>
        <v>79.379999999999967</v>
      </c>
      <c r="F14" s="4">
        <f>SUM('TOTAL VOLUME'!F14*'Side by Side Amount'!F15)</f>
        <v>51.44</v>
      </c>
      <c r="G14" s="4">
        <f>SUM('TOTAL VOLUME'!G14*'Side by Side Amount'!G15)</f>
        <v>27.72</v>
      </c>
      <c r="H14" s="4">
        <f>SUM('TOTAL VOLUME'!H14*'Side by Side Amount'!H15)</f>
        <v>115.83999999999997</v>
      </c>
      <c r="I14" s="4">
        <f>SUM('TOTAL VOLUME'!I14*'Side by Side Amount'!I15)</f>
        <v>0</v>
      </c>
      <c r="J14" s="4">
        <f>SUM('TOTAL VOLUME'!J14*'Side by Side Amount'!J15)</f>
        <v>0</v>
      </c>
      <c r="K14" s="4">
        <f>SUM('TOTAL VOLUME'!K14*'Side by Side Amount'!K15)</f>
        <v>0</v>
      </c>
      <c r="L14" s="4">
        <f>SUM('TOTAL VOLUME'!L14*'Side by Side Amount'!L15)</f>
        <v>0</v>
      </c>
      <c r="M14" s="4">
        <f>SUM('TOTAL VOLUME'!M14*'Side by Side Amount'!M15)</f>
        <v>0</v>
      </c>
      <c r="N14" s="4">
        <f>SUM('TOTAL VOLUME'!N14*'Side by Side Amount'!N15)</f>
        <v>21.299999999999997</v>
      </c>
      <c r="O14" s="4">
        <f>SUM('TOTAL VOLUME'!O14*'Side by Side Amount'!O15)</f>
        <v>59.65</v>
      </c>
      <c r="P14" s="4">
        <f>SUM('TOTAL VOLUME'!P14*'Side by Side Amount'!P15)</f>
        <v>660.48000000000013</v>
      </c>
      <c r="Q14" s="4">
        <f>SUM('TOTAL VOLUME'!Q14*'Side by Side Amount'!Q15)</f>
        <v>136.96000000000004</v>
      </c>
      <c r="R14" s="4">
        <f>SUM('TOTAL VOLUME'!R14*'Side by Side Amount'!R15)</f>
        <v>427</v>
      </c>
      <c r="S14" s="4">
        <f>SUM('TOTAL VOLUME'!S14*'Side by Side Amount'!S15)</f>
        <v>1349.9499999999996</v>
      </c>
      <c r="T14" s="4">
        <f>SUM('TOTAL VOLUME'!T14*'Side by Side Amount'!T15)</f>
        <v>1190.8199999999995</v>
      </c>
      <c r="U14" s="4">
        <f>SUM('TOTAL VOLUME'!U14*'Side by Side Amount'!U15)</f>
        <v>325.70999999999992</v>
      </c>
      <c r="V14" s="4">
        <f>SUM('TOTAL VOLUME'!V14*'Side by Side Amount'!V15)</f>
        <v>2286.8400000000006</v>
      </c>
      <c r="W14" s="4">
        <f>SUM('TOTAL VOLUME'!W14*'Side by Side Amount'!W15)</f>
        <v>282.51</v>
      </c>
      <c r="X14" s="4">
        <f>SUM('TOTAL VOLUME'!X14*'Side by Side Amount'!X15)</f>
        <v>175</v>
      </c>
      <c r="Y14" s="4">
        <f>SUM('TOTAL VOLUME'!Y14*'Side by Side Amount'!Y15)</f>
        <v>781.83</v>
      </c>
      <c r="Z14" s="4">
        <f>SUM('TOTAL VOLUME'!Z14*'Side by Side Amount'!Z15)</f>
        <v>1503.1299999999999</v>
      </c>
      <c r="AA14" s="4">
        <f>SUM('TOTAL VOLUME'!AA14*'Side by Side Amount'!AA15)</f>
        <v>850.07999999999981</v>
      </c>
      <c r="AB14" s="4">
        <f>SUM('TOTAL VOLUME'!AB14*'Side by Side Amount'!AB15)</f>
        <v>922.95</v>
      </c>
      <c r="AC14" s="4">
        <f>SUM('TOTAL VOLUME'!AC14*'Side by Side Amount'!AC15)</f>
        <v>2867.41</v>
      </c>
    </row>
    <row r="15" spans="1:29" ht="12" x14ac:dyDescent="0.2">
      <c r="A15" s="2">
        <v>14</v>
      </c>
      <c r="B15" s="4">
        <f>SUM('TOTAL VOLUME'!B15*'Side by Side Amount'!B16)</f>
        <v>4.34</v>
      </c>
      <c r="C15" s="4">
        <f>SUM('TOTAL VOLUME'!C15*'Side by Side Amount'!C16)</f>
        <v>2.59</v>
      </c>
      <c r="D15" s="4">
        <f>SUM('TOTAL VOLUME'!D15*'Side by Side Amount'!D16)</f>
        <v>39.47999999999999</v>
      </c>
      <c r="E15" s="4">
        <f>SUM('TOTAL VOLUME'!E15*'Side by Side Amount'!E16)</f>
        <v>70.05</v>
      </c>
      <c r="F15" s="4">
        <f>SUM('TOTAL VOLUME'!F15*'Side by Side Amount'!F16)</f>
        <v>34.1</v>
      </c>
      <c r="G15" s="4">
        <f>SUM('TOTAL VOLUME'!G15*'Side by Side Amount'!G16)</f>
        <v>50.75</v>
      </c>
      <c r="H15" s="4">
        <f>SUM('TOTAL VOLUME'!H15*'Side by Side Amount'!H16)</f>
        <v>90.600000000000009</v>
      </c>
      <c r="I15" s="4">
        <f>SUM('TOTAL VOLUME'!I15*'Side by Side Amount'!I16)</f>
        <v>6.0200000000000014</v>
      </c>
      <c r="J15" s="4">
        <f>SUM('TOTAL VOLUME'!J15*'Side by Side Amount'!J16)</f>
        <v>4.4399999999999995</v>
      </c>
      <c r="K15" s="4">
        <f>SUM('TOTAL VOLUME'!K15*'Side by Side Amount'!K16)</f>
        <v>0</v>
      </c>
      <c r="L15" s="4">
        <f>SUM('TOTAL VOLUME'!L15*'Side by Side Amount'!L16)</f>
        <v>32.149999999999991</v>
      </c>
      <c r="M15" s="4">
        <f>SUM('TOTAL VOLUME'!M15*'Side by Side Amount'!M16)</f>
        <v>10.27</v>
      </c>
      <c r="N15" s="4">
        <f>SUM('TOTAL VOLUME'!N15*'Side by Side Amount'!N16)</f>
        <v>44.679999999999993</v>
      </c>
      <c r="O15" s="4">
        <f>SUM('TOTAL VOLUME'!O15*'Side by Side Amount'!O16)</f>
        <v>50.040000000000006</v>
      </c>
      <c r="P15" s="4">
        <f>SUM('TOTAL VOLUME'!P15*'Side by Side Amount'!P16)</f>
        <v>2800.6400000000003</v>
      </c>
      <c r="Q15" s="4">
        <f>SUM('TOTAL VOLUME'!Q15*'Side by Side Amount'!Q16)</f>
        <v>908.64000000000021</v>
      </c>
      <c r="R15" s="4">
        <f>SUM('TOTAL VOLUME'!R15*'Side by Side Amount'!R16)</f>
        <v>2340.5700000000002</v>
      </c>
      <c r="S15" s="4">
        <f>SUM('TOTAL VOLUME'!S15*'Side by Side Amount'!S16)</f>
        <v>4090</v>
      </c>
      <c r="T15" s="4">
        <f>SUM('TOTAL VOLUME'!T15*'Side by Side Amount'!T16)</f>
        <v>3990.2</v>
      </c>
      <c r="U15" s="4">
        <f>SUM('TOTAL VOLUME'!U15*'Side by Side Amount'!U16)</f>
        <v>1712.1599999999994</v>
      </c>
      <c r="V15" s="4">
        <f>SUM('TOTAL VOLUME'!V15*'Side by Side Amount'!V16)</f>
        <v>10497.059999999998</v>
      </c>
      <c r="W15" s="4">
        <f>SUM('TOTAL VOLUME'!W15*'Side by Side Amount'!W16)</f>
        <v>484.98</v>
      </c>
      <c r="X15" s="4">
        <f>SUM('TOTAL VOLUME'!X15*'Side by Side Amount'!X16)</f>
        <v>159.48000000000002</v>
      </c>
      <c r="Y15" s="4">
        <f>SUM('TOTAL VOLUME'!Y15*'Side by Side Amount'!Y16)</f>
        <v>832</v>
      </c>
      <c r="Z15" s="4">
        <f>SUM('TOTAL VOLUME'!Z15*'Side by Side Amount'!Z16)</f>
        <v>1960.1999999999998</v>
      </c>
      <c r="AA15" s="4">
        <f>SUM('TOTAL VOLUME'!AA15*'Side by Side Amount'!AA16)</f>
        <v>1000.0800000000002</v>
      </c>
      <c r="AB15" s="4">
        <f>SUM('TOTAL VOLUME'!AB15*'Side by Side Amount'!AB16)</f>
        <v>1034.0000000000002</v>
      </c>
      <c r="AC15" s="4">
        <f>SUM('TOTAL VOLUME'!AC15*'Side by Side Amount'!AC16)</f>
        <v>2109</v>
      </c>
    </row>
    <row r="16" spans="1:29" ht="12" x14ac:dyDescent="0.2">
      <c r="A16" s="2">
        <v>15</v>
      </c>
      <c r="B16" s="4">
        <f>SUM('TOTAL VOLUME'!B16*'Side by Side Amount'!B17)</f>
        <v>0</v>
      </c>
      <c r="C16" s="4">
        <f>SUM('TOTAL VOLUME'!C16*'Side by Side Amount'!C17)</f>
        <v>2.6400000000000006</v>
      </c>
      <c r="D16" s="4">
        <f>SUM('TOTAL VOLUME'!D16*'Side by Side Amount'!D17)</f>
        <v>0</v>
      </c>
      <c r="E16" s="4">
        <f>SUM('TOTAL VOLUME'!E16*'Side by Side Amount'!E17)</f>
        <v>33.879999999999995</v>
      </c>
      <c r="F16" s="4">
        <f>SUM('TOTAL VOLUME'!F16*'Side by Side Amount'!F17)</f>
        <v>71.8</v>
      </c>
      <c r="G16" s="4">
        <f>SUM('TOTAL VOLUME'!G16*'Side by Side Amount'!G17)</f>
        <v>22.71</v>
      </c>
      <c r="H16" s="4">
        <f>SUM('TOTAL VOLUME'!H16*'Side by Side Amount'!H17)</f>
        <v>86.789999999999964</v>
      </c>
      <c r="I16" s="4">
        <f>SUM('TOTAL VOLUME'!I16*'Side by Side Amount'!I17)</f>
        <v>0</v>
      </c>
      <c r="J16" s="4">
        <f>SUM('TOTAL VOLUME'!J16*'Side by Side Amount'!J17)</f>
        <v>0</v>
      </c>
      <c r="K16" s="4">
        <f>SUM('TOTAL VOLUME'!K16*'Side by Side Amount'!K17)</f>
        <v>0</v>
      </c>
      <c r="L16" s="4">
        <f>SUM('TOTAL VOLUME'!L16*'Side by Side Amount'!L17)</f>
        <v>0</v>
      </c>
      <c r="M16" s="4">
        <f>SUM('TOTAL VOLUME'!M16*'Side by Side Amount'!M17)</f>
        <v>21.700000000000003</v>
      </c>
      <c r="N16" s="4">
        <f>SUM('TOTAL VOLUME'!N16*'Side by Side Amount'!N17)</f>
        <v>61.5</v>
      </c>
      <c r="O16" s="4">
        <f>SUM('TOTAL VOLUME'!O16*'Side by Side Amount'!O17)</f>
        <v>79.440000000000012</v>
      </c>
      <c r="P16" s="4">
        <f>SUM('TOTAL VOLUME'!P16*'Side by Side Amount'!P17)</f>
        <v>311.04000000000008</v>
      </c>
      <c r="Q16" s="4">
        <f>SUM('TOTAL VOLUME'!Q16*'Side by Side Amount'!Q17)</f>
        <v>75.670000000000016</v>
      </c>
      <c r="R16" s="4">
        <f>SUM('TOTAL VOLUME'!R16*'Side by Side Amount'!R17)</f>
        <v>399.74999999999983</v>
      </c>
      <c r="S16" s="4">
        <f>SUM('TOTAL VOLUME'!S16*'Side by Side Amount'!S17)</f>
        <v>1183.6299999999999</v>
      </c>
      <c r="T16" s="4">
        <f>SUM('TOTAL VOLUME'!T16*'Side by Side Amount'!T17)</f>
        <v>819.2600000000001</v>
      </c>
      <c r="U16" s="4">
        <f>SUM('TOTAL VOLUME'!U16*'Side by Side Amount'!U17)</f>
        <v>377.99999999999994</v>
      </c>
      <c r="V16" s="4">
        <f>SUM('TOTAL VOLUME'!V16*'Side by Side Amount'!V17)</f>
        <v>2259.2399999999998</v>
      </c>
      <c r="W16" s="4">
        <f>SUM('TOTAL VOLUME'!W16*'Side by Side Amount'!W17)</f>
        <v>224.64000000000004</v>
      </c>
      <c r="X16" s="4">
        <f>SUM('TOTAL VOLUME'!X16*'Side by Side Amount'!X17)</f>
        <v>330.04</v>
      </c>
      <c r="Y16" s="4">
        <f>SUM('TOTAL VOLUME'!Y16*'Side by Side Amount'!Y17)</f>
        <v>906.63999999999987</v>
      </c>
      <c r="Z16" s="4">
        <f>SUM('TOTAL VOLUME'!Z16*'Side by Side Amount'!Z17)</f>
        <v>2428.58</v>
      </c>
      <c r="AA16" s="4">
        <f>SUM('TOTAL VOLUME'!AA16*'Side by Side Amount'!AA17)</f>
        <v>1434.51</v>
      </c>
      <c r="AB16" s="4">
        <f>SUM('TOTAL VOLUME'!AB16*'Side by Side Amount'!AB17)</f>
        <v>1184.4599999999998</v>
      </c>
      <c r="AC16" s="4">
        <f>SUM('TOTAL VOLUME'!AC16*'Side by Side Amount'!AC17)</f>
        <v>4515.6000000000004</v>
      </c>
    </row>
    <row r="17" spans="1:29" ht="12" x14ac:dyDescent="0.2">
      <c r="A17" s="2">
        <v>16</v>
      </c>
      <c r="B17" s="4">
        <f>SUM('TOTAL VOLUME'!B17*'Side by Side Amount'!B18)</f>
        <v>9.1600000000000037</v>
      </c>
      <c r="C17" s="4">
        <f>SUM('TOTAL VOLUME'!C17*'Side by Side Amount'!C18)</f>
        <v>2.7200000000000006</v>
      </c>
      <c r="D17" s="4">
        <f>SUM('TOTAL VOLUME'!D17*'Side by Side Amount'!D18)</f>
        <v>14.240000000000002</v>
      </c>
      <c r="E17" s="4">
        <f>SUM('TOTAL VOLUME'!E17*'Side by Side Amount'!E18)</f>
        <v>50.09999999999998</v>
      </c>
      <c r="F17" s="4">
        <f>SUM('TOTAL VOLUME'!F17*'Side by Side Amount'!F18)</f>
        <v>104.16000000000003</v>
      </c>
      <c r="G17" s="4">
        <f>SUM('TOTAL VOLUME'!G17*'Side by Side Amount'!G18)</f>
        <v>15.919999999999995</v>
      </c>
      <c r="H17" s="4">
        <f>SUM('TOTAL VOLUME'!H17*'Side by Side Amount'!H18)</f>
        <v>74.070000000000036</v>
      </c>
      <c r="I17" s="4">
        <f>SUM('TOTAL VOLUME'!I17*'Side by Side Amount'!I18)</f>
        <v>0</v>
      </c>
      <c r="J17" s="4">
        <f>SUM('TOTAL VOLUME'!J17*'Side by Side Amount'!J18)</f>
        <v>0</v>
      </c>
      <c r="K17" s="4">
        <f>SUM('TOTAL VOLUME'!K17*'Side by Side Amount'!K18)</f>
        <v>0</v>
      </c>
      <c r="L17" s="4">
        <f>SUM('TOTAL VOLUME'!L17*'Side by Side Amount'!L18)</f>
        <v>13.52</v>
      </c>
      <c r="M17" s="4">
        <f>SUM('TOTAL VOLUME'!M17*'Side by Side Amount'!M18)</f>
        <v>0</v>
      </c>
      <c r="N17" s="4">
        <f>SUM('TOTAL VOLUME'!N17*'Side by Side Amount'!N18)</f>
        <v>103.35999999999999</v>
      </c>
      <c r="O17" s="4">
        <f>SUM('TOTAL VOLUME'!O17*'Side by Side Amount'!O18)</f>
        <v>54.92</v>
      </c>
      <c r="P17" s="4">
        <f>SUM('TOTAL VOLUME'!P17*'Side by Side Amount'!P18)</f>
        <v>203.52000000000004</v>
      </c>
      <c r="Q17" s="4">
        <f>SUM('TOTAL VOLUME'!Q17*'Side by Side Amount'!Q18)</f>
        <v>144.57</v>
      </c>
      <c r="R17" s="4">
        <f>SUM('TOTAL VOLUME'!R17*'Side by Side Amount'!R18)</f>
        <v>279.29999999999995</v>
      </c>
      <c r="S17" s="4">
        <f>SUM('TOTAL VOLUME'!S17*'Side by Side Amount'!S18)</f>
        <v>744.29000000000019</v>
      </c>
      <c r="T17" s="4">
        <f>SUM('TOTAL VOLUME'!T17*'Side by Side Amount'!T18)</f>
        <v>704.52</v>
      </c>
      <c r="U17" s="4">
        <f>SUM('TOTAL VOLUME'!U17*'Side by Side Amount'!U18)</f>
        <v>392.07999999999993</v>
      </c>
      <c r="V17" s="4">
        <f>SUM('TOTAL VOLUME'!V17*'Side by Side Amount'!V18)</f>
        <v>2260.4400000000005</v>
      </c>
      <c r="W17" s="4">
        <f>SUM('TOTAL VOLUME'!W17*'Side by Side Amount'!W18)</f>
        <v>670.48000000000013</v>
      </c>
      <c r="X17" s="4">
        <f>SUM('TOTAL VOLUME'!X17*'Side by Side Amount'!X18)</f>
        <v>1127.7399999999998</v>
      </c>
      <c r="Y17" s="4">
        <f>SUM('TOTAL VOLUME'!Y17*'Side by Side Amount'!Y18)</f>
        <v>2160.08</v>
      </c>
      <c r="Z17" s="4">
        <f>SUM('TOTAL VOLUME'!Z17*'Side by Side Amount'!Z18)</f>
        <v>6046.42</v>
      </c>
      <c r="AA17" s="4">
        <f>SUM('TOTAL VOLUME'!AA17*'Side by Side Amount'!AA18)</f>
        <v>4250.8200000000006</v>
      </c>
      <c r="AB17" s="4">
        <f>SUM('TOTAL VOLUME'!AB17*'Side by Side Amount'!AB18)</f>
        <v>2678.13</v>
      </c>
      <c r="AC17" s="4">
        <f>SUM('TOTAL VOLUME'!AC17*'Side by Side Amount'!AC18)</f>
        <v>12538.949999999999</v>
      </c>
    </row>
    <row r="18" spans="1:29" ht="12" x14ac:dyDescent="0.2">
      <c r="A18" s="2">
        <v>17</v>
      </c>
      <c r="B18" s="4">
        <f>SUM('TOTAL VOLUME'!B18*'Side by Side Amount'!B19)</f>
        <v>11.899999999999999</v>
      </c>
      <c r="C18" s="4">
        <f>SUM('TOTAL VOLUME'!C18*'Side by Side Amount'!C19)</f>
        <v>2.8100000000000005</v>
      </c>
      <c r="D18" s="4">
        <f>SUM('TOTAL VOLUME'!D18*'Side by Side Amount'!D19)</f>
        <v>18.449999999999996</v>
      </c>
      <c r="E18" s="4">
        <f>SUM('TOTAL VOLUME'!E18*'Side by Side Amount'!E19)</f>
        <v>26.25</v>
      </c>
      <c r="F18" s="4">
        <f>SUM('TOTAL VOLUME'!F18*'Side by Side Amount'!F19)</f>
        <v>15.540000000000006</v>
      </c>
      <c r="G18" s="4">
        <f>SUM('TOTAL VOLUME'!G18*'Side by Side Amount'!G19)</f>
        <v>16.78</v>
      </c>
      <c r="H18" s="4">
        <f>SUM('TOTAL VOLUME'!H18*'Side by Side Amount'!H19)</f>
        <v>68.960000000000008</v>
      </c>
      <c r="I18" s="4">
        <f>SUM('TOTAL VOLUME'!I18*'Side by Side Amount'!I19)</f>
        <v>0</v>
      </c>
      <c r="J18" s="4">
        <f>SUM('TOTAL VOLUME'!J18*'Side by Side Amount'!J19)</f>
        <v>3.9500000000000011</v>
      </c>
      <c r="K18" s="4">
        <f>SUM('TOTAL VOLUME'!K18*'Side by Side Amount'!K19)</f>
        <v>0</v>
      </c>
      <c r="L18" s="4">
        <f>SUM('TOTAL VOLUME'!L18*'Side by Side Amount'!L19)</f>
        <v>6.84</v>
      </c>
      <c r="M18" s="4">
        <f>SUM('TOTAL VOLUME'!M18*'Side by Side Amount'!M19)</f>
        <v>0</v>
      </c>
      <c r="N18" s="4">
        <f>SUM('TOTAL VOLUME'!N18*'Side by Side Amount'!N19)</f>
        <v>0</v>
      </c>
      <c r="O18" s="4">
        <f>SUM('TOTAL VOLUME'!O18*'Side by Side Amount'!O19)</f>
        <v>187.07</v>
      </c>
      <c r="P18" s="4">
        <f>SUM('TOTAL VOLUME'!P18*'Side by Side Amount'!P19)</f>
        <v>140.80000000000004</v>
      </c>
      <c r="Q18" s="4">
        <f>SUM('TOTAL VOLUME'!Q18*'Side by Side Amount'!Q19)</f>
        <v>117.41000000000001</v>
      </c>
      <c r="R18" s="4">
        <f>SUM('TOTAL VOLUME'!R18*'Side by Side Amount'!R19)</f>
        <v>225.56999999999994</v>
      </c>
      <c r="S18" s="4">
        <f>SUM('TOTAL VOLUME'!S18*'Side by Side Amount'!S19)</f>
        <v>826.55</v>
      </c>
      <c r="T18" s="4">
        <f>SUM('TOTAL VOLUME'!T18*'Side by Side Amount'!T19)</f>
        <v>625.95000000000016</v>
      </c>
      <c r="U18" s="4">
        <f>SUM('TOTAL VOLUME'!U18*'Side by Side Amount'!U19)</f>
        <v>440.67000000000007</v>
      </c>
      <c r="V18" s="4">
        <f>SUM('TOTAL VOLUME'!V18*'Side by Side Amount'!V19)</f>
        <v>1052.4999999999998</v>
      </c>
      <c r="W18" s="4">
        <f>SUM('TOTAL VOLUME'!W18*'Side by Side Amount'!W19)</f>
        <v>1178.76</v>
      </c>
      <c r="X18" s="4">
        <f>SUM('TOTAL VOLUME'!X18*'Side by Side Amount'!X19)</f>
        <v>846.72000000000014</v>
      </c>
      <c r="Y18" s="4">
        <f>SUM('TOTAL VOLUME'!Y18*'Side by Side Amount'!Y19)</f>
        <v>2353.9199999999996</v>
      </c>
      <c r="Z18" s="4">
        <f>SUM('TOTAL VOLUME'!Z18*'Side by Side Amount'!Z19)</f>
        <v>6174.3499999999995</v>
      </c>
      <c r="AA18" s="4">
        <f>SUM('TOTAL VOLUME'!AA18*'Side by Side Amount'!AA19)</f>
        <v>3960.6600000000008</v>
      </c>
      <c r="AB18" s="4">
        <f>SUM('TOTAL VOLUME'!AB18*'Side by Side Amount'!AB19)</f>
        <v>2818.2</v>
      </c>
      <c r="AC18" s="4">
        <f>SUM('TOTAL VOLUME'!AC18*'Side by Side Amount'!AC19)</f>
        <v>11313.6</v>
      </c>
    </row>
    <row r="19" spans="1:29" ht="12" x14ac:dyDescent="0.2">
      <c r="A19" s="2">
        <v>18</v>
      </c>
      <c r="B19" s="4">
        <f>SUM('TOTAL VOLUME'!B19*'Side by Side Amount'!B20)</f>
        <v>14.699999999999996</v>
      </c>
      <c r="C19" s="4">
        <f>SUM('TOTAL VOLUME'!C19*'Side by Side Amount'!C20)</f>
        <v>17.46</v>
      </c>
      <c r="D19" s="4">
        <f>SUM('TOTAL VOLUME'!D19*'Side by Side Amount'!D20)</f>
        <v>3.8599999999999994</v>
      </c>
      <c r="E19" s="4">
        <f>SUM('TOTAL VOLUME'!E19*'Side by Side Amount'!E20)</f>
        <v>48.780000000000015</v>
      </c>
      <c r="F19" s="4">
        <f>SUM('TOTAL VOLUME'!F19*'Side by Side Amount'!F20)</f>
        <v>24.300000000000015</v>
      </c>
      <c r="G19" s="4">
        <f>SUM('TOTAL VOLUME'!G19*'Side by Side Amount'!G20)</f>
        <v>70.079999999999984</v>
      </c>
      <c r="H19" s="4">
        <f>SUM('TOTAL VOLUME'!H19*'Side by Side Amount'!H20)</f>
        <v>251.6399999999999</v>
      </c>
      <c r="I19" s="4">
        <f>SUM('TOTAL VOLUME'!I19*'Side by Side Amount'!I20)</f>
        <v>2.9399999999999995</v>
      </c>
      <c r="J19" s="4">
        <f>SUM('TOTAL VOLUME'!J19*'Side by Side Amount'!J20)</f>
        <v>0</v>
      </c>
      <c r="K19" s="4">
        <f>SUM('TOTAL VOLUME'!K19*'Side by Side Amount'!K20)</f>
        <v>0</v>
      </c>
      <c r="L19" s="4">
        <f>SUM('TOTAL VOLUME'!L19*'Side by Side Amount'!L20)</f>
        <v>0</v>
      </c>
      <c r="M19" s="4">
        <f>SUM('TOTAL VOLUME'!M19*'Side by Side Amount'!M20)</f>
        <v>48.64</v>
      </c>
      <c r="N19" s="4">
        <f>SUM('TOTAL VOLUME'!N19*'Side by Side Amount'!N20)</f>
        <v>41.669999999999987</v>
      </c>
      <c r="O19" s="4">
        <f>SUM('TOTAL VOLUME'!O19*'Side by Side Amount'!O20)</f>
        <v>371.75</v>
      </c>
      <c r="P19" s="4">
        <f>SUM('TOTAL VOLUME'!P19*'Side by Side Amount'!P20)</f>
        <v>179.54999999999995</v>
      </c>
      <c r="Q19" s="4">
        <f>SUM('TOTAL VOLUME'!Q19*'Side by Side Amount'!Q20)</f>
        <v>195.03999999999994</v>
      </c>
      <c r="R19" s="4">
        <f>SUM('TOTAL VOLUME'!R19*'Side by Side Amount'!R20)</f>
        <v>444.59999999999985</v>
      </c>
      <c r="S19" s="4">
        <f>SUM('TOTAL VOLUME'!S19*'Side by Side Amount'!S20)</f>
        <v>1099.0800000000004</v>
      </c>
      <c r="T19" s="4">
        <f>SUM('TOTAL VOLUME'!T19*'Side by Side Amount'!T20)</f>
        <v>865.2800000000002</v>
      </c>
      <c r="U19" s="4">
        <f>SUM('TOTAL VOLUME'!U19*'Side by Side Amount'!U20)</f>
        <v>623.19999999999993</v>
      </c>
      <c r="V19" s="4">
        <f>SUM('TOTAL VOLUME'!V19*'Side by Side Amount'!V20)</f>
        <v>1715.3499999999997</v>
      </c>
      <c r="W19" s="4">
        <f>SUM('TOTAL VOLUME'!W19*'Side by Side Amount'!W20)</f>
        <v>769.1600000000002</v>
      </c>
      <c r="X19" s="4">
        <f>SUM('TOTAL VOLUME'!X19*'Side by Side Amount'!X20)</f>
        <v>709.80000000000007</v>
      </c>
      <c r="Y19" s="4">
        <f>SUM('TOTAL VOLUME'!Y19*'Side by Side Amount'!Y20)</f>
        <v>1092.6800000000003</v>
      </c>
      <c r="Z19" s="4">
        <f>SUM('TOTAL VOLUME'!Z19*'Side by Side Amount'!Z20)</f>
        <v>3660.3600000000006</v>
      </c>
      <c r="AA19" s="4">
        <f>SUM('TOTAL VOLUME'!AA19*'Side by Side Amount'!AA20)</f>
        <v>2672.46</v>
      </c>
      <c r="AB19" s="4">
        <f>SUM('TOTAL VOLUME'!AB19*'Side by Side Amount'!AB20)</f>
        <v>1202.2399999999998</v>
      </c>
      <c r="AC19" s="4">
        <f>SUM('TOTAL VOLUME'!AC19*'Side by Side Amount'!AC20)</f>
        <v>6133.4</v>
      </c>
    </row>
    <row r="20" spans="1:29" ht="12" x14ac:dyDescent="0.2">
      <c r="A20" s="2">
        <v>19</v>
      </c>
      <c r="B20" s="4">
        <f>SUM('TOTAL VOLUME'!B20*'Side by Side Amount'!B21)</f>
        <v>5.120000000000001</v>
      </c>
      <c r="C20" s="4">
        <f>SUM('TOTAL VOLUME'!C20*'Side by Side Amount'!C21)</f>
        <v>8.9700000000000006</v>
      </c>
      <c r="D20" s="4">
        <f>SUM('TOTAL VOLUME'!D20*'Side by Side Amount'!D21)</f>
        <v>7.8599999999999994</v>
      </c>
      <c r="E20" s="4">
        <f>SUM('TOTAL VOLUME'!E20*'Side by Side Amount'!E21)</f>
        <v>90.399999999999977</v>
      </c>
      <c r="F20" s="4">
        <f>SUM('TOTAL VOLUME'!F20*'Side by Side Amount'!F21)</f>
        <v>33.52000000000001</v>
      </c>
      <c r="G20" s="4">
        <f>SUM('TOTAL VOLUME'!G20*'Side by Side Amount'!G21)</f>
        <v>45.800000000000018</v>
      </c>
      <c r="H20" s="4">
        <f>SUM('TOTAL VOLUME'!H20*'Side by Side Amount'!H21)</f>
        <v>47.099999999999994</v>
      </c>
      <c r="I20" s="4">
        <f>SUM('TOTAL VOLUME'!I20*'Side by Side Amount'!I21)</f>
        <v>0</v>
      </c>
      <c r="J20" s="4">
        <f>SUM('TOTAL VOLUME'!J20*'Side by Side Amount'!J21)</f>
        <v>0</v>
      </c>
      <c r="K20" s="4">
        <f>SUM('TOTAL VOLUME'!K20*'Side by Side Amount'!K21)</f>
        <v>0</v>
      </c>
      <c r="L20" s="4">
        <f>SUM('TOTAL VOLUME'!L20*'Side by Side Amount'!L21)</f>
        <v>0</v>
      </c>
      <c r="M20" s="4">
        <f>SUM('TOTAL VOLUME'!M20*'Side by Side Amount'!M21)</f>
        <v>12.52</v>
      </c>
      <c r="N20" s="4">
        <f>SUM('TOTAL VOLUME'!N20*'Side by Side Amount'!N21)</f>
        <v>28.200000000000003</v>
      </c>
      <c r="O20" s="4">
        <f>SUM('TOTAL VOLUME'!O20*'Side by Side Amount'!O21)</f>
        <v>184.56000000000003</v>
      </c>
      <c r="P20" s="4">
        <f>SUM('TOTAL VOLUME'!P20*'Side by Side Amount'!P21)</f>
        <v>161.70000000000002</v>
      </c>
      <c r="Q20" s="4">
        <f>SUM('TOTAL VOLUME'!Q20*'Side by Side Amount'!Q21)</f>
        <v>105.60000000000002</v>
      </c>
      <c r="R20" s="4">
        <f>SUM('TOTAL VOLUME'!R20*'Side by Side Amount'!R21)</f>
        <v>264.29000000000008</v>
      </c>
      <c r="S20" s="4">
        <f>SUM('TOTAL VOLUME'!S20*'Side by Side Amount'!S21)</f>
        <v>735.43</v>
      </c>
      <c r="T20" s="4">
        <f>SUM('TOTAL VOLUME'!T20*'Side by Side Amount'!T21)</f>
        <v>500.78</v>
      </c>
      <c r="U20" s="4">
        <f>SUM('TOTAL VOLUME'!U20*'Side by Side Amount'!U21)</f>
        <v>300.95999999999998</v>
      </c>
      <c r="V20" s="4">
        <f>SUM('TOTAL VOLUME'!V20*'Side by Side Amount'!V21)</f>
        <v>799.79999999999973</v>
      </c>
      <c r="W20" s="4">
        <f>SUM('TOTAL VOLUME'!W20*'Side by Side Amount'!W21)</f>
        <v>373.12000000000006</v>
      </c>
      <c r="X20" s="4">
        <f>SUM('TOTAL VOLUME'!X20*'Side by Side Amount'!X21)</f>
        <v>355.6</v>
      </c>
      <c r="Y20" s="4">
        <f>SUM('TOTAL VOLUME'!Y20*'Side by Side Amount'!Y21)</f>
        <v>703.75999999999988</v>
      </c>
      <c r="Z20" s="4">
        <f>SUM('TOTAL VOLUME'!Z20*'Side by Side Amount'!Z21)</f>
        <v>1881.8799999999999</v>
      </c>
      <c r="AA20" s="4">
        <f>SUM('TOTAL VOLUME'!AA20*'Side by Side Amount'!AA21)</f>
        <v>1273.8</v>
      </c>
      <c r="AB20" s="4">
        <f>SUM('TOTAL VOLUME'!AB20*'Side by Side Amount'!AB21)</f>
        <v>763.61999999999989</v>
      </c>
      <c r="AC20" s="4">
        <f>SUM('TOTAL VOLUME'!AC20*'Side by Side Amount'!AC21)</f>
        <v>2762.37</v>
      </c>
    </row>
    <row r="21" spans="1:29" ht="12" x14ac:dyDescent="0.2">
      <c r="A21" s="2">
        <v>20</v>
      </c>
      <c r="B21" s="4">
        <f>SUM('TOTAL VOLUME'!B21*'Side by Side Amount'!B22)</f>
        <v>10.560000000000002</v>
      </c>
      <c r="C21" s="4">
        <f>SUM('TOTAL VOLUME'!C21*'Side by Side Amount'!C22)</f>
        <v>6.2199999999999989</v>
      </c>
      <c r="D21" s="4">
        <f>SUM('TOTAL VOLUME'!D21*'Side by Side Amount'!D22)</f>
        <v>8.1800000000000033</v>
      </c>
      <c r="E21" s="4">
        <f>SUM('TOTAL VOLUME'!E21*'Side by Side Amount'!E22)</f>
        <v>47.28</v>
      </c>
      <c r="F21" s="4">
        <f>SUM('TOTAL VOLUME'!F21*'Side by Side Amount'!F22)</f>
        <v>43.349999999999994</v>
      </c>
      <c r="G21" s="4">
        <f>SUM('TOTAL VOLUME'!G21*'Side by Side Amount'!G22)</f>
        <v>37.879999999999981</v>
      </c>
      <c r="H21" s="4">
        <f>SUM('TOTAL VOLUME'!H21*'Side by Side Amount'!H22)</f>
        <v>68.39</v>
      </c>
      <c r="I21" s="4">
        <f>SUM('TOTAL VOLUME'!I21*'Side by Side Amount'!I22)</f>
        <v>0</v>
      </c>
      <c r="J21" s="4">
        <f>SUM('TOTAL VOLUME'!J21*'Side by Side Amount'!J22)</f>
        <v>0</v>
      </c>
      <c r="K21" s="4">
        <f>SUM('TOTAL VOLUME'!K21*'Side by Side Amount'!K22)</f>
        <v>0</v>
      </c>
      <c r="L21" s="4">
        <f>SUM('TOTAL VOLUME'!L21*'Side by Side Amount'!L22)</f>
        <v>0</v>
      </c>
      <c r="M21" s="4">
        <f>SUM('TOTAL VOLUME'!M21*'Side by Side Amount'!M22)</f>
        <v>12.93</v>
      </c>
      <c r="N21" s="4">
        <f>SUM('TOTAL VOLUME'!N21*'Side by Side Amount'!N22)</f>
        <v>42.389999999999986</v>
      </c>
      <c r="O21" s="4">
        <f>SUM('TOTAL VOLUME'!O21*'Side by Side Amount'!O22)</f>
        <v>157.5</v>
      </c>
      <c r="P21" s="4">
        <f>SUM('TOTAL VOLUME'!P21*'Side by Side Amount'!P22)</f>
        <v>270.29999999999995</v>
      </c>
      <c r="Q21" s="4">
        <f>SUM('TOTAL VOLUME'!Q21*'Side by Side Amount'!Q22)</f>
        <v>160.38000000000005</v>
      </c>
      <c r="R21" s="4">
        <f>SUM('TOTAL VOLUME'!R21*'Side by Side Amount'!R22)</f>
        <v>259.34999999999997</v>
      </c>
      <c r="S21" s="4">
        <f>SUM('TOTAL VOLUME'!S21*'Side by Side Amount'!S22)</f>
        <v>954.6500000000002</v>
      </c>
      <c r="T21" s="4">
        <f>SUM('TOTAL VOLUME'!T21*'Side by Side Amount'!T22)</f>
        <v>790.32000000000016</v>
      </c>
      <c r="U21" s="4">
        <f>SUM('TOTAL VOLUME'!U21*'Side by Side Amount'!U22)</f>
        <v>518.39999999999986</v>
      </c>
      <c r="V21" s="4">
        <f>SUM('TOTAL VOLUME'!V21*'Side by Side Amount'!V22)</f>
        <v>1239.9400000000003</v>
      </c>
      <c r="W21" s="4">
        <f>SUM('TOTAL VOLUME'!W21*'Side by Side Amount'!W22)</f>
        <v>283.20000000000005</v>
      </c>
      <c r="X21" s="4">
        <f>SUM('TOTAL VOLUME'!X21*'Side by Side Amount'!X22)</f>
        <v>153.14999999999998</v>
      </c>
      <c r="Y21" s="4">
        <f>SUM('TOTAL VOLUME'!Y21*'Side by Side Amount'!Y22)</f>
        <v>479.96000000000004</v>
      </c>
      <c r="Z21" s="4">
        <f>SUM('TOTAL VOLUME'!Z21*'Side by Side Amount'!Z22)</f>
        <v>1251.5999999999999</v>
      </c>
      <c r="AA21" s="4">
        <f>SUM('TOTAL VOLUME'!AA21*'Side by Side Amount'!AA22)</f>
        <v>830.30999999999983</v>
      </c>
      <c r="AB21" s="4">
        <f>SUM('TOTAL VOLUME'!AB21*'Side by Side Amount'!AB22)</f>
        <v>649.88</v>
      </c>
      <c r="AC21" s="4">
        <f>SUM('TOTAL VOLUME'!AC21*'Side by Side Amount'!AC22)</f>
        <v>1907.5500000000004</v>
      </c>
    </row>
    <row r="22" spans="1:29" ht="12" x14ac:dyDescent="0.2">
      <c r="A22" s="2">
        <v>21</v>
      </c>
      <c r="B22" s="4">
        <f>SUM('TOTAL VOLUME'!B22*'Side by Side Amount'!B23)</f>
        <v>13.799999999999999</v>
      </c>
      <c r="C22" s="4">
        <f>SUM('TOTAL VOLUME'!C22*'Side by Side Amount'!C23)</f>
        <v>3.2199999999999989</v>
      </c>
      <c r="D22" s="4">
        <f>SUM('TOTAL VOLUME'!D22*'Side by Side Amount'!D23)</f>
        <v>29.75</v>
      </c>
      <c r="E22" s="4">
        <f>SUM('TOTAL VOLUME'!E22*'Side by Side Amount'!E23)</f>
        <v>73.440000000000012</v>
      </c>
      <c r="F22" s="4">
        <f>SUM('TOTAL VOLUME'!F22*'Side by Side Amount'!F23)</f>
        <v>95.809999999999974</v>
      </c>
      <c r="G22" s="4">
        <f>SUM('TOTAL VOLUME'!G22*'Side by Side Amount'!G23)</f>
        <v>58.740000000000016</v>
      </c>
      <c r="H22" s="4">
        <f>SUM('TOTAL VOLUME'!H22*'Side by Side Amount'!H23)</f>
        <v>198.17000000000007</v>
      </c>
      <c r="I22" s="4">
        <f>SUM('TOTAL VOLUME'!I22*'Side by Side Amount'!I23)</f>
        <v>0</v>
      </c>
      <c r="J22" s="4">
        <f>SUM('TOTAL VOLUME'!J22*'Side by Side Amount'!J23)</f>
        <v>4.9399999999999995</v>
      </c>
      <c r="K22" s="4">
        <f>SUM('TOTAL VOLUME'!K22*'Side by Side Amount'!K23)</f>
        <v>10.400000000000002</v>
      </c>
      <c r="L22" s="4">
        <f>SUM('TOTAL VOLUME'!L22*'Side by Side Amount'!L23)</f>
        <v>25.590000000000003</v>
      </c>
      <c r="M22" s="4">
        <f>SUM('TOTAL VOLUME'!M22*'Side by Side Amount'!M23)</f>
        <v>63.599999999999994</v>
      </c>
      <c r="N22" s="4">
        <f>SUM('TOTAL VOLUME'!N22*'Side by Side Amount'!N23)</f>
        <v>60.56</v>
      </c>
      <c r="O22" s="4">
        <f>SUM('TOTAL VOLUME'!O22*'Side by Side Amount'!O23)</f>
        <v>196.2</v>
      </c>
      <c r="P22" s="4">
        <f>SUM('TOTAL VOLUME'!P22*'Side by Side Amount'!P23)</f>
        <v>332.64</v>
      </c>
      <c r="Q22" s="4">
        <f>SUM('TOTAL VOLUME'!Q22*'Side by Side Amount'!Q23)</f>
        <v>251.54999999999993</v>
      </c>
      <c r="R22" s="4">
        <f>SUM('TOTAL VOLUME'!R22*'Side by Side Amount'!R23)</f>
        <v>497.28999999999991</v>
      </c>
      <c r="S22" s="4">
        <f>SUM('TOTAL VOLUME'!S22*'Side by Side Amount'!S23)</f>
        <v>1228.2100000000003</v>
      </c>
      <c r="T22" s="4">
        <f>SUM('TOTAL VOLUME'!T22*'Side by Side Amount'!T23)</f>
        <v>1055.9999999999998</v>
      </c>
      <c r="U22" s="4">
        <f>SUM('TOTAL VOLUME'!U22*'Side by Side Amount'!U23)</f>
        <v>694.5200000000001</v>
      </c>
      <c r="V22" s="4">
        <f>SUM('TOTAL VOLUME'!V22*'Side by Side Amount'!V23)</f>
        <v>1744.6799999999998</v>
      </c>
      <c r="W22" s="4">
        <f>SUM('TOTAL VOLUME'!W22*'Side by Side Amount'!W23)</f>
        <v>371.07000000000005</v>
      </c>
      <c r="X22" s="4">
        <f>SUM('TOTAL VOLUME'!X22*'Side by Side Amount'!X23)</f>
        <v>309.42999999999995</v>
      </c>
      <c r="Y22" s="4">
        <f>SUM('TOTAL VOLUME'!Y22*'Side by Side Amount'!Y23)</f>
        <v>641.28000000000009</v>
      </c>
      <c r="Z22" s="4">
        <f>SUM('TOTAL VOLUME'!Z22*'Side by Side Amount'!Z23)</f>
        <v>1724.4900000000002</v>
      </c>
      <c r="AA22" s="4">
        <f>SUM('TOTAL VOLUME'!AA22*'Side by Side Amount'!AA23)</f>
        <v>2147</v>
      </c>
      <c r="AB22" s="4">
        <f>SUM('TOTAL VOLUME'!AB22*'Side by Side Amount'!AB23)</f>
        <v>1197.56</v>
      </c>
      <c r="AC22" s="4">
        <f>SUM('TOTAL VOLUME'!AC22*'Side by Side Amount'!AC23)</f>
        <v>2535.2600000000002</v>
      </c>
    </row>
    <row r="23" spans="1:29" ht="12" x14ac:dyDescent="0.2">
      <c r="A23" s="2">
        <v>22</v>
      </c>
      <c r="B23" s="4">
        <f>SUM('TOTAL VOLUME'!B23*'Side by Side Amount'!B24)</f>
        <v>8.5499999999999989</v>
      </c>
      <c r="C23" s="4">
        <f>SUM('TOTAL VOLUME'!C23*'Side by Side Amount'!C24)</f>
        <v>6.7800000000000011</v>
      </c>
      <c r="D23" s="4">
        <f>SUM('TOTAL VOLUME'!D23*'Side by Side Amount'!D24)</f>
        <v>39.150000000000013</v>
      </c>
      <c r="E23" s="4">
        <f>SUM('TOTAL VOLUME'!E23*'Side by Side Amount'!E24)</f>
        <v>81.769999999999982</v>
      </c>
      <c r="F23" s="4">
        <f>SUM('TOTAL VOLUME'!F23*'Side by Side Amount'!F24)</f>
        <v>92.699999999999989</v>
      </c>
      <c r="G23" s="4">
        <f>SUM('TOTAL VOLUME'!G23*'Side by Side Amount'!G24)</f>
        <v>61.02000000000001</v>
      </c>
      <c r="H23" s="4">
        <f>SUM('TOTAL VOLUME'!H23*'Side by Side Amount'!H24)</f>
        <v>281.58000000000015</v>
      </c>
      <c r="I23" s="4">
        <f>SUM('TOTAL VOLUME'!I23*'Side by Side Amount'!I24)</f>
        <v>3.25</v>
      </c>
      <c r="J23" s="4">
        <f>SUM('TOTAL VOLUME'!J23*'Side by Side Amount'!J24)</f>
        <v>0</v>
      </c>
      <c r="K23" s="4">
        <f>SUM('TOTAL VOLUME'!K23*'Side by Side Amount'!K24)</f>
        <v>0</v>
      </c>
      <c r="L23" s="4">
        <f>SUM('TOTAL VOLUME'!L23*'Side by Side Amount'!L24)</f>
        <v>41.2</v>
      </c>
      <c r="M23" s="4">
        <f>SUM('TOTAL VOLUME'!M23*'Side by Side Amount'!M24)</f>
        <v>13.510000000000002</v>
      </c>
      <c r="N23" s="4">
        <f>SUM('TOTAL VOLUME'!N23*'Side by Side Amount'!N24)</f>
        <v>60.72</v>
      </c>
      <c r="O23" s="4">
        <f>SUM('TOTAL VOLUME'!O23*'Side by Side Amount'!O24)</f>
        <v>118.50999999999999</v>
      </c>
      <c r="P23" s="4">
        <f>SUM('TOTAL VOLUME'!P23*'Side by Side Amount'!P24)</f>
        <v>522.81000000000006</v>
      </c>
      <c r="Q23" s="4">
        <f>SUM('TOTAL VOLUME'!Q23*'Side by Side Amount'!Q24)</f>
        <v>304.55999999999989</v>
      </c>
      <c r="R23" s="4">
        <f>SUM('TOTAL VOLUME'!R23*'Side by Side Amount'!R24)</f>
        <v>677.84</v>
      </c>
      <c r="S23" s="4">
        <f>SUM('TOTAL VOLUME'!S23*'Side by Side Amount'!S24)</f>
        <v>1722.9399999999998</v>
      </c>
      <c r="T23" s="4">
        <f>SUM('TOTAL VOLUME'!T23*'Side by Side Amount'!T24)</f>
        <v>1593.1800000000007</v>
      </c>
      <c r="U23" s="4">
        <f>SUM('TOTAL VOLUME'!U23*'Side by Side Amount'!U24)</f>
        <v>866.44999999999982</v>
      </c>
      <c r="V23" s="4">
        <f>SUM('TOTAL VOLUME'!V23*'Side by Side Amount'!V24)</f>
        <v>2332.9500000000007</v>
      </c>
      <c r="W23" s="4">
        <f>SUM('TOTAL VOLUME'!W23*'Side by Side Amount'!W24)</f>
        <v>393.80000000000007</v>
      </c>
      <c r="X23" s="4">
        <f>SUM('TOTAL VOLUME'!X23*'Side by Side Amount'!X24)</f>
        <v>168.90000000000003</v>
      </c>
      <c r="Y23" s="4">
        <f>SUM('TOTAL VOLUME'!Y23*'Side by Side Amount'!Y24)</f>
        <v>1077.96</v>
      </c>
      <c r="Z23" s="4">
        <f>SUM('TOTAL VOLUME'!Z23*'Side by Side Amount'!Z24)</f>
        <v>2183.4399999999996</v>
      </c>
      <c r="AA23" s="4">
        <f>SUM('TOTAL VOLUME'!AA23*'Side by Side Amount'!AA24)</f>
        <v>1638.0000000000002</v>
      </c>
      <c r="AB23" s="4">
        <f>SUM('TOTAL VOLUME'!AB23*'Side by Side Amount'!AB24)</f>
        <v>1236</v>
      </c>
      <c r="AC23" s="4">
        <f>SUM('TOTAL VOLUME'!AC23*'Side by Side Amount'!AC24)</f>
        <v>2990.3399999999997</v>
      </c>
    </row>
    <row r="24" spans="1:29" ht="12" x14ac:dyDescent="0.2">
      <c r="A24" s="2">
        <v>23</v>
      </c>
      <c r="B24" s="4">
        <f>SUM('TOTAL VOLUME'!B24*'Side by Side Amount'!B25)</f>
        <v>11.680000000000007</v>
      </c>
      <c r="C24" s="4">
        <f>SUM('TOTAL VOLUME'!C24*'Side by Side Amount'!C25)</f>
        <v>10.380000000000003</v>
      </c>
      <c r="D24" s="4">
        <f>SUM('TOTAL VOLUME'!D24*'Side by Side Amount'!D25)</f>
        <v>9.0399999999999991</v>
      </c>
      <c r="E24" s="4">
        <f>SUM('TOTAL VOLUME'!E24*'Side by Side Amount'!E25)</f>
        <v>51.680000000000007</v>
      </c>
      <c r="F24" s="4">
        <f>SUM('TOTAL VOLUME'!F24*'Side by Side Amount'!F25)</f>
        <v>57.66</v>
      </c>
      <c r="G24" s="4">
        <f>SUM('TOTAL VOLUME'!G24*'Side by Side Amount'!G25)</f>
        <v>52.5</v>
      </c>
      <c r="H24" s="4">
        <f>SUM('TOTAL VOLUME'!H24*'Side by Side Amount'!H25)</f>
        <v>279.75000000000011</v>
      </c>
      <c r="I24" s="4">
        <f>SUM('TOTAL VOLUME'!I24*'Side by Side Amount'!I25)</f>
        <v>0</v>
      </c>
      <c r="J24" s="4">
        <f>SUM('TOTAL VOLUME'!J24*'Side by Side Amount'!J25)</f>
        <v>0</v>
      </c>
      <c r="K24" s="4">
        <f>SUM('TOTAL VOLUME'!K24*'Side by Side Amount'!K25)</f>
        <v>5.43</v>
      </c>
      <c r="L24" s="4">
        <f>SUM('TOTAL VOLUME'!L24*'Side by Side Amount'!L25)</f>
        <v>0</v>
      </c>
      <c r="M24" s="4">
        <f>SUM('TOTAL VOLUME'!M24*'Side by Side Amount'!M25)</f>
        <v>27.319999999999993</v>
      </c>
      <c r="N24" s="4">
        <f>SUM('TOTAL VOLUME'!N24*'Side by Side Amount'!N25)</f>
        <v>49.199999999999996</v>
      </c>
      <c r="O24" s="4">
        <f>SUM('TOTAL VOLUME'!O24*'Side by Side Amount'!O25)</f>
        <v>218.16</v>
      </c>
      <c r="P24" s="4">
        <f>SUM('TOTAL VOLUME'!P24*'Side by Side Amount'!P25)</f>
        <v>411.19999999999993</v>
      </c>
      <c r="Q24" s="4">
        <f>SUM('TOTAL VOLUME'!Q24*'Side by Side Amount'!Q25)</f>
        <v>381.84000000000009</v>
      </c>
      <c r="R24" s="4">
        <f>SUM('TOTAL VOLUME'!R24*'Side by Side Amount'!R25)</f>
        <v>376.7999999999999</v>
      </c>
      <c r="S24" s="4">
        <f>SUM('TOTAL VOLUME'!S24*'Side by Side Amount'!S25)</f>
        <v>1222.56</v>
      </c>
      <c r="T24" s="4">
        <f>SUM('TOTAL VOLUME'!T24*'Side by Side Amount'!T25)</f>
        <v>1065.6800000000003</v>
      </c>
      <c r="U24" s="4">
        <f>SUM('TOTAL VOLUME'!U24*'Side by Side Amount'!U25)</f>
        <v>545.16000000000008</v>
      </c>
      <c r="V24" s="4">
        <f>SUM('TOTAL VOLUME'!V24*'Side by Side Amount'!V25)</f>
        <v>1836.9000000000003</v>
      </c>
      <c r="W24" s="4">
        <f>SUM('TOTAL VOLUME'!W24*'Side by Side Amount'!W25)</f>
        <v>434.40000000000009</v>
      </c>
      <c r="X24" s="4">
        <f>SUM('TOTAL VOLUME'!X24*'Side by Side Amount'!X25)</f>
        <v>147.28999999999996</v>
      </c>
      <c r="Y24" s="4">
        <f>SUM('TOTAL VOLUME'!Y24*'Side by Side Amount'!Y25)</f>
        <v>406.21999999999997</v>
      </c>
      <c r="Z24" s="4">
        <f>SUM('TOTAL VOLUME'!Z24*'Side by Side Amount'!Z25)</f>
        <v>1205.8800000000001</v>
      </c>
      <c r="AA24" s="4">
        <f>SUM('TOTAL VOLUME'!AA24*'Side by Side Amount'!AA25)</f>
        <v>884.88000000000011</v>
      </c>
      <c r="AB24" s="4">
        <f>SUM('TOTAL VOLUME'!AB24*'Side by Side Amount'!AB25)</f>
        <v>679</v>
      </c>
      <c r="AC24" s="4">
        <f>SUM('TOTAL VOLUME'!AC24*'Side by Side Amount'!AC25)</f>
        <v>2963.9</v>
      </c>
    </row>
    <row r="25" spans="1:29" ht="12" x14ac:dyDescent="0.2">
      <c r="A25" s="2">
        <v>24</v>
      </c>
      <c r="B25" s="4">
        <f>SUM('TOTAL VOLUME'!B25*'Side by Side Amount'!B26)</f>
        <v>2.99</v>
      </c>
      <c r="C25" s="4">
        <f>SUM('TOTAL VOLUME'!C25*'Side by Side Amount'!C26)</f>
        <v>7.18</v>
      </c>
      <c r="D25" s="4">
        <f>SUM('TOTAL VOLUME'!D25*'Side by Side Amount'!D26)</f>
        <v>4.66</v>
      </c>
      <c r="E25" s="4">
        <f>SUM('TOTAL VOLUME'!E25*'Side by Side Amount'!E26)</f>
        <v>60.390000000000008</v>
      </c>
      <c r="F25" s="4">
        <f>SUM('TOTAL VOLUME'!F25*'Side by Side Amount'!F26)</f>
        <v>39.799999999999997</v>
      </c>
      <c r="G25" s="4">
        <f>SUM('TOTAL VOLUME'!G25*'Side by Side Amount'!G26)</f>
        <v>22.180000000000007</v>
      </c>
      <c r="H25" s="4">
        <f>SUM('TOTAL VOLUME'!H25*'Side by Side Amount'!H26)</f>
        <v>180.96000000000004</v>
      </c>
      <c r="I25" s="4">
        <f>SUM('TOTAL VOLUME'!I25*'Side by Side Amount'!I26)</f>
        <v>0</v>
      </c>
      <c r="J25" s="4">
        <f>SUM('TOTAL VOLUME'!J25*'Side by Side Amount'!J26)</f>
        <v>0</v>
      </c>
      <c r="K25" s="4">
        <f>SUM('TOTAL VOLUME'!K25*'Side by Side Amount'!K26)</f>
        <v>0</v>
      </c>
      <c r="L25" s="4">
        <f>SUM('TOTAL VOLUME'!L25*'Side by Side Amount'!L26)</f>
        <v>0</v>
      </c>
      <c r="M25" s="4">
        <f>SUM('TOTAL VOLUME'!M25*'Side by Side Amount'!M26)</f>
        <v>42.449999999999989</v>
      </c>
      <c r="N25" s="4">
        <f>SUM('TOTAL VOLUME'!N25*'Side by Side Amount'!N26)</f>
        <v>0</v>
      </c>
      <c r="O25" s="4">
        <f>SUM('TOTAL VOLUME'!O25*'Side by Side Amount'!O26)</f>
        <v>97.549999999999983</v>
      </c>
      <c r="P25" s="4">
        <f>SUM('TOTAL VOLUME'!P25*'Side by Side Amount'!P26)</f>
        <v>242.54000000000008</v>
      </c>
      <c r="Q25" s="4">
        <f>SUM('TOTAL VOLUME'!Q25*'Side by Side Amount'!Q26)</f>
        <v>124.19999999999999</v>
      </c>
      <c r="R25" s="4">
        <f>SUM('TOTAL VOLUME'!R25*'Side by Side Amount'!R26)</f>
        <v>267.0499999999999</v>
      </c>
      <c r="S25" s="4">
        <f>SUM('TOTAL VOLUME'!S25*'Side by Side Amount'!S26)</f>
        <v>870.2099999999997</v>
      </c>
      <c r="T25" s="4">
        <f>SUM('TOTAL VOLUME'!T25*'Side by Side Amount'!T26)</f>
        <v>733.25999999999976</v>
      </c>
      <c r="U25" s="4">
        <f>SUM('TOTAL VOLUME'!U25*'Side by Side Amount'!U26)</f>
        <v>391.92000000000013</v>
      </c>
      <c r="V25" s="4">
        <f>SUM('TOTAL VOLUME'!V25*'Side by Side Amount'!V26)</f>
        <v>1417.16</v>
      </c>
      <c r="W25" s="4">
        <f>SUM('TOTAL VOLUME'!W25*'Side by Side Amount'!W26)</f>
        <v>496.59999999999997</v>
      </c>
      <c r="X25" s="4">
        <f>SUM('TOTAL VOLUME'!X25*'Side by Side Amount'!X26)</f>
        <v>295.62</v>
      </c>
      <c r="Y25" s="4">
        <f>SUM('TOTAL VOLUME'!Y25*'Side by Side Amount'!Y26)</f>
        <v>390.42</v>
      </c>
      <c r="Z25" s="4">
        <f>SUM('TOTAL VOLUME'!Z25*'Side by Side Amount'!Z26)</f>
        <v>1955.3399999999997</v>
      </c>
      <c r="AA25" s="4">
        <f>SUM('TOTAL VOLUME'!AA25*'Side by Side Amount'!AA26)</f>
        <v>1437.24</v>
      </c>
      <c r="AB25" s="4">
        <f>SUM('TOTAL VOLUME'!AB25*'Side by Side Amount'!AB26)</f>
        <v>1188.5200000000002</v>
      </c>
      <c r="AC25" s="4">
        <f>SUM('TOTAL VOLUME'!AC25*'Side by Side Amount'!AC26)</f>
        <v>3080.3399999999997</v>
      </c>
    </row>
    <row r="26" spans="1:29" ht="12" x14ac:dyDescent="0.2">
      <c r="A26" s="2">
        <v>25</v>
      </c>
      <c r="B26" s="4">
        <f>SUM('TOTAL VOLUME'!B26*'Side by Side Amount'!B27)</f>
        <v>3.09</v>
      </c>
      <c r="C26" s="4">
        <f>SUM('TOTAL VOLUME'!C26*'Side by Side Amount'!C27)</f>
        <v>3.7000000000000011</v>
      </c>
      <c r="D26" s="4">
        <f>SUM('TOTAL VOLUME'!D26*'Side by Side Amount'!D27)</f>
        <v>9.4999999999999964</v>
      </c>
      <c r="E26" s="4">
        <f>SUM('TOTAL VOLUME'!E26*'Side by Side Amount'!E27)</f>
        <v>104.24999999999999</v>
      </c>
      <c r="F26" s="4">
        <f>SUM('TOTAL VOLUME'!F26*'Side by Side Amount'!F27)</f>
        <v>20.539999999999992</v>
      </c>
      <c r="G26" s="4">
        <f>SUM('TOTAL VOLUME'!G26*'Side by Side Amount'!G27)</f>
        <v>45.199999999999989</v>
      </c>
      <c r="H26" s="4">
        <f>SUM('TOTAL VOLUME'!H26*'Side by Side Amount'!H27)</f>
        <v>82.459999999999951</v>
      </c>
      <c r="I26" s="4">
        <f>SUM('TOTAL VOLUME'!I26*'Side by Side Amount'!I27)</f>
        <v>0</v>
      </c>
      <c r="J26" s="4">
        <f>SUM('TOTAL VOLUME'!J26*'Side by Side Amount'!J27)</f>
        <v>0</v>
      </c>
      <c r="K26" s="4">
        <f>SUM('TOTAL VOLUME'!K26*'Side by Side Amount'!K27)</f>
        <v>0</v>
      </c>
      <c r="L26" s="4">
        <f>SUM('TOTAL VOLUME'!L26*'Side by Side Amount'!L27)</f>
        <v>0</v>
      </c>
      <c r="M26" s="4">
        <f>SUM('TOTAL VOLUME'!M26*'Side by Side Amount'!M27)</f>
        <v>29</v>
      </c>
      <c r="N26" s="4">
        <f>SUM('TOTAL VOLUME'!N26*'Side by Side Amount'!N27)</f>
        <v>0</v>
      </c>
      <c r="O26" s="4">
        <f>SUM('TOTAL VOLUME'!O26*'Side by Side Amount'!O27)</f>
        <v>92.800000000000011</v>
      </c>
      <c r="P26" s="4">
        <f>SUM('TOTAL VOLUME'!P26*'Side by Side Amount'!P27)</f>
        <v>258.03000000000003</v>
      </c>
      <c r="Q26" s="4">
        <f>SUM('TOTAL VOLUME'!Q26*'Side by Side Amount'!Q27)</f>
        <v>103.94999999999999</v>
      </c>
      <c r="R26" s="4">
        <f>SUM('TOTAL VOLUME'!R26*'Side by Side Amount'!R27)</f>
        <v>175.36999999999998</v>
      </c>
      <c r="S26" s="4">
        <f>SUM('TOTAL VOLUME'!S26*'Side by Side Amount'!S27)</f>
        <v>504.44999999999987</v>
      </c>
      <c r="T26" s="4">
        <f>SUM('TOTAL VOLUME'!T26*'Side by Side Amount'!T27)</f>
        <v>430.1</v>
      </c>
      <c r="U26" s="4">
        <f>SUM('TOTAL VOLUME'!U26*'Side by Side Amount'!U27)</f>
        <v>450</v>
      </c>
      <c r="V26" s="4">
        <f>SUM('TOTAL VOLUME'!V26*'Side by Side Amount'!V27)</f>
        <v>1022.8600000000001</v>
      </c>
      <c r="W26" s="4">
        <f>SUM('TOTAL VOLUME'!W26*'Side by Side Amount'!W27)</f>
        <v>355.12</v>
      </c>
      <c r="X26" s="4">
        <f>SUM('TOTAL VOLUME'!X26*'Side by Side Amount'!X27)</f>
        <v>182.87999999999997</v>
      </c>
      <c r="Y26" s="4">
        <f>SUM('TOTAL VOLUME'!Y26*'Side by Side Amount'!Y27)</f>
        <v>381.47999999999996</v>
      </c>
      <c r="Z26" s="4">
        <f>SUM('TOTAL VOLUME'!Z26*'Side by Side Amount'!Z27)</f>
        <v>726.89999999999986</v>
      </c>
      <c r="AA26" s="4">
        <f>SUM('TOTAL VOLUME'!AA26*'Side by Side Amount'!AA27)</f>
        <v>732.54</v>
      </c>
      <c r="AB26" s="4">
        <f>SUM('TOTAL VOLUME'!AB26*'Side by Side Amount'!AB27)</f>
        <v>583.38</v>
      </c>
      <c r="AC26" s="4">
        <f>SUM('TOTAL VOLUME'!AC26*'Side by Side Amount'!AC27)</f>
        <v>878.23</v>
      </c>
    </row>
    <row r="27" spans="1:29" ht="12" x14ac:dyDescent="0.2">
      <c r="A27" s="2">
        <v>26</v>
      </c>
      <c r="B27" s="4">
        <f>SUM('TOTAL VOLUME'!B27*'Side by Side Amount'!B28)</f>
        <v>9.51</v>
      </c>
      <c r="C27" s="4">
        <f>SUM('TOTAL VOLUME'!C27*'Side by Side Amount'!C28)</f>
        <v>3.8100000000000005</v>
      </c>
      <c r="D27" s="4">
        <f>SUM('TOTAL VOLUME'!D27*'Side by Side Amount'!D28)</f>
        <v>4.92</v>
      </c>
      <c r="E27" s="4">
        <f>SUM('TOTAL VOLUME'!E27*'Side by Side Amount'!E28)</f>
        <v>143.39999999999998</v>
      </c>
      <c r="F27" s="4">
        <f>SUM('TOTAL VOLUME'!F27*'Side by Side Amount'!F28)</f>
        <v>95.579999999999984</v>
      </c>
      <c r="G27" s="4">
        <f>SUM('TOTAL VOLUME'!G27*'Side by Side Amount'!G28)</f>
        <v>35.100000000000009</v>
      </c>
      <c r="H27" s="4">
        <f>SUM('TOTAL VOLUME'!H27*'Side by Side Amount'!H28)</f>
        <v>60.499999999999972</v>
      </c>
      <c r="I27" s="4">
        <f>SUM('TOTAL VOLUME'!I27*'Side by Side Amount'!I28)</f>
        <v>0</v>
      </c>
      <c r="J27" s="4">
        <f>SUM('TOTAL VOLUME'!J27*'Side by Side Amount'!J28)</f>
        <v>0</v>
      </c>
      <c r="K27" s="4">
        <f>SUM('TOTAL VOLUME'!K27*'Side by Side Amount'!K28)</f>
        <v>0</v>
      </c>
      <c r="L27" s="4">
        <f>SUM('TOTAL VOLUME'!L27*'Side by Side Amount'!L28)</f>
        <v>9.1900000000000013</v>
      </c>
      <c r="M27" s="4">
        <f>SUM('TOTAL VOLUME'!M27*'Side by Side Amount'!M28)</f>
        <v>14.920000000000002</v>
      </c>
      <c r="N27" s="4">
        <f>SUM('TOTAL VOLUME'!N27*'Side by Side Amount'!N28)</f>
        <v>36.339999999999996</v>
      </c>
      <c r="O27" s="4">
        <f>SUM('TOTAL VOLUME'!O27*'Side by Side Amount'!O28)</f>
        <v>57.33</v>
      </c>
      <c r="P27" s="4">
        <f>SUM('TOTAL VOLUME'!P27*'Side by Side Amount'!P28)</f>
        <v>168.48000000000002</v>
      </c>
      <c r="Q27" s="4">
        <f>SUM('TOTAL VOLUME'!Q27*'Side by Side Amount'!Q28)</f>
        <v>238.99999999999997</v>
      </c>
      <c r="R27" s="4">
        <f>SUM('TOTAL VOLUME'!R27*'Side by Side Amount'!R28)</f>
        <v>375.21999999999991</v>
      </c>
      <c r="S27" s="4">
        <f>SUM('TOTAL VOLUME'!S27*'Side by Side Amount'!S28)</f>
        <v>1062.6000000000001</v>
      </c>
      <c r="T27" s="4">
        <f>SUM('TOTAL VOLUME'!T27*'Side by Side Amount'!T28)</f>
        <v>410.21999999999991</v>
      </c>
      <c r="U27" s="4">
        <f>SUM('TOTAL VOLUME'!U27*'Side by Side Amount'!U28)</f>
        <v>1399.3200000000004</v>
      </c>
      <c r="V27" s="4">
        <f>SUM('TOTAL VOLUME'!V27*'Side by Side Amount'!V28)</f>
        <v>5002.2500000000009</v>
      </c>
      <c r="W27" s="4">
        <f>SUM('TOTAL VOLUME'!W27*'Side by Side Amount'!W28)</f>
        <v>224.12000000000003</v>
      </c>
      <c r="X27" s="4">
        <f>SUM('TOTAL VOLUME'!X27*'Side by Side Amount'!X28)</f>
        <v>258.92999999999995</v>
      </c>
      <c r="Y27" s="4">
        <f>SUM('TOTAL VOLUME'!Y27*'Side by Side Amount'!Y28)</f>
        <v>261.14</v>
      </c>
      <c r="Z27" s="4">
        <f>SUM('TOTAL VOLUME'!Z27*'Side by Side Amount'!Z28)</f>
        <v>699.3</v>
      </c>
      <c r="AA27" s="4">
        <f>SUM('TOTAL VOLUME'!AA27*'Side by Side Amount'!AA28)</f>
        <v>545.19999999999993</v>
      </c>
      <c r="AB27" s="4">
        <f>SUM('TOTAL VOLUME'!AB27*'Side by Side Amount'!AB28)</f>
        <v>427.04999999999995</v>
      </c>
      <c r="AC27" s="4">
        <f>SUM('TOTAL VOLUME'!AC27*'Side by Side Amount'!AC28)</f>
        <v>1189.9999999999998</v>
      </c>
    </row>
    <row r="28" spans="1:29" ht="12" x14ac:dyDescent="0.2">
      <c r="A28" s="2">
        <v>27</v>
      </c>
      <c r="B28" s="4">
        <f>SUM('TOTAL VOLUME'!B28*'Side by Side Amount'!B29)</f>
        <v>3.2800000000000011</v>
      </c>
      <c r="C28" s="4">
        <f>SUM('TOTAL VOLUME'!C28*'Side by Side Amount'!C29)</f>
        <v>15.639999999999993</v>
      </c>
      <c r="D28" s="4">
        <f>SUM('TOTAL VOLUME'!D28*'Side by Side Amount'!D29)</f>
        <v>0</v>
      </c>
      <c r="E28" s="4">
        <f>SUM('TOTAL VOLUME'!E28*'Side by Side Amount'!E29)</f>
        <v>59.360000000000014</v>
      </c>
      <c r="F28" s="4">
        <f>SUM('TOTAL VOLUME'!F28*'Side by Side Amount'!F29)</f>
        <v>21.97999999999999</v>
      </c>
      <c r="G28" s="4">
        <f>SUM('TOTAL VOLUME'!G28*'Side by Side Amount'!G29)</f>
        <v>12.080000000000005</v>
      </c>
      <c r="H28" s="4">
        <f>SUM('TOTAL VOLUME'!H28*'Side by Side Amount'!H29)</f>
        <v>24.959999999999994</v>
      </c>
      <c r="I28" s="4">
        <f>SUM('TOTAL VOLUME'!I28*'Side by Side Amount'!I29)</f>
        <v>3.7800000000000011</v>
      </c>
      <c r="J28" s="4">
        <f>SUM('TOTAL VOLUME'!J28*'Side by Side Amount'!J29)</f>
        <v>0</v>
      </c>
      <c r="K28" s="4">
        <f>SUM('TOTAL VOLUME'!K28*'Side by Side Amount'!K29)</f>
        <v>0</v>
      </c>
      <c r="L28" s="4">
        <f>SUM('TOTAL VOLUME'!L28*'Side by Side Amount'!L29)</f>
        <v>48.800000000000011</v>
      </c>
      <c r="M28" s="4">
        <f>SUM('TOTAL VOLUME'!M28*'Side by Side Amount'!M29)</f>
        <v>0</v>
      </c>
      <c r="N28" s="4">
        <f>SUM('TOTAL VOLUME'!N28*'Side by Side Amount'!N29)</f>
        <v>37.620000000000005</v>
      </c>
      <c r="O28" s="4">
        <f>SUM('TOTAL VOLUME'!O28*'Side by Side Amount'!O29)</f>
        <v>99.35</v>
      </c>
      <c r="P28" s="4">
        <f>SUM('TOTAL VOLUME'!P28*'Side by Side Amount'!P29)</f>
        <v>195.96000000000006</v>
      </c>
      <c r="Q28" s="4">
        <f>SUM('TOTAL VOLUME'!Q28*'Side by Side Amount'!Q29)</f>
        <v>295.24000000000007</v>
      </c>
      <c r="R28" s="4">
        <f>SUM('TOTAL VOLUME'!R28*'Side by Side Amount'!R29)</f>
        <v>581.64000000000021</v>
      </c>
      <c r="S28" s="4">
        <f>SUM('TOTAL VOLUME'!S28*'Side by Side Amount'!S29)</f>
        <v>1369.6799999999996</v>
      </c>
      <c r="T28" s="4">
        <f>SUM('TOTAL VOLUME'!T28*'Side by Side Amount'!T29)</f>
        <v>467.48000000000013</v>
      </c>
      <c r="U28" s="4">
        <f>SUM('TOTAL VOLUME'!U28*'Side by Side Amount'!U29)</f>
        <v>853.82999999999993</v>
      </c>
      <c r="V28" s="4">
        <f>SUM('TOTAL VOLUME'!V28*'Side by Side Amount'!V29)</f>
        <v>3644.8000000000006</v>
      </c>
      <c r="W28" s="4">
        <f>SUM('TOTAL VOLUME'!W28*'Side by Side Amount'!W29)</f>
        <v>353.83</v>
      </c>
      <c r="X28" s="4">
        <f>SUM('TOTAL VOLUME'!X28*'Side by Side Amount'!X29)</f>
        <v>124.20000000000002</v>
      </c>
      <c r="Y28" s="4">
        <f>SUM('TOTAL VOLUME'!Y28*'Side by Side Amount'!Y29)</f>
        <v>193.84</v>
      </c>
      <c r="Z28" s="4">
        <f>SUM('TOTAL VOLUME'!Z28*'Side by Side Amount'!Z29)</f>
        <v>467.6400000000001</v>
      </c>
      <c r="AA28" s="4">
        <f>SUM('TOTAL VOLUME'!AA28*'Side by Side Amount'!AA29)</f>
        <v>777.84</v>
      </c>
      <c r="AB28" s="4">
        <f>SUM('TOTAL VOLUME'!AB28*'Side by Side Amount'!AB29)</f>
        <v>175.02</v>
      </c>
      <c r="AC28" s="4">
        <f>SUM('TOTAL VOLUME'!AC28*'Side by Side Amount'!AC29)</f>
        <v>1149.96</v>
      </c>
    </row>
    <row r="29" spans="1:29" ht="12" x14ac:dyDescent="0.2">
      <c r="A29" s="2">
        <v>28</v>
      </c>
      <c r="B29" s="4">
        <f>SUM('TOTAL VOLUME'!B29*'Side by Side Amount'!B30)</f>
        <v>3.3800000000000008</v>
      </c>
      <c r="C29" s="4">
        <f>SUM('TOTAL VOLUME'!C29*'Side by Side Amount'!C30)</f>
        <v>8.0800000000000018</v>
      </c>
      <c r="D29" s="4">
        <f>SUM('TOTAL VOLUME'!D29*'Side by Side Amount'!D30)</f>
        <v>0</v>
      </c>
      <c r="E29" s="4">
        <f>SUM('TOTAL VOLUME'!E29*'Side by Side Amount'!E30)</f>
        <v>30.400000000000006</v>
      </c>
      <c r="F29" s="4">
        <f>SUM('TOTAL VOLUME'!F29*'Side by Side Amount'!F30)</f>
        <v>11.269999999999996</v>
      </c>
      <c r="G29" s="4">
        <f>SUM('TOTAL VOLUME'!G29*'Side by Side Amount'!G30)</f>
        <v>0</v>
      </c>
      <c r="H29" s="4">
        <f>SUM('TOTAL VOLUME'!H29*'Side by Side Amount'!H30)</f>
        <v>51.120000000000005</v>
      </c>
      <c r="I29" s="4">
        <f>SUM('TOTAL VOLUME'!I29*'Side by Side Amount'!I30)</f>
        <v>0</v>
      </c>
      <c r="J29" s="4">
        <f>SUM('TOTAL VOLUME'!J29*'Side by Side Amount'!J30)</f>
        <v>0</v>
      </c>
      <c r="K29" s="4">
        <f>SUM('TOTAL VOLUME'!K29*'Side by Side Amount'!K30)</f>
        <v>0</v>
      </c>
      <c r="L29" s="4">
        <f>SUM('TOTAL VOLUME'!L29*'Side by Side Amount'!L30)</f>
        <v>9.7199999999999989</v>
      </c>
      <c r="M29" s="4">
        <f>SUM('TOTAL VOLUME'!M29*'Side by Side Amount'!M30)</f>
        <v>0</v>
      </c>
      <c r="N29" s="4">
        <f>SUM('TOTAL VOLUME'!N29*'Side by Side Amount'!N30)</f>
        <v>0</v>
      </c>
      <c r="O29" s="4">
        <f>SUM('TOTAL VOLUME'!O29*'Side by Side Amount'!O30)</f>
        <v>61.019999999999989</v>
      </c>
      <c r="P29" s="4">
        <f>SUM('TOTAL VOLUME'!P29*'Side by Side Amount'!P30)</f>
        <v>145.38999999999999</v>
      </c>
      <c r="Q29" s="4">
        <f>SUM('TOTAL VOLUME'!Q29*'Side by Side Amount'!Q30)</f>
        <v>117.5</v>
      </c>
      <c r="R29" s="4">
        <f>SUM('TOTAL VOLUME'!R29*'Side by Side Amount'!R30)</f>
        <v>294.84000000000003</v>
      </c>
      <c r="S29" s="4">
        <f>SUM('TOTAL VOLUME'!S29*'Side by Side Amount'!S30)</f>
        <v>424.61999999999989</v>
      </c>
      <c r="T29" s="4">
        <f>SUM('TOTAL VOLUME'!T29*'Side by Side Amount'!T30)</f>
        <v>261.64000000000016</v>
      </c>
      <c r="U29" s="4">
        <f>SUM('TOTAL VOLUME'!U29*'Side by Side Amount'!U30)</f>
        <v>209.57999999999993</v>
      </c>
      <c r="V29" s="4">
        <f>SUM('TOTAL VOLUME'!V29*'Side by Side Amount'!V30)</f>
        <v>1144.92</v>
      </c>
      <c r="W29" s="4">
        <f>SUM('TOTAL VOLUME'!W29*'Side by Side Amount'!W30)</f>
        <v>291.06</v>
      </c>
      <c r="X29" s="4">
        <f>SUM('TOTAL VOLUME'!X29*'Side by Side Amount'!X30)</f>
        <v>87.22</v>
      </c>
      <c r="Y29" s="4">
        <f>SUM('TOTAL VOLUME'!Y29*'Side by Side Amount'!Y30)</f>
        <v>124.45</v>
      </c>
      <c r="Z29" s="4">
        <f>SUM('TOTAL VOLUME'!Z29*'Side by Side Amount'!Z30)</f>
        <v>561.54</v>
      </c>
      <c r="AA29" s="4">
        <f>SUM('TOTAL VOLUME'!AA29*'Side by Side Amount'!AA30)</f>
        <v>391.02</v>
      </c>
      <c r="AB29" s="4">
        <f>SUM('TOTAL VOLUME'!AB29*'Side by Side Amount'!AB30)</f>
        <v>238.55999999999997</v>
      </c>
      <c r="AC29" s="4">
        <f>SUM('TOTAL VOLUME'!AC29*'Side by Side Amount'!AC30)</f>
        <v>1114.75</v>
      </c>
    </row>
    <row r="30" spans="1:29" ht="12" x14ac:dyDescent="0.2">
      <c r="A30" s="2">
        <v>29</v>
      </c>
      <c r="B30" s="4">
        <f>SUM('TOTAL VOLUME'!B30*'Side by Side Amount'!B31)</f>
        <v>3.4700000000000006</v>
      </c>
      <c r="C30" s="4">
        <f>SUM('TOTAL VOLUME'!C30*'Side by Side Amount'!C31)</f>
        <v>12.330000000000004</v>
      </c>
      <c r="D30" s="4">
        <f>SUM('TOTAL VOLUME'!D30*'Side by Side Amount'!D31)</f>
        <v>0</v>
      </c>
      <c r="E30" s="4">
        <f>SUM('TOTAL VOLUME'!E30*'Side by Side Amount'!E31)</f>
        <v>0</v>
      </c>
      <c r="F30" s="4">
        <f>SUM('TOTAL VOLUME'!F30*'Side by Side Amount'!F31)</f>
        <v>11.57</v>
      </c>
      <c r="G30" s="4">
        <f>SUM('TOTAL VOLUME'!G30*'Side by Side Amount'!G31)</f>
        <v>12.71</v>
      </c>
      <c r="H30" s="4">
        <f>SUM('TOTAL VOLUME'!H30*'Side by Side Amount'!H31)</f>
        <v>39.480000000000011</v>
      </c>
      <c r="I30" s="4">
        <f>SUM('TOTAL VOLUME'!I30*'Side by Side Amount'!I31)</f>
        <v>0</v>
      </c>
      <c r="J30" s="4">
        <f>SUM('TOTAL VOLUME'!J30*'Side by Side Amount'!J31)</f>
        <v>0</v>
      </c>
      <c r="K30" s="4">
        <f>SUM('TOTAL VOLUME'!K30*'Side by Side Amount'!K31)</f>
        <v>0</v>
      </c>
      <c r="L30" s="4">
        <f>SUM('TOTAL VOLUME'!L30*'Side by Side Amount'!L31)</f>
        <v>0</v>
      </c>
      <c r="M30" s="4">
        <f>SUM('TOTAL VOLUME'!M30*'Side by Side Amount'!M31)</f>
        <v>30.79999999999999</v>
      </c>
      <c r="N30" s="4">
        <f>SUM('TOTAL VOLUME'!N30*'Side by Side Amount'!N31)</f>
        <v>19.96</v>
      </c>
      <c r="O30" s="4">
        <f>SUM('TOTAL VOLUME'!O30*'Side by Side Amount'!O31)</f>
        <v>21.18</v>
      </c>
      <c r="P30" s="4">
        <f>SUM('TOTAL VOLUME'!P30*'Side by Side Amount'!P31)</f>
        <v>85.019999999999982</v>
      </c>
      <c r="Q30" s="4">
        <f>SUM('TOTAL VOLUME'!Q30*'Side by Side Amount'!Q31)</f>
        <v>35.56</v>
      </c>
      <c r="R30" s="4">
        <f>SUM('TOTAL VOLUME'!R30*'Side by Side Amount'!R31)</f>
        <v>99.749999999999986</v>
      </c>
      <c r="S30" s="4">
        <f>SUM('TOTAL VOLUME'!S30*'Side by Side Amount'!S31)</f>
        <v>214.20000000000002</v>
      </c>
      <c r="T30" s="4">
        <f>SUM('TOTAL VOLUME'!T30*'Side by Side Amount'!T31)</f>
        <v>203.9799999999999</v>
      </c>
      <c r="U30" s="4">
        <f>SUM('TOTAL VOLUME'!U30*'Side by Side Amount'!U31)</f>
        <v>91.800000000000026</v>
      </c>
      <c r="V30" s="4">
        <f>SUM('TOTAL VOLUME'!V30*'Side by Side Amount'!V31)</f>
        <v>434.99999999999977</v>
      </c>
      <c r="W30" s="4">
        <f>SUM('TOTAL VOLUME'!W30*'Side by Side Amount'!W31)</f>
        <v>310.10000000000002</v>
      </c>
      <c r="X30" s="4">
        <f>SUM('TOTAL VOLUME'!X30*'Side by Side Amount'!X31)</f>
        <v>50.08</v>
      </c>
      <c r="Y30" s="4">
        <f>SUM('TOTAL VOLUME'!Y30*'Side by Side Amount'!Y31)</f>
        <v>356.44000000000005</v>
      </c>
      <c r="Z30" s="4">
        <f>SUM('TOTAL VOLUME'!Z30*'Side by Side Amount'!Z31)</f>
        <v>670.25</v>
      </c>
      <c r="AA30" s="4">
        <f>SUM('TOTAL VOLUME'!AA30*'Side by Side Amount'!AA31)</f>
        <v>560.4</v>
      </c>
      <c r="AB30" s="4">
        <f>SUM('TOTAL VOLUME'!AB30*'Side by Side Amount'!AB31)</f>
        <v>457.20000000000005</v>
      </c>
      <c r="AC30" s="4">
        <f>SUM('TOTAL VOLUME'!AC30*'Side by Side Amount'!AC31)</f>
        <v>1248.3900000000001</v>
      </c>
    </row>
    <row r="31" spans="1:29" ht="12" x14ac:dyDescent="0.2">
      <c r="A31" s="2">
        <v>30</v>
      </c>
      <c r="B31" s="4">
        <f>SUM('TOTAL VOLUME'!B31*'Side by Side Amount'!B32)</f>
        <v>3.4800000000000004</v>
      </c>
      <c r="C31" s="4">
        <f>SUM('TOTAL VOLUME'!C31*'Side by Side Amount'!C32)</f>
        <v>0</v>
      </c>
      <c r="D31" s="4">
        <f>SUM('TOTAL VOLUME'!D31*'Side by Side Amount'!D32)</f>
        <v>0</v>
      </c>
      <c r="E31" s="4">
        <f>SUM('TOTAL VOLUME'!E31*'Side by Side Amount'!E32)</f>
        <v>24.089999999999993</v>
      </c>
      <c r="F31" s="4">
        <f>SUM('TOTAL VOLUME'!F31*'Side by Side Amount'!F32)</f>
        <v>35.67</v>
      </c>
      <c r="G31" s="4">
        <f>SUM('TOTAL VOLUME'!G31*'Side by Side Amount'!G32)</f>
        <v>26.100000000000009</v>
      </c>
      <c r="H31" s="4">
        <f>SUM('TOTAL VOLUME'!H31*'Side by Side Amount'!H32)</f>
        <v>80.940000000000012</v>
      </c>
      <c r="I31" s="4">
        <f>SUM('TOTAL VOLUME'!I31*'Side by Side Amount'!I32)</f>
        <v>0</v>
      </c>
      <c r="J31" s="4">
        <f>SUM('TOTAL VOLUME'!J31*'Side by Side Amount'!J32)</f>
        <v>0</v>
      </c>
      <c r="K31" s="4">
        <f>SUM('TOTAL VOLUME'!K31*'Side by Side Amount'!K32)</f>
        <v>0</v>
      </c>
      <c r="L31" s="4">
        <f>SUM('TOTAL VOLUME'!L31*'Side by Side Amount'!L32)</f>
        <v>10.27</v>
      </c>
      <c r="M31" s="4">
        <f>SUM('TOTAL VOLUME'!M31*'Side by Side Amount'!M32)</f>
        <v>15.939999999999998</v>
      </c>
      <c r="N31" s="4">
        <f>SUM('TOTAL VOLUME'!N31*'Side by Side Amount'!N32)</f>
        <v>0</v>
      </c>
      <c r="O31" s="4">
        <f>SUM('TOTAL VOLUME'!O31*'Side by Side Amount'!O32)</f>
        <v>108.05</v>
      </c>
      <c r="P31" s="4">
        <f>SUM('TOTAL VOLUME'!P31*'Side by Side Amount'!P32)</f>
        <v>119.77999999999999</v>
      </c>
      <c r="Q31" s="4">
        <f>SUM('TOTAL VOLUME'!Q31*'Side by Side Amount'!Q32)</f>
        <v>78.299999999999983</v>
      </c>
      <c r="R31" s="4">
        <f>SUM('TOTAL VOLUME'!R31*'Side by Side Amount'!R32)</f>
        <v>88.499999999999972</v>
      </c>
      <c r="S31" s="4">
        <f>SUM('TOTAL VOLUME'!S31*'Side by Side Amount'!S32)</f>
        <v>403.55999999999989</v>
      </c>
      <c r="T31" s="4">
        <f>SUM('TOTAL VOLUME'!T31*'Side by Side Amount'!T32)</f>
        <v>352.8</v>
      </c>
      <c r="U31" s="4">
        <f>SUM('TOTAL VOLUME'!U31*'Side by Side Amount'!U32)</f>
        <v>230.85000000000002</v>
      </c>
      <c r="V31" s="4">
        <f>SUM('TOTAL VOLUME'!V31*'Side by Side Amount'!V32)</f>
        <v>452.99999999999994</v>
      </c>
      <c r="W31" s="4">
        <f>SUM('TOTAL VOLUME'!W31*'Side by Side Amount'!W32)</f>
        <v>577.85</v>
      </c>
      <c r="X31" s="4">
        <f>SUM('TOTAL VOLUME'!X31*'Side by Side Amount'!X32)</f>
        <v>276.10000000000002</v>
      </c>
      <c r="Y31" s="4">
        <f>SUM('TOTAL VOLUME'!Y31*'Side by Side Amount'!Y32)</f>
        <v>408.32000000000005</v>
      </c>
      <c r="Z31" s="4">
        <f>SUM('TOTAL VOLUME'!Z31*'Side by Side Amount'!Z32)</f>
        <v>1271.3499999999999</v>
      </c>
      <c r="AA31" s="4">
        <f>SUM('TOTAL VOLUME'!AA31*'Side by Side Amount'!AA32)</f>
        <v>786.24</v>
      </c>
      <c r="AB31" s="4">
        <f>SUM('TOTAL VOLUME'!AB31*'Side by Side Amount'!AB32)</f>
        <v>581.78</v>
      </c>
      <c r="AC31" s="4">
        <f>SUM('TOTAL VOLUME'!AC31*'Side by Side Amount'!AC32)</f>
        <v>2652.6800000000003</v>
      </c>
    </row>
    <row r="32" spans="1:29" ht="12" x14ac:dyDescent="0.2">
      <c r="A32" s="2">
        <v>31</v>
      </c>
      <c r="B32" s="4">
        <f>SUM('TOTAL VOLUME'!B32*'Side by Side Amount'!B33)</f>
        <v>3.5</v>
      </c>
      <c r="C32" s="4">
        <f>SUM('TOTAL VOLUME'!C32*'Side by Side Amount'!C33)</f>
        <v>0</v>
      </c>
      <c r="D32" s="4">
        <f>SUM('TOTAL VOLUME'!D32*'Side by Side Amount'!D33)</f>
        <v>11.280000000000001</v>
      </c>
      <c r="E32" s="4">
        <f>SUM('TOTAL VOLUME'!E32*'Side by Side Amount'!E33)</f>
        <v>49.320000000000014</v>
      </c>
      <c r="F32" s="4">
        <f>SUM('TOTAL VOLUME'!F32*'Side by Side Amount'!F33)</f>
        <v>72.960000000000022</v>
      </c>
      <c r="G32" s="4">
        <f>SUM('TOTAL VOLUME'!G32*'Side by Side Amount'!G33)</f>
        <v>26.659999999999997</v>
      </c>
      <c r="H32" s="4">
        <f>SUM('TOTAL VOLUME'!H32*'Side by Side Amount'!H33)</f>
        <v>180.18</v>
      </c>
      <c r="I32" s="4">
        <f>SUM('TOTAL VOLUME'!I32*'Side by Side Amount'!I33)</f>
        <v>0</v>
      </c>
      <c r="J32" s="4">
        <f>SUM('TOTAL VOLUME'!J32*'Side by Side Amount'!J33)</f>
        <v>0</v>
      </c>
      <c r="K32" s="4">
        <f>SUM('TOTAL VOLUME'!K32*'Side by Side Amount'!K33)</f>
        <v>0</v>
      </c>
      <c r="L32" s="4">
        <f>SUM('TOTAL VOLUME'!L32*'Side by Side Amount'!L33)</f>
        <v>0</v>
      </c>
      <c r="M32" s="4">
        <f>SUM('TOTAL VOLUME'!M32*'Side by Side Amount'!M33)</f>
        <v>0</v>
      </c>
      <c r="N32" s="4">
        <f>SUM('TOTAL VOLUME'!N32*'Side by Side Amount'!N33)</f>
        <v>0</v>
      </c>
      <c r="O32" s="4">
        <f>SUM('TOTAL VOLUME'!O32*'Side by Side Amount'!O33)</f>
        <v>377.56999999999988</v>
      </c>
      <c r="P32" s="4">
        <f>SUM('TOTAL VOLUME'!P32*'Side by Side Amount'!P33)</f>
        <v>169.98999999999992</v>
      </c>
      <c r="Q32" s="4">
        <f>SUM('TOTAL VOLUME'!Q32*'Side by Side Amount'!Q33)</f>
        <v>71.04000000000002</v>
      </c>
      <c r="R32" s="4">
        <f>SUM('TOTAL VOLUME'!R32*'Side by Side Amount'!R33)</f>
        <v>136.07999999999998</v>
      </c>
      <c r="S32" s="4">
        <f>SUM('TOTAL VOLUME'!S32*'Side by Side Amount'!S33)</f>
        <v>375.70000000000005</v>
      </c>
      <c r="T32" s="4">
        <f>SUM('TOTAL VOLUME'!T32*'Side by Side Amount'!T33)</f>
        <v>408.47999999999996</v>
      </c>
      <c r="U32" s="4">
        <f>SUM('TOTAL VOLUME'!U32*'Side by Side Amount'!U33)</f>
        <v>220.5</v>
      </c>
      <c r="V32" s="4">
        <f>SUM('TOTAL VOLUME'!V32*'Side by Side Amount'!V33)</f>
        <v>701.76</v>
      </c>
      <c r="W32" s="4">
        <f>SUM('TOTAL VOLUME'!W32*'Side by Side Amount'!W33)</f>
        <v>556.79999999999984</v>
      </c>
      <c r="X32" s="4">
        <f>SUM('TOTAL VOLUME'!X32*'Side by Side Amount'!X33)</f>
        <v>141.89999999999998</v>
      </c>
      <c r="Y32" s="4">
        <f>SUM('TOTAL VOLUME'!Y32*'Side by Side Amount'!Y33)</f>
        <v>718.2</v>
      </c>
      <c r="Z32" s="4">
        <f>SUM('TOTAL VOLUME'!Z32*'Side by Side Amount'!Z33)</f>
        <v>1582.56</v>
      </c>
      <c r="AA32" s="4">
        <f>SUM('TOTAL VOLUME'!AA32*'Side by Side Amount'!AA33)</f>
        <v>1001.5500000000001</v>
      </c>
      <c r="AB32" s="4">
        <f>SUM('TOTAL VOLUME'!AB32*'Side by Side Amount'!AB33)</f>
        <v>509.76000000000005</v>
      </c>
      <c r="AC32" s="4">
        <f>SUM('TOTAL VOLUME'!AC32*'Side by Side Amount'!AC33)</f>
        <v>4389</v>
      </c>
    </row>
    <row r="33" spans="1:29" ht="12" x14ac:dyDescent="0.2">
      <c r="A33" s="2">
        <v>32</v>
      </c>
      <c r="B33" s="4">
        <f>SUM('TOTAL VOLUME'!B33*'Side by Side Amount'!B34)</f>
        <v>0</v>
      </c>
      <c r="C33" s="4">
        <f>SUM('TOTAL VOLUME'!C33*'Side by Side Amount'!C34)</f>
        <v>0</v>
      </c>
      <c r="D33" s="4">
        <f>SUM('TOTAL VOLUME'!D33*'Side by Side Amount'!D34)</f>
        <v>5.8099999999999987</v>
      </c>
      <c r="E33" s="4">
        <f>SUM('TOTAL VOLUME'!E33*'Side by Side Amount'!E34)</f>
        <v>50.52000000000001</v>
      </c>
      <c r="F33" s="4">
        <f>SUM('TOTAL VOLUME'!F33*'Side by Side Amount'!F34)</f>
        <v>50.080000000000013</v>
      </c>
      <c r="G33" s="4">
        <f>SUM('TOTAL VOLUME'!G33*'Side by Side Amount'!G34)</f>
        <v>13.699999999999996</v>
      </c>
      <c r="H33" s="4">
        <f>SUM('TOTAL VOLUME'!H33*'Side by Side Amount'!H34)</f>
        <v>198.65999999999997</v>
      </c>
      <c r="I33" s="4">
        <f>SUM('TOTAL VOLUME'!I33*'Side by Side Amount'!I34)</f>
        <v>0</v>
      </c>
      <c r="J33" s="4">
        <f>SUM('TOTAL VOLUME'!J33*'Side by Side Amount'!J34)</f>
        <v>0</v>
      </c>
      <c r="K33" s="4">
        <f>SUM('TOTAL VOLUME'!K33*'Side by Side Amount'!K34)</f>
        <v>0</v>
      </c>
      <c r="L33" s="4">
        <f>SUM('TOTAL VOLUME'!L33*'Side by Side Amount'!L34)</f>
        <v>21.54</v>
      </c>
      <c r="M33" s="4">
        <f>SUM('TOTAL VOLUME'!M33*'Side by Side Amount'!M34)</f>
        <v>16.809999999999999</v>
      </c>
      <c r="N33" s="4">
        <f>SUM('TOTAL VOLUME'!N33*'Side by Side Amount'!N34)</f>
        <v>43.44</v>
      </c>
      <c r="O33" s="4">
        <f>SUM('TOTAL VOLUME'!O33*'Side by Side Amount'!O34)</f>
        <v>378.76</v>
      </c>
      <c r="P33" s="4">
        <f>SUM('TOTAL VOLUME'!P33*'Side by Side Amount'!P34)</f>
        <v>435.47999999999985</v>
      </c>
      <c r="Q33" s="4">
        <f>SUM('TOTAL VOLUME'!Q33*'Side by Side Amount'!Q34)</f>
        <v>170.94000000000005</v>
      </c>
      <c r="R33" s="4">
        <f>SUM('TOTAL VOLUME'!R33*'Side by Side Amount'!R34)</f>
        <v>300.11999999999995</v>
      </c>
      <c r="S33" s="4">
        <f>SUM('TOTAL VOLUME'!S33*'Side by Side Amount'!S34)</f>
        <v>656.03000000000009</v>
      </c>
      <c r="T33" s="4">
        <f>SUM('TOTAL VOLUME'!T33*'Side by Side Amount'!T34)</f>
        <v>701.21999999999991</v>
      </c>
      <c r="U33" s="4">
        <f>SUM('TOTAL VOLUME'!U33*'Side by Side Amount'!U34)</f>
        <v>395.99999999999989</v>
      </c>
      <c r="V33" s="4">
        <f>SUM('TOTAL VOLUME'!V33*'Side by Side Amount'!V34)</f>
        <v>887.40000000000043</v>
      </c>
      <c r="W33" s="4">
        <f>SUM('TOTAL VOLUME'!W33*'Side by Side Amount'!W34)</f>
        <v>504.03000000000009</v>
      </c>
      <c r="X33" s="4">
        <f>SUM('TOTAL VOLUME'!X33*'Side by Side Amount'!X34)</f>
        <v>343.46</v>
      </c>
      <c r="Y33" s="4">
        <f>SUM('TOTAL VOLUME'!Y33*'Side by Side Amount'!Y34)</f>
        <v>787.34999999999991</v>
      </c>
      <c r="Z33" s="4">
        <f>SUM('TOTAL VOLUME'!Z33*'Side by Side Amount'!Z34)</f>
        <v>2334.54</v>
      </c>
      <c r="AA33" s="4">
        <f>SUM('TOTAL VOLUME'!AA33*'Side by Side Amount'!AA34)</f>
        <v>1596.92</v>
      </c>
      <c r="AB33" s="4">
        <f>SUM('TOTAL VOLUME'!AB33*'Side by Side Amount'!AB34)</f>
        <v>1345.26</v>
      </c>
      <c r="AC33" s="4">
        <f>SUM('TOTAL VOLUME'!AC33*'Side by Side Amount'!AC34)</f>
        <v>4717.8599999999988</v>
      </c>
    </row>
    <row r="34" spans="1:29" ht="12" x14ac:dyDescent="0.2">
      <c r="A34" s="2">
        <v>33</v>
      </c>
      <c r="B34" s="4">
        <f>SUM('TOTAL VOLUME'!B34*'Side by Side Amount'!B35)</f>
        <v>7.620000000000001</v>
      </c>
      <c r="C34" s="4">
        <f>SUM('TOTAL VOLUME'!C34*'Side by Side Amount'!C35)</f>
        <v>0</v>
      </c>
      <c r="D34" s="4">
        <f>SUM('TOTAL VOLUME'!D34*'Side by Side Amount'!D35)</f>
        <v>23.92</v>
      </c>
      <c r="E34" s="4">
        <f>SUM('TOTAL VOLUME'!E34*'Side by Side Amount'!E35)</f>
        <v>25.83</v>
      </c>
      <c r="F34" s="4">
        <f>SUM('TOTAL VOLUME'!F34*'Side by Side Amount'!F35)</f>
        <v>25.700000000000003</v>
      </c>
      <c r="G34" s="4">
        <f>SUM('TOTAL VOLUME'!G34*'Side by Side Amount'!G35)</f>
        <v>28.019999999999996</v>
      </c>
      <c r="H34" s="4">
        <f>SUM('TOTAL VOLUME'!H34*'Side by Side Amount'!H35)</f>
        <v>160.16000000000003</v>
      </c>
      <c r="I34" s="4">
        <f>SUM('TOTAL VOLUME'!I34*'Side by Side Amount'!I35)</f>
        <v>4.1199999999999992</v>
      </c>
      <c r="J34" s="4">
        <f>SUM('TOTAL VOLUME'!J34*'Side by Side Amount'!J35)</f>
        <v>0</v>
      </c>
      <c r="K34" s="4">
        <f>SUM('TOTAL VOLUME'!K34*'Side by Side Amount'!K35)</f>
        <v>0</v>
      </c>
      <c r="L34" s="4">
        <f>SUM('TOTAL VOLUME'!L34*'Side by Side Amount'!L35)</f>
        <v>0</v>
      </c>
      <c r="M34" s="4">
        <f>SUM('TOTAL VOLUME'!M34*'Side by Side Amount'!M35)</f>
        <v>0</v>
      </c>
      <c r="N34" s="4">
        <f>SUM('TOTAL VOLUME'!N34*'Side by Side Amount'!N35)</f>
        <v>20.92</v>
      </c>
      <c r="O34" s="4">
        <f>SUM('TOTAL VOLUME'!O34*'Side by Side Amount'!O35)</f>
        <v>132.96000000000004</v>
      </c>
      <c r="P34" s="4">
        <f>SUM('TOTAL VOLUME'!P34*'Side by Side Amount'!P35)</f>
        <v>353.18999999999994</v>
      </c>
      <c r="Q34" s="4">
        <f>SUM('TOTAL VOLUME'!Q34*'Side by Side Amount'!Q35)</f>
        <v>126</v>
      </c>
      <c r="R34" s="4">
        <f>SUM('TOTAL VOLUME'!R34*'Side by Side Amount'!R35)</f>
        <v>186.14999999999992</v>
      </c>
      <c r="S34" s="4">
        <f>SUM('TOTAL VOLUME'!S34*'Side by Side Amount'!S35)</f>
        <v>548.43000000000018</v>
      </c>
      <c r="T34" s="4">
        <f>SUM('TOTAL VOLUME'!T34*'Side by Side Amount'!T35)</f>
        <v>643.50000000000034</v>
      </c>
      <c r="U34" s="4">
        <f>SUM('TOTAL VOLUME'!U34*'Side by Side Amount'!U35)</f>
        <v>291.19999999999982</v>
      </c>
      <c r="V34" s="4">
        <f>SUM('TOTAL VOLUME'!V34*'Side by Side Amount'!V35)</f>
        <v>879.04</v>
      </c>
      <c r="W34" s="4">
        <f>SUM('TOTAL VOLUME'!W34*'Side by Side Amount'!W35)</f>
        <v>651.24</v>
      </c>
      <c r="X34" s="4">
        <f>SUM('TOTAL VOLUME'!X34*'Side by Side Amount'!X35)</f>
        <v>181.48</v>
      </c>
      <c r="Y34" s="4">
        <f>SUM('TOTAL VOLUME'!Y34*'Side by Side Amount'!Y35)</f>
        <v>969.50000000000011</v>
      </c>
      <c r="Z34" s="4">
        <f>SUM('TOTAL VOLUME'!Z34*'Side by Side Amount'!Z35)</f>
        <v>2550.85</v>
      </c>
      <c r="AA34" s="4">
        <f>SUM('TOTAL VOLUME'!AA34*'Side by Side Amount'!AA35)</f>
        <v>1817.1399999999999</v>
      </c>
      <c r="AB34" s="4">
        <f>SUM('TOTAL VOLUME'!AB34*'Side by Side Amount'!AB35)</f>
        <v>539.04</v>
      </c>
      <c r="AC34" s="4">
        <f>SUM('TOTAL VOLUME'!AC34*'Side by Side Amount'!AC35)</f>
        <v>5082.25</v>
      </c>
    </row>
    <row r="35" spans="1:29" ht="12" x14ac:dyDescent="0.2">
      <c r="A35" s="2">
        <v>34</v>
      </c>
      <c r="B35" s="4">
        <f>SUM('TOTAL VOLUME'!B35*'Side by Side Amount'!B36)</f>
        <v>11.729999999999995</v>
      </c>
      <c r="C35" s="4">
        <f>SUM('TOTAL VOLUME'!C35*'Side by Side Amount'!C36)</f>
        <v>0</v>
      </c>
      <c r="D35" s="4">
        <f>SUM('TOTAL VOLUME'!D35*'Side by Side Amount'!D36)</f>
        <v>0</v>
      </c>
      <c r="E35" s="4">
        <f>SUM('TOTAL VOLUME'!E35*'Side by Side Amount'!E36)</f>
        <v>35.600000000000009</v>
      </c>
      <c r="F35" s="4">
        <f>SUM('TOTAL VOLUME'!F35*'Side by Side Amount'!F36)</f>
        <v>0</v>
      </c>
      <c r="G35" s="4">
        <f>SUM('TOTAL VOLUME'!G35*'Side by Side Amount'!G36)</f>
        <v>57.47999999999999</v>
      </c>
      <c r="H35" s="4">
        <f>SUM('TOTAL VOLUME'!H35*'Side by Side Amount'!H36)</f>
        <v>104.29999999999998</v>
      </c>
      <c r="I35" s="4">
        <f>SUM('TOTAL VOLUME'!I35*'Side by Side Amount'!I36)</f>
        <v>0</v>
      </c>
      <c r="J35" s="4">
        <f>SUM('TOTAL VOLUME'!J35*'Side by Side Amount'!J36)</f>
        <v>0</v>
      </c>
      <c r="K35" s="4">
        <f>SUM('TOTAL VOLUME'!K35*'Side by Side Amount'!K36)</f>
        <v>0</v>
      </c>
      <c r="L35" s="4">
        <f>SUM('TOTAL VOLUME'!L35*'Side by Side Amount'!L36)</f>
        <v>0</v>
      </c>
      <c r="M35" s="4">
        <f>SUM('TOTAL VOLUME'!M35*'Side by Side Amount'!M36)</f>
        <v>0</v>
      </c>
      <c r="N35" s="4">
        <f>SUM('TOTAL VOLUME'!N35*'Side by Side Amount'!N36)</f>
        <v>0</v>
      </c>
      <c r="O35" s="4">
        <f>SUM('TOTAL VOLUME'!O35*'Side by Side Amount'!O36)</f>
        <v>189.35999999999996</v>
      </c>
      <c r="P35" s="4">
        <f>SUM('TOTAL VOLUME'!P35*'Side by Side Amount'!P36)</f>
        <v>335.62000000000006</v>
      </c>
      <c r="Q35" s="4">
        <f>SUM('TOTAL VOLUME'!Q35*'Side by Side Amount'!Q36)</f>
        <v>98.899999999999949</v>
      </c>
      <c r="R35" s="4">
        <f>SUM('TOTAL VOLUME'!R35*'Side by Side Amount'!R36)</f>
        <v>285.5800000000001</v>
      </c>
      <c r="S35" s="4">
        <f>SUM('TOTAL VOLUME'!S35*'Side by Side Amount'!S36)</f>
        <v>384.99000000000012</v>
      </c>
      <c r="T35" s="4">
        <f>SUM('TOTAL VOLUME'!T35*'Side by Side Amount'!T36)</f>
        <v>617.54000000000019</v>
      </c>
      <c r="U35" s="4">
        <f>SUM('TOTAL VOLUME'!U35*'Side by Side Amount'!U36)</f>
        <v>313.56</v>
      </c>
      <c r="V35" s="4">
        <f>SUM('TOTAL VOLUME'!V35*'Side by Side Amount'!V36)</f>
        <v>1497.8700000000008</v>
      </c>
      <c r="W35" s="4">
        <f>SUM('TOTAL VOLUME'!W35*'Side by Side Amount'!W36)</f>
        <v>626.85</v>
      </c>
      <c r="X35" s="4">
        <f>SUM('TOTAL VOLUME'!X35*'Side by Side Amount'!X36)</f>
        <v>168.35999999999999</v>
      </c>
      <c r="Y35" s="4">
        <f>SUM('TOTAL VOLUME'!Y35*'Side by Side Amount'!Y36)</f>
        <v>732.94000000000017</v>
      </c>
      <c r="Z35" s="4">
        <f>SUM('TOTAL VOLUME'!Z35*'Side by Side Amount'!Z36)</f>
        <v>2346.19</v>
      </c>
      <c r="AA35" s="4">
        <f>SUM('TOTAL VOLUME'!AA35*'Side by Side Amount'!AA36)</f>
        <v>2228.6899999999996</v>
      </c>
      <c r="AB35" s="4">
        <f>SUM('TOTAL VOLUME'!AB35*'Side by Side Amount'!AB36)</f>
        <v>1315.18</v>
      </c>
      <c r="AC35" s="4">
        <f>SUM('TOTAL VOLUME'!AC35*'Side by Side Amount'!AC36)</f>
        <v>4730.2000000000007</v>
      </c>
    </row>
    <row r="36" spans="1:29" ht="12" x14ac:dyDescent="0.2">
      <c r="A36" s="2">
        <v>35</v>
      </c>
      <c r="B36" s="4">
        <f>SUM('TOTAL VOLUME'!B36*'Side by Side Amount'!B37)</f>
        <v>3.9999999999999982</v>
      </c>
      <c r="C36" s="4">
        <f>SUM('TOTAL VOLUME'!C36*'Side by Side Amount'!C37)</f>
        <v>0</v>
      </c>
      <c r="D36" s="4">
        <f>SUM('TOTAL VOLUME'!D36*'Side by Side Amount'!D37)</f>
        <v>24.92</v>
      </c>
      <c r="E36" s="4">
        <f>SUM('TOTAL VOLUME'!E36*'Side by Side Amount'!E37)</f>
        <v>36.28</v>
      </c>
      <c r="F36" s="4">
        <f>SUM('TOTAL VOLUME'!F36*'Side by Side Amount'!F37)</f>
        <v>68.2</v>
      </c>
      <c r="G36" s="4">
        <f>SUM('TOTAL VOLUME'!G36*'Side by Side Amount'!G37)</f>
        <v>14.869999999999997</v>
      </c>
      <c r="H36" s="4">
        <f>SUM('TOTAL VOLUME'!H36*'Side by Side Amount'!H37)</f>
        <v>109.27</v>
      </c>
      <c r="I36" s="4">
        <f>SUM('TOTAL VOLUME'!I36*'Side by Side Amount'!I37)</f>
        <v>0</v>
      </c>
      <c r="J36" s="4">
        <f>SUM('TOTAL VOLUME'!J36*'Side by Side Amount'!J37)</f>
        <v>0</v>
      </c>
      <c r="K36" s="4">
        <f>SUM('TOTAL VOLUME'!K36*'Side by Side Amount'!K37)</f>
        <v>14.599999999999994</v>
      </c>
      <c r="L36" s="4">
        <f>SUM('TOTAL VOLUME'!L36*'Side by Side Amount'!L37)</f>
        <v>0</v>
      </c>
      <c r="M36" s="4">
        <f>SUM('TOTAL VOLUME'!M36*'Side by Side Amount'!M37)</f>
        <v>18.999999999999996</v>
      </c>
      <c r="N36" s="4">
        <f>SUM('TOTAL VOLUME'!N36*'Side by Side Amount'!N37)</f>
        <v>0</v>
      </c>
      <c r="O36" s="4">
        <f>SUM('TOTAL VOLUME'!O36*'Side by Side Amount'!O37)</f>
        <v>100.76000000000002</v>
      </c>
      <c r="P36" s="4">
        <f>SUM('TOTAL VOLUME'!P36*'Side by Side Amount'!P37)</f>
        <v>297.92000000000013</v>
      </c>
      <c r="Q36" s="4">
        <f>SUM('TOTAL VOLUME'!Q36*'Side by Side Amount'!Q37)</f>
        <v>133.64999999999998</v>
      </c>
      <c r="R36" s="4">
        <f>SUM('TOTAL VOLUME'!R36*'Side by Side Amount'!R37)</f>
        <v>345.44000000000005</v>
      </c>
      <c r="S36" s="4">
        <f>SUM('TOTAL VOLUME'!S36*'Side by Side Amount'!S37)</f>
        <v>662.39999999999986</v>
      </c>
      <c r="T36" s="4">
        <f>SUM('TOTAL VOLUME'!T36*'Side by Side Amount'!T37)</f>
        <v>561.66000000000008</v>
      </c>
      <c r="U36" s="4">
        <f>SUM('TOTAL VOLUME'!U36*'Side by Side Amount'!U37)</f>
        <v>278.9799999999999</v>
      </c>
      <c r="V36" s="4">
        <f>SUM('TOTAL VOLUME'!V36*'Side by Side Amount'!V37)</f>
        <v>1330.1000000000001</v>
      </c>
      <c r="W36" s="4">
        <f>SUM('TOTAL VOLUME'!W36*'Side by Side Amount'!W37)</f>
        <v>395.84999999999997</v>
      </c>
      <c r="X36" s="4">
        <f>SUM('TOTAL VOLUME'!X36*'Side by Side Amount'!X37)</f>
        <v>154.77000000000001</v>
      </c>
      <c r="Y36" s="4">
        <f>SUM('TOTAL VOLUME'!Y36*'Side by Side Amount'!Y37)</f>
        <v>1020.2399999999999</v>
      </c>
      <c r="Z36" s="4">
        <f>SUM('TOTAL VOLUME'!Z36*'Side by Side Amount'!Z37)</f>
        <v>2257.7400000000002</v>
      </c>
      <c r="AA36" s="4">
        <f>SUM('TOTAL VOLUME'!AA36*'Side by Side Amount'!AA37)</f>
        <v>1194.7199999999998</v>
      </c>
      <c r="AB36" s="4">
        <f>SUM('TOTAL VOLUME'!AB36*'Side by Side Amount'!AB37)</f>
        <v>1012.9699999999998</v>
      </c>
      <c r="AC36" s="4">
        <f>SUM('TOTAL VOLUME'!AC36*'Side by Side Amount'!AC37)</f>
        <v>4704.4800000000005</v>
      </c>
    </row>
    <row r="37" spans="1:29" ht="12" x14ac:dyDescent="0.2">
      <c r="A37" s="2">
        <v>36</v>
      </c>
      <c r="B37" s="4">
        <f>SUM('TOTAL VOLUME'!B37*'Side by Side Amount'!B38)</f>
        <v>4.0600000000000005</v>
      </c>
      <c r="C37" s="4">
        <f>SUM('TOTAL VOLUME'!C37*'Side by Side Amount'!C38)</f>
        <v>0</v>
      </c>
      <c r="D37" s="4">
        <f>SUM('TOTAL VOLUME'!D37*'Side by Side Amount'!D38)</f>
        <v>19.049999999999994</v>
      </c>
      <c r="E37" s="4">
        <f>SUM('TOTAL VOLUME'!E37*'Side by Side Amount'!E38)</f>
        <v>9.27</v>
      </c>
      <c r="F37" s="4">
        <f>SUM('TOTAL VOLUME'!F37*'Side by Side Amount'!F38)</f>
        <v>14</v>
      </c>
      <c r="G37" s="4">
        <f>SUM('TOTAL VOLUME'!G37*'Side by Side Amount'!G38)</f>
        <v>46.800000000000004</v>
      </c>
      <c r="H37" s="4">
        <f>SUM('TOTAL VOLUME'!H37*'Side by Side Amount'!H38)</f>
        <v>128.07999999999993</v>
      </c>
      <c r="I37" s="4">
        <f>SUM('TOTAL VOLUME'!I37*'Side by Side Amount'!I38)</f>
        <v>0</v>
      </c>
      <c r="J37" s="4">
        <f>SUM('TOTAL VOLUME'!J37*'Side by Side Amount'!J38)</f>
        <v>0</v>
      </c>
      <c r="K37" s="4">
        <f>SUM('TOTAL VOLUME'!K37*'Side by Side Amount'!K38)</f>
        <v>0</v>
      </c>
      <c r="L37" s="4">
        <f>SUM('TOTAL VOLUME'!L37*'Side by Side Amount'!L38)</f>
        <v>0</v>
      </c>
      <c r="M37" s="4">
        <f>SUM('TOTAL VOLUME'!M37*'Side by Side Amount'!M38)</f>
        <v>0</v>
      </c>
      <c r="N37" s="4">
        <f>SUM('TOTAL VOLUME'!N37*'Side by Side Amount'!N38)</f>
        <v>0</v>
      </c>
      <c r="O37" s="4">
        <f>SUM('TOTAL VOLUME'!O37*'Side by Side Amount'!O38)</f>
        <v>124.65</v>
      </c>
      <c r="P37" s="4">
        <f>SUM('TOTAL VOLUME'!P37*'Side by Side Amount'!P38)</f>
        <v>269.33999999999986</v>
      </c>
      <c r="Q37" s="4">
        <f>SUM('TOTAL VOLUME'!Q37*'Side by Side Amount'!Q38)</f>
        <v>82.28</v>
      </c>
      <c r="R37" s="4">
        <f>SUM('TOTAL VOLUME'!R37*'Side by Side Amount'!R38)</f>
        <v>372.64000000000004</v>
      </c>
      <c r="S37" s="4">
        <f>SUM('TOTAL VOLUME'!S37*'Side by Side Amount'!S38)</f>
        <v>530.66000000000008</v>
      </c>
      <c r="T37" s="4">
        <f>SUM('TOTAL VOLUME'!T37*'Side by Side Amount'!T38)</f>
        <v>763.1999999999997</v>
      </c>
      <c r="U37" s="4">
        <f>SUM('TOTAL VOLUME'!U37*'Side by Side Amount'!U38)</f>
        <v>323.04999999999995</v>
      </c>
      <c r="V37" s="4">
        <f>SUM('TOTAL VOLUME'!V37*'Side by Side Amount'!V38)</f>
        <v>852.59999999999991</v>
      </c>
      <c r="W37" s="4">
        <f>SUM('TOTAL VOLUME'!W37*'Side by Side Amount'!W38)</f>
        <v>655.34000000000015</v>
      </c>
      <c r="X37" s="4">
        <f>SUM('TOTAL VOLUME'!X37*'Side by Side Amount'!X38)</f>
        <v>86.039999999999992</v>
      </c>
      <c r="Y37" s="4">
        <f>SUM('TOTAL VOLUME'!Y37*'Side by Side Amount'!Y38)</f>
        <v>587.4</v>
      </c>
      <c r="Z37" s="4">
        <f>SUM('TOTAL VOLUME'!Z37*'Side by Side Amount'!Z38)</f>
        <v>2022.8</v>
      </c>
      <c r="AA37" s="4">
        <f>SUM('TOTAL VOLUME'!AA37*'Side by Side Amount'!AA38)</f>
        <v>1106.3599999999999</v>
      </c>
      <c r="AB37" s="4">
        <f>SUM('TOTAL VOLUME'!AB37*'Side by Side Amount'!AB38)</f>
        <v>811.90000000000009</v>
      </c>
      <c r="AC37" s="4">
        <f>SUM('TOTAL VOLUME'!AC37*'Side by Side Amount'!AC38)</f>
        <v>3420.6599999999994</v>
      </c>
    </row>
    <row r="38" spans="1:29" ht="12" x14ac:dyDescent="0.2">
      <c r="A38" s="2">
        <v>37</v>
      </c>
      <c r="B38" s="4">
        <f>SUM('TOTAL VOLUME'!B38*'Side by Side Amount'!B39)</f>
        <v>8.2799999999999976</v>
      </c>
      <c r="C38" s="4">
        <f>SUM('TOTAL VOLUME'!C38*'Side by Side Amount'!C39)</f>
        <v>0</v>
      </c>
      <c r="D38" s="4">
        <f>SUM('TOTAL VOLUME'!D38*'Side by Side Amount'!D39)</f>
        <v>6.5100000000000016</v>
      </c>
      <c r="E38" s="4">
        <f>SUM('TOTAL VOLUME'!E38*'Side by Side Amount'!E39)</f>
        <v>28.5</v>
      </c>
      <c r="F38" s="4">
        <f>SUM('TOTAL VOLUME'!F38*'Side by Side Amount'!F39)</f>
        <v>0</v>
      </c>
      <c r="G38" s="4">
        <f>SUM('TOTAL VOLUME'!G38*'Side by Side Amount'!G39)</f>
        <v>31.180000000000007</v>
      </c>
      <c r="H38" s="4">
        <f>SUM('TOTAL VOLUME'!H38*'Side by Side Amount'!H39)</f>
        <v>128.63999999999999</v>
      </c>
      <c r="I38" s="4">
        <f>SUM('TOTAL VOLUME'!I38*'Side by Side Amount'!I39)</f>
        <v>4.7000000000000011</v>
      </c>
      <c r="J38" s="4">
        <f>SUM('TOTAL VOLUME'!J38*'Side by Side Amount'!J39)</f>
        <v>0</v>
      </c>
      <c r="K38" s="4">
        <f>SUM('TOTAL VOLUME'!K38*'Side by Side Amount'!K39)</f>
        <v>7.66</v>
      </c>
      <c r="L38" s="4">
        <f>SUM('TOTAL VOLUME'!L38*'Side by Side Amount'!L39)</f>
        <v>0</v>
      </c>
      <c r="M38" s="4">
        <f>SUM('TOTAL VOLUME'!M38*'Side by Side Amount'!M39)</f>
        <v>19.04</v>
      </c>
      <c r="N38" s="4">
        <f>SUM('TOTAL VOLUME'!N38*'Side by Side Amount'!N39)</f>
        <v>0</v>
      </c>
      <c r="O38" s="4">
        <f>SUM('TOTAL VOLUME'!O38*'Side by Side Amount'!O39)</f>
        <v>24.939999999999998</v>
      </c>
      <c r="P38" s="4">
        <f>SUM('TOTAL VOLUME'!P38*'Side by Side Amount'!P39)</f>
        <v>350.88</v>
      </c>
      <c r="Q38" s="4">
        <f>SUM('TOTAL VOLUME'!Q38*'Side by Side Amount'!Q39)</f>
        <v>145.13999999999996</v>
      </c>
      <c r="R38" s="4">
        <f>SUM('TOTAL VOLUME'!R38*'Side by Side Amount'!R39)</f>
        <v>353.75</v>
      </c>
      <c r="S38" s="4">
        <f>SUM('TOTAL VOLUME'!S38*'Side by Side Amount'!S39)</f>
        <v>783.1500000000002</v>
      </c>
      <c r="T38" s="4">
        <f>SUM('TOTAL VOLUME'!T38*'Side by Side Amount'!T39)</f>
        <v>873.29999999999961</v>
      </c>
      <c r="U38" s="4">
        <f>SUM('TOTAL VOLUME'!U38*'Side by Side Amount'!U39)</f>
        <v>574.55999999999995</v>
      </c>
      <c r="V38" s="4">
        <f>SUM('TOTAL VOLUME'!V38*'Side by Side Amount'!V39)</f>
        <v>1500.29</v>
      </c>
      <c r="W38" s="4">
        <f>SUM('TOTAL VOLUME'!W38*'Side by Side Amount'!W39)</f>
        <v>715.55999999999983</v>
      </c>
      <c r="X38" s="4">
        <f>SUM('TOTAL VOLUME'!X38*'Side by Side Amount'!X39)</f>
        <v>551.16</v>
      </c>
      <c r="Y38" s="4">
        <f>SUM('TOTAL VOLUME'!Y38*'Side by Side Amount'!Y39)</f>
        <v>1900.0800000000002</v>
      </c>
      <c r="Z38" s="4">
        <f>SUM('TOTAL VOLUME'!Z38*'Side by Side Amount'!Z39)</f>
        <v>3940.09</v>
      </c>
      <c r="AA38" s="4">
        <f>SUM('TOTAL VOLUME'!AA38*'Side by Side Amount'!AA39)</f>
        <v>2387.7000000000003</v>
      </c>
      <c r="AB38" s="4">
        <f>SUM('TOTAL VOLUME'!AB38*'Side by Side Amount'!AB39)</f>
        <v>2416.92</v>
      </c>
      <c r="AC38" s="4">
        <f>SUM('TOTAL VOLUME'!AC38*'Side by Side Amount'!AC39)</f>
        <v>6509.9899999999989</v>
      </c>
    </row>
    <row r="39" spans="1:29" ht="12" x14ac:dyDescent="0.2">
      <c r="A39" s="2">
        <v>38</v>
      </c>
      <c r="B39" s="4">
        <f>SUM('TOTAL VOLUME'!B39*'Side by Side Amount'!B40)</f>
        <v>8.4200000000000017</v>
      </c>
      <c r="C39" s="4">
        <f>SUM('TOTAL VOLUME'!C39*'Side by Side Amount'!C40)</f>
        <v>5.0600000000000023</v>
      </c>
      <c r="D39" s="4">
        <f>SUM('TOTAL VOLUME'!D39*'Side by Side Amount'!D40)</f>
        <v>6.68</v>
      </c>
      <c r="E39" s="4">
        <f>SUM('TOTAL VOLUME'!E39*'Side by Side Amount'!E40)</f>
        <v>38.800000000000011</v>
      </c>
      <c r="F39" s="4">
        <f>SUM('TOTAL VOLUME'!F39*'Side by Side Amount'!F40)</f>
        <v>44.25</v>
      </c>
      <c r="G39" s="4">
        <f>SUM('TOTAL VOLUME'!G39*'Side by Side Amount'!G40)</f>
        <v>47.969999999999985</v>
      </c>
      <c r="H39" s="4">
        <f>SUM('TOTAL VOLUME'!H39*'Side by Side Amount'!H40)</f>
        <v>115.64000000000001</v>
      </c>
      <c r="I39" s="4">
        <f>SUM('TOTAL VOLUME'!I39*'Side by Side Amount'!I40)</f>
        <v>0</v>
      </c>
      <c r="J39" s="4">
        <f>SUM('TOTAL VOLUME'!J39*'Side by Side Amount'!J40)</f>
        <v>0</v>
      </c>
      <c r="K39" s="4">
        <f>SUM('TOTAL VOLUME'!K39*'Side by Side Amount'!K40)</f>
        <v>0</v>
      </c>
      <c r="L39" s="4">
        <f>SUM('TOTAL VOLUME'!L39*'Side by Side Amount'!L40)</f>
        <v>25.1</v>
      </c>
      <c r="M39" s="4">
        <f>SUM('TOTAL VOLUME'!M39*'Side by Side Amount'!M40)</f>
        <v>0</v>
      </c>
      <c r="N39" s="4">
        <f>SUM('TOTAL VOLUME'!N39*'Side by Side Amount'!N40)</f>
        <v>46.56</v>
      </c>
      <c r="O39" s="4">
        <f>SUM('TOTAL VOLUME'!O39*'Side by Side Amount'!O40)</f>
        <v>125.39999999999995</v>
      </c>
      <c r="P39" s="4">
        <f>SUM('TOTAL VOLUME'!P39*'Side by Side Amount'!P40)</f>
        <v>278.10000000000008</v>
      </c>
      <c r="Q39" s="4">
        <f>SUM('TOTAL VOLUME'!Q39*'Side by Side Amount'!Q40)</f>
        <v>120</v>
      </c>
      <c r="R39" s="4">
        <f>SUM('TOTAL VOLUME'!R39*'Side by Side Amount'!R40)</f>
        <v>289.68</v>
      </c>
      <c r="S39" s="4">
        <f>SUM('TOTAL VOLUME'!S39*'Side by Side Amount'!S40)</f>
        <v>720.12000000000023</v>
      </c>
      <c r="T39" s="4">
        <f>SUM('TOTAL VOLUME'!T39*'Side by Side Amount'!T40)</f>
        <v>826.49999999999989</v>
      </c>
      <c r="U39" s="4">
        <f>SUM('TOTAL VOLUME'!U39*'Side by Side Amount'!U40)</f>
        <v>484.09999999999985</v>
      </c>
      <c r="V39" s="4">
        <f>SUM('TOTAL VOLUME'!V39*'Side by Side Amount'!V40)</f>
        <v>1147.5999999999999</v>
      </c>
      <c r="W39" s="4">
        <f>SUM('TOTAL VOLUME'!W39*'Side by Side Amount'!W40)</f>
        <v>310.59000000000003</v>
      </c>
      <c r="X39" s="4">
        <f>SUM('TOTAL VOLUME'!X39*'Side by Side Amount'!X40)</f>
        <v>200.33</v>
      </c>
      <c r="Y39" s="4">
        <f>SUM('TOTAL VOLUME'!Y39*'Side by Side Amount'!Y40)</f>
        <v>518.84</v>
      </c>
      <c r="Z39" s="4">
        <f>SUM('TOTAL VOLUME'!Z39*'Side by Side Amount'!Z40)</f>
        <v>1393.14</v>
      </c>
      <c r="AA39" s="4">
        <f>SUM('TOTAL VOLUME'!AA39*'Side by Side Amount'!AA40)</f>
        <v>762.74</v>
      </c>
      <c r="AB39" s="4">
        <f>SUM('TOTAL VOLUME'!AB39*'Side by Side Amount'!AB40)</f>
        <v>550.95000000000005</v>
      </c>
      <c r="AC39" s="4">
        <f>SUM('TOTAL VOLUME'!AC39*'Side by Side Amount'!AC40)</f>
        <v>2718.7200000000003</v>
      </c>
    </row>
    <row r="40" spans="1:29" ht="12" x14ac:dyDescent="0.2">
      <c r="A40" s="2">
        <v>39</v>
      </c>
      <c r="B40" s="4">
        <f>SUM('TOTAL VOLUME'!B40*'Side by Side Amount'!B41)</f>
        <v>8.66</v>
      </c>
      <c r="C40" s="4">
        <f>SUM('TOTAL VOLUME'!C40*'Side by Side Amount'!C41)</f>
        <v>0</v>
      </c>
      <c r="D40" s="4">
        <f>SUM('TOTAL VOLUME'!D40*'Side by Side Amount'!D41)</f>
        <v>27.120000000000005</v>
      </c>
      <c r="E40" s="4">
        <f>SUM('TOTAL VOLUME'!E40*'Side by Side Amount'!E41)</f>
        <v>29.669999999999991</v>
      </c>
      <c r="F40" s="4">
        <f>SUM('TOTAL VOLUME'!F40*'Side by Side Amount'!F41)</f>
        <v>45.360000000000014</v>
      </c>
      <c r="G40" s="4">
        <f>SUM('TOTAL VOLUME'!G40*'Side by Side Amount'!G41)</f>
        <v>49.259999999999984</v>
      </c>
      <c r="H40" s="4">
        <f>SUM('TOTAL VOLUME'!H40*'Side by Side Amount'!H41)</f>
        <v>135.51999999999992</v>
      </c>
      <c r="I40" s="4">
        <f>SUM('TOTAL VOLUME'!I40*'Side by Side Amount'!I41)</f>
        <v>0</v>
      </c>
      <c r="J40" s="4">
        <f>SUM('TOTAL VOLUME'!J40*'Side by Side Amount'!J41)</f>
        <v>12.700000000000003</v>
      </c>
      <c r="K40" s="4">
        <f>SUM('TOTAL VOLUME'!K40*'Side by Side Amount'!K41)</f>
        <v>0</v>
      </c>
      <c r="L40" s="4">
        <f>SUM('TOTAL VOLUME'!L40*'Side by Side Amount'!L41)</f>
        <v>12.719999999999999</v>
      </c>
      <c r="M40" s="4">
        <f>SUM('TOTAL VOLUME'!M40*'Side by Side Amount'!M41)</f>
        <v>0</v>
      </c>
      <c r="N40" s="4">
        <f>SUM('TOTAL VOLUME'!N40*'Side by Side Amount'!N41)</f>
        <v>24.510000000000005</v>
      </c>
      <c r="O40" s="4">
        <f>SUM('TOTAL VOLUME'!O40*'Side by Side Amount'!O41)</f>
        <v>163.49999999999994</v>
      </c>
      <c r="P40" s="4">
        <f>SUM('TOTAL VOLUME'!P40*'Side by Side Amount'!P41)</f>
        <v>752.60000000000036</v>
      </c>
      <c r="Q40" s="4">
        <f>SUM('TOTAL VOLUME'!Q40*'Side by Side Amount'!Q41)</f>
        <v>284.89999999999998</v>
      </c>
      <c r="R40" s="4">
        <f>SUM('TOTAL VOLUME'!R40*'Side by Side Amount'!R41)</f>
        <v>790.01999999999975</v>
      </c>
      <c r="S40" s="4">
        <f>SUM('TOTAL VOLUME'!S40*'Side by Side Amount'!S41)</f>
        <v>1885.0499999999995</v>
      </c>
      <c r="T40" s="4">
        <f>SUM('TOTAL VOLUME'!T40*'Side by Side Amount'!T41)</f>
        <v>2121.9699999999998</v>
      </c>
      <c r="U40" s="4">
        <f>SUM('TOTAL VOLUME'!U40*'Side by Side Amount'!U41)</f>
        <v>1369.6000000000004</v>
      </c>
      <c r="V40" s="4">
        <f>SUM('TOTAL VOLUME'!V40*'Side by Side Amount'!V41)</f>
        <v>5349.3899999999985</v>
      </c>
      <c r="W40" s="4">
        <f>SUM('TOTAL VOLUME'!W40*'Side by Side Amount'!W41)</f>
        <v>344.32000000000005</v>
      </c>
      <c r="X40" s="4">
        <f>SUM('TOTAL VOLUME'!X40*'Side by Side Amount'!X41)</f>
        <v>154.5</v>
      </c>
      <c r="Y40" s="4">
        <f>SUM('TOTAL VOLUME'!Y40*'Side by Side Amount'!Y41)</f>
        <v>1024.98</v>
      </c>
      <c r="Z40" s="4">
        <f>SUM('TOTAL VOLUME'!Z40*'Side by Side Amount'!Z41)</f>
        <v>1493.55</v>
      </c>
      <c r="AA40" s="4">
        <f>SUM('TOTAL VOLUME'!AA40*'Side by Side Amount'!AA41)</f>
        <v>937.43999999999983</v>
      </c>
      <c r="AB40" s="4">
        <f>SUM('TOTAL VOLUME'!AB40*'Side by Side Amount'!AB41)</f>
        <v>715.54</v>
      </c>
      <c r="AC40" s="4">
        <f>SUM('TOTAL VOLUME'!AC40*'Side by Side Amount'!AC41)</f>
        <v>1959.9300000000003</v>
      </c>
    </row>
    <row r="41" spans="1:29" ht="12" x14ac:dyDescent="0.2">
      <c r="A41" s="2">
        <v>40</v>
      </c>
      <c r="B41" s="4">
        <f>SUM('TOTAL VOLUME'!B41*'Side by Side Amount'!B42)</f>
        <v>4.3499999999999996</v>
      </c>
      <c r="C41" s="4">
        <f>SUM('TOTAL VOLUME'!C41*'Side by Side Amount'!C42)</f>
        <v>0</v>
      </c>
      <c r="D41" s="4">
        <f>SUM('TOTAL VOLUME'!D41*'Side by Side Amount'!D42)</f>
        <v>27.799999999999997</v>
      </c>
      <c r="E41" s="4">
        <f>SUM('TOTAL VOLUME'!E41*'Side by Side Amount'!E42)</f>
        <v>30.33</v>
      </c>
      <c r="F41" s="4">
        <f>SUM('TOTAL VOLUME'!F41*'Side by Side Amount'!F42)</f>
        <v>46.379999999999981</v>
      </c>
      <c r="G41" s="4">
        <f>SUM('TOTAL VOLUME'!G41*'Side by Side Amount'!G42)</f>
        <v>50.489999999999974</v>
      </c>
      <c r="H41" s="4">
        <f>SUM('TOTAL VOLUME'!H41*'Side by Side Amount'!H42)</f>
        <v>173.2</v>
      </c>
      <c r="I41" s="4">
        <f>SUM('TOTAL VOLUME'!I41*'Side by Side Amount'!I42)</f>
        <v>0</v>
      </c>
      <c r="J41" s="4">
        <f>SUM('TOTAL VOLUME'!J41*'Side by Side Amount'!J42)</f>
        <v>0</v>
      </c>
      <c r="K41" s="4">
        <f>SUM('TOTAL VOLUME'!K41*'Side by Side Amount'!K42)</f>
        <v>8.240000000000002</v>
      </c>
      <c r="L41" s="4">
        <f>SUM('TOTAL VOLUME'!L41*'Side by Side Amount'!L42)</f>
        <v>12.819999999999997</v>
      </c>
      <c r="M41" s="4">
        <f>SUM('TOTAL VOLUME'!M41*'Side by Side Amount'!M42)</f>
        <v>0</v>
      </c>
      <c r="N41" s="4">
        <f>SUM('TOTAL VOLUME'!N41*'Side by Side Amount'!N42)</f>
        <v>0</v>
      </c>
      <c r="O41" s="4">
        <f>SUM('TOTAL VOLUME'!O41*'Side by Side Amount'!O42)</f>
        <v>107.56</v>
      </c>
      <c r="P41" s="4">
        <f>SUM('TOTAL VOLUME'!P41*'Side by Side Amount'!P42)</f>
        <v>411.09</v>
      </c>
      <c r="Q41" s="4">
        <f>SUM('TOTAL VOLUME'!Q41*'Side by Side Amount'!Q42)</f>
        <v>140.93999999999997</v>
      </c>
      <c r="R41" s="4">
        <f>SUM('TOTAL VOLUME'!R41*'Side by Side Amount'!R42)</f>
        <v>396.3399999999998</v>
      </c>
      <c r="S41" s="4">
        <f>SUM('TOTAL VOLUME'!S41*'Side by Side Amount'!S42)</f>
        <v>1138.44</v>
      </c>
      <c r="T41" s="4">
        <f>SUM('TOTAL VOLUME'!T41*'Side by Side Amount'!T42)</f>
        <v>1025.9999999999998</v>
      </c>
      <c r="U41" s="4">
        <f>SUM('TOTAL VOLUME'!U41*'Side by Side Amount'!U42)</f>
        <v>659.28</v>
      </c>
      <c r="V41" s="4">
        <f>SUM('TOTAL VOLUME'!V41*'Side by Side Amount'!V42)</f>
        <v>2342.2199999999998</v>
      </c>
      <c r="W41" s="4">
        <f>SUM('TOTAL VOLUME'!W41*'Side by Side Amount'!W42)</f>
        <v>269.75</v>
      </c>
      <c r="X41" s="4">
        <f>SUM('TOTAL VOLUME'!X41*'Side by Side Amount'!X42)</f>
        <v>77.45</v>
      </c>
      <c r="Y41" s="4">
        <f>SUM('TOTAL VOLUME'!Y41*'Side by Side Amount'!Y42)</f>
        <v>217.76999999999998</v>
      </c>
      <c r="Z41" s="4">
        <f>SUM('TOTAL VOLUME'!Z41*'Side by Side Amount'!Z42)</f>
        <v>867.36</v>
      </c>
      <c r="AA41" s="4">
        <f>SUM('TOTAL VOLUME'!AA41*'Side by Side Amount'!AA42)</f>
        <v>417.96000000000004</v>
      </c>
      <c r="AB41" s="4">
        <f>SUM('TOTAL VOLUME'!AB41*'Side by Side Amount'!AB42)</f>
        <v>604</v>
      </c>
      <c r="AC41" s="4">
        <f>SUM('TOTAL VOLUME'!AC41*'Side by Side Amount'!AC42)</f>
        <v>1309.3399999999999</v>
      </c>
    </row>
    <row r="42" spans="1:29" ht="12" x14ac:dyDescent="0.2">
      <c r="A42" s="2">
        <v>41</v>
      </c>
      <c r="B42" s="4">
        <f>SUM('TOTAL VOLUME'!B42*'Side by Side Amount'!B43)</f>
        <v>4.5600000000000023</v>
      </c>
      <c r="C42" s="4">
        <f>SUM('TOTAL VOLUME'!C42*'Side by Side Amount'!C43)</f>
        <v>0</v>
      </c>
      <c r="D42" s="4">
        <f>SUM('TOTAL VOLUME'!D42*'Side by Side Amount'!D43)</f>
        <v>14.060000000000002</v>
      </c>
      <c r="E42" s="4">
        <f>SUM('TOTAL VOLUME'!E42*'Side by Side Amount'!E43)</f>
        <v>20.599999999999994</v>
      </c>
      <c r="F42" s="4">
        <f>SUM('TOTAL VOLUME'!F42*'Side by Side Amount'!F43)</f>
        <v>31.600000000000009</v>
      </c>
      <c r="G42" s="4">
        <f>SUM('TOTAL VOLUME'!G42*'Side by Side Amount'!G43)</f>
        <v>0</v>
      </c>
      <c r="H42" s="4">
        <f>SUM('TOTAL VOLUME'!H42*'Side by Side Amount'!H43)</f>
        <v>17.779999999999994</v>
      </c>
      <c r="I42" s="4">
        <f>SUM('TOTAL VOLUME'!I42*'Side by Side Amount'!I43)</f>
        <v>0</v>
      </c>
      <c r="J42" s="4">
        <f>SUM('TOTAL VOLUME'!J42*'Side by Side Amount'!J43)</f>
        <v>0</v>
      </c>
      <c r="K42" s="4">
        <f>SUM('TOTAL VOLUME'!K42*'Side by Side Amount'!K43)</f>
        <v>0</v>
      </c>
      <c r="L42" s="4">
        <f>SUM('TOTAL VOLUME'!L42*'Side by Side Amount'!L43)</f>
        <v>26.439999999999998</v>
      </c>
      <c r="M42" s="4">
        <f>SUM('TOTAL VOLUME'!M42*'Side by Side Amount'!M43)</f>
        <v>20.65</v>
      </c>
      <c r="N42" s="4">
        <f>SUM('TOTAL VOLUME'!N42*'Side by Side Amount'!N43)</f>
        <v>0</v>
      </c>
      <c r="O42" s="4">
        <f>SUM('TOTAL VOLUME'!O42*'Side by Side Amount'!O43)</f>
        <v>27.47</v>
      </c>
      <c r="P42" s="4">
        <f>SUM('TOTAL VOLUME'!P42*'Side by Side Amount'!P43)</f>
        <v>446.89999999999992</v>
      </c>
      <c r="Q42" s="4">
        <f>SUM('TOTAL VOLUME'!Q42*'Side by Side Amount'!Q43)</f>
        <v>255.68000000000006</v>
      </c>
      <c r="R42" s="4">
        <f>SUM('TOTAL VOLUME'!R42*'Side by Side Amount'!R43)</f>
        <v>945.49999999999966</v>
      </c>
      <c r="S42" s="4">
        <f>SUM('TOTAL VOLUME'!S42*'Side by Side Amount'!S43)</f>
        <v>1744.3200000000006</v>
      </c>
      <c r="T42" s="4">
        <f>SUM('TOTAL VOLUME'!T42*'Side by Side Amount'!T43)</f>
        <v>1689.950000000001</v>
      </c>
      <c r="U42" s="4">
        <f>SUM('TOTAL VOLUME'!U42*'Side by Side Amount'!U43)</f>
        <v>861.11999999999989</v>
      </c>
      <c r="V42" s="4">
        <f>SUM('TOTAL VOLUME'!V42*'Side by Side Amount'!V43)</f>
        <v>3140.9</v>
      </c>
      <c r="W42" s="4">
        <f>SUM('TOTAL VOLUME'!W42*'Side by Side Amount'!W43)</f>
        <v>270.24</v>
      </c>
      <c r="X42" s="4">
        <f>SUM('TOTAL VOLUME'!X42*'Side by Side Amount'!X43)</f>
        <v>48.66</v>
      </c>
      <c r="Y42" s="4">
        <f>SUM('TOTAL VOLUME'!Y42*'Side by Side Amount'!Y43)</f>
        <v>386.40000000000003</v>
      </c>
      <c r="Z42" s="4">
        <f>SUM('TOTAL VOLUME'!Z42*'Side by Side Amount'!Z43)</f>
        <v>826.08</v>
      </c>
      <c r="AA42" s="4">
        <f>SUM('TOTAL VOLUME'!AA42*'Side by Side Amount'!AA43)</f>
        <v>1580.25</v>
      </c>
      <c r="AB42" s="4">
        <f>SUM('TOTAL VOLUME'!AB42*'Side by Side Amount'!AB43)</f>
        <v>612.64</v>
      </c>
      <c r="AC42" s="4">
        <f>SUM('TOTAL VOLUME'!AC42*'Side by Side Amount'!AC43)</f>
        <v>1767.48</v>
      </c>
    </row>
    <row r="43" spans="1:29" ht="12" x14ac:dyDescent="0.2">
      <c r="A43" s="2">
        <v>42</v>
      </c>
      <c r="B43" s="4">
        <f>SUM('TOTAL VOLUME'!B43*'Side by Side Amount'!B44)</f>
        <v>13.920000000000002</v>
      </c>
      <c r="C43" s="4">
        <f>SUM('TOTAL VOLUME'!C43*'Side by Side Amount'!C44)</f>
        <v>11.200000000000003</v>
      </c>
      <c r="D43" s="4">
        <f>SUM('TOTAL VOLUME'!D43*'Side by Side Amount'!D44)</f>
        <v>21.510000000000005</v>
      </c>
      <c r="E43" s="4">
        <f>SUM('TOTAL VOLUME'!E43*'Side by Side Amount'!E44)</f>
        <v>73.570000000000036</v>
      </c>
      <c r="F43" s="4">
        <f>SUM('TOTAL VOLUME'!F43*'Side by Side Amount'!F44)</f>
        <v>48.42</v>
      </c>
      <c r="G43" s="4">
        <f>SUM('TOTAL VOLUME'!G43*'Side by Side Amount'!G44)</f>
        <v>0</v>
      </c>
      <c r="H43" s="4">
        <f>SUM('TOTAL VOLUME'!H43*'Side by Side Amount'!H44)</f>
        <v>218.88000000000002</v>
      </c>
      <c r="I43" s="4">
        <f>SUM('TOTAL VOLUME'!I43*'Side by Side Amount'!I44)</f>
        <v>0</v>
      </c>
      <c r="J43" s="4">
        <f>SUM('TOTAL VOLUME'!J43*'Side by Side Amount'!J44)</f>
        <v>0</v>
      </c>
      <c r="K43" s="4">
        <f>SUM('TOTAL VOLUME'!K43*'Side by Side Amount'!K44)</f>
        <v>0</v>
      </c>
      <c r="L43" s="4">
        <f>SUM('TOTAL VOLUME'!L43*'Side by Side Amount'!L44)</f>
        <v>13.640000000000004</v>
      </c>
      <c r="M43" s="4">
        <f>SUM('TOTAL VOLUME'!M43*'Side by Side Amount'!M44)</f>
        <v>0</v>
      </c>
      <c r="N43" s="4">
        <f>SUM('TOTAL VOLUME'!N43*'Side by Side Amount'!N44)</f>
        <v>50.339999999999989</v>
      </c>
      <c r="O43" s="4">
        <f>SUM('TOTAL VOLUME'!O43*'Side by Side Amount'!O44)</f>
        <v>84.059999999999988</v>
      </c>
      <c r="P43" s="4">
        <f>SUM('TOTAL VOLUME'!P43*'Side by Side Amount'!P44)</f>
        <v>1802.8600000000013</v>
      </c>
      <c r="Q43" s="4">
        <f>SUM('TOTAL VOLUME'!Q43*'Side by Side Amount'!Q44)</f>
        <v>1251.1999999999994</v>
      </c>
      <c r="R43" s="4">
        <f>SUM('TOTAL VOLUME'!R43*'Side by Side Amount'!R44)</f>
        <v>3461.64</v>
      </c>
      <c r="S43" s="4">
        <f>SUM('TOTAL VOLUME'!S43*'Side by Side Amount'!S44)</f>
        <v>4409.5499999999993</v>
      </c>
      <c r="T43" s="4">
        <f>SUM('TOTAL VOLUME'!T43*'Side by Side Amount'!T44)</f>
        <v>5938.65</v>
      </c>
      <c r="U43" s="4">
        <f>SUM('TOTAL VOLUME'!U43*'Side by Side Amount'!U44)</f>
        <v>3270.6299999999997</v>
      </c>
      <c r="V43" s="4">
        <f>SUM('TOTAL VOLUME'!V43*'Side by Side Amount'!V44)</f>
        <v>11173.400000000001</v>
      </c>
      <c r="W43" s="4">
        <f>SUM('TOTAL VOLUME'!W43*'Side by Side Amount'!W44)</f>
        <v>308.61</v>
      </c>
      <c r="X43" s="4">
        <f>SUM('TOTAL VOLUME'!X43*'Side by Side Amount'!X44)</f>
        <v>228.06</v>
      </c>
      <c r="Y43" s="4">
        <f>SUM('TOTAL VOLUME'!Y43*'Side by Side Amount'!Y44)</f>
        <v>749.79999999999984</v>
      </c>
      <c r="Z43" s="4">
        <f>SUM('TOTAL VOLUME'!Z43*'Side by Side Amount'!Z44)</f>
        <v>1083.1399999999999</v>
      </c>
      <c r="AA43" s="4">
        <f>SUM('TOTAL VOLUME'!AA43*'Side by Side Amount'!AA44)</f>
        <v>1145.45</v>
      </c>
      <c r="AB43" s="4">
        <f>SUM('TOTAL VOLUME'!AB43*'Side by Side Amount'!AB44)</f>
        <v>653.30999999999983</v>
      </c>
      <c r="AC43" s="4">
        <f>SUM('TOTAL VOLUME'!AC43*'Side by Side Amount'!AC44)</f>
        <v>1469.1599999999999</v>
      </c>
    </row>
    <row r="44" spans="1:29" ht="12" x14ac:dyDescent="0.2">
      <c r="A44" s="2">
        <v>43</v>
      </c>
      <c r="B44" s="4">
        <f>SUM('TOTAL VOLUME'!B44*'Side by Side Amount'!B45)</f>
        <v>0</v>
      </c>
      <c r="C44" s="4">
        <f>SUM('TOTAL VOLUME'!C44*'Side by Side Amount'!C45)</f>
        <v>0</v>
      </c>
      <c r="D44" s="4">
        <f>SUM('TOTAL VOLUME'!D44*'Side by Side Amount'!D45)</f>
        <v>7.2900000000000027</v>
      </c>
      <c r="E44" s="4">
        <f>SUM('TOTAL VOLUME'!E44*'Side by Side Amount'!E45)</f>
        <v>32.04</v>
      </c>
      <c r="F44" s="4">
        <f>SUM('TOTAL VOLUME'!F44*'Side by Side Amount'!F45)</f>
        <v>0</v>
      </c>
      <c r="G44" s="4">
        <f>SUM('TOTAL VOLUME'!G44*'Side by Side Amount'!G45)</f>
        <v>36.040000000000006</v>
      </c>
      <c r="H44" s="4">
        <f>SUM('TOTAL VOLUME'!H44*'Side by Side Amount'!H45)</f>
        <v>93.099999999999952</v>
      </c>
      <c r="I44" s="4">
        <f>SUM('TOTAL VOLUME'!I44*'Side by Side Amount'!I45)</f>
        <v>0</v>
      </c>
      <c r="J44" s="4">
        <f>SUM('TOTAL VOLUME'!J44*'Side by Side Amount'!J45)</f>
        <v>0</v>
      </c>
      <c r="K44" s="4">
        <f>SUM('TOTAL VOLUME'!K44*'Side by Side Amount'!K45)</f>
        <v>0</v>
      </c>
      <c r="L44" s="4">
        <f>SUM('TOTAL VOLUME'!L44*'Side by Side Amount'!L45)</f>
        <v>0</v>
      </c>
      <c r="M44" s="4">
        <f>SUM('TOTAL VOLUME'!M44*'Side by Side Amount'!M45)</f>
        <v>0</v>
      </c>
      <c r="N44" s="4">
        <f>SUM('TOTAL VOLUME'!N44*'Side by Side Amount'!N45)</f>
        <v>0</v>
      </c>
      <c r="O44" s="4">
        <f>SUM('TOTAL VOLUME'!O44*'Side by Side Amount'!O45)</f>
        <v>86.16</v>
      </c>
      <c r="P44" s="4">
        <f>SUM('TOTAL VOLUME'!P44*'Side by Side Amount'!P45)</f>
        <v>336.73000000000008</v>
      </c>
      <c r="Q44" s="4">
        <f>SUM('TOTAL VOLUME'!Q44*'Side by Side Amount'!Q45)</f>
        <v>126.96</v>
      </c>
      <c r="R44" s="4">
        <f>SUM('TOTAL VOLUME'!R44*'Side by Side Amount'!R45)</f>
        <v>226.48999999999995</v>
      </c>
      <c r="S44" s="4">
        <f>SUM('TOTAL VOLUME'!S44*'Side by Side Amount'!S45)</f>
        <v>465.59999999999991</v>
      </c>
      <c r="T44" s="4">
        <f>SUM('TOTAL VOLUME'!T44*'Side by Side Amount'!T45)</f>
        <v>469.43999999999971</v>
      </c>
      <c r="U44" s="4">
        <f>SUM('TOTAL VOLUME'!U44*'Side by Side Amount'!U45)</f>
        <v>488.04000000000019</v>
      </c>
      <c r="V44" s="4">
        <f>SUM('TOTAL VOLUME'!V44*'Side by Side Amount'!V45)</f>
        <v>700.66</v>
      </c>
      <c r="W44" s="4">
        <f>SUM('TOTAL VOLUME'!W44*'Side by Side Amount'!W45)</f>
        <v>352.2</v>
      </c>
      <c r="X44" s="4">
        <f>SUM('TOTAL VOLUME'!X44*'Side by Side Amount'!X45)</f>
        <v>149.04000000000002</v>
      </c>
      <c r="Y44" s="4">
        <f>SUM('TOTAL VOLUME'!Y44*'Side by Side Amount'!Y45)</f>
        <v>267.52000000000004</v>
      </c>
      <c r="Z44" s="4">
        <f>SUM('TOTAL VOLUME'!Z44*'Side by Side Amount'!Z45)</f>
        <v>574.07999999999993</v>
      </c>
      <c r="AA44" s="4">
        <f>SUM('TOTAL VOLUME'!AA44*'Side by Side Amount'!AA45)</f>
        <v>940.74999999999989</v>
      </c>
      <c r="AB44" s="4">
        <f>SUM('TOTAL VOLUME'!AB44*'Side by Side Amount'!AB45)</f>
        <v>360.45</v>
      </c>
      <c r="AC44" s="4">
        <f>SUM('TOTAL VOLUME'!AC44*'Side by Side Amount'!AC45)</f>
        <v>775.80000000000018</v>
      </c>
    </row>
    <row r="45" spans="1:29" ht="12" x14ac:dyDescent="0.2">
      <c r="A45" s="2">
        <v>44</v>
      </c>
      <c r="B45" s="4">
        <f>SUM('TOTAL VOLUME'!B45*'Side by Side Amount'!B46)</f>
        <v>0</v>
      </c>
      <c r="C45" s="4">
        <f>SUM('TOTAL VOLUME'!C45*'Side by Side Amount'!C46)</f>
        <v>0</v>
      </c>
      <c r="D45" s="4">
        <f>SUM('TOTAL VOLUME'!D45*'Side by Side Amount'!D46)</f>
        <v>0</v>
      </c>
      <c r="E45" s="4">
        <f>SUM('TOTAL VOLUME'!E45*'Side by Side Amount'!E46)</f>
        <v>32.639999999999986</v>
      </c>
      <c r="F45" s="4">
        <f>SUM('TOTAL VOLUME'!F45*'Side by Side Amount'!F46)</f>
        <v>0</v>
      </c>
      <c r="G45" s="4">
        <f>SUM('TOTAL VOLUME'!G45*'Side by Side Amount'!G46)</f>
        <v>36.659999999999997</v>
      </c>
      <c r="H45" s="4">
        <f>SUM('TOTAL VOLUME'!H45*'Side by Side Amount'!H46)</f>
        <v>56.939999999999991</v>
      </c>
      <c r="I45" s="4">
        <f>SUM('TOTAL VOLUME'!I45*'Side by Side Amount'!I46)</f>
        <v>4.9700000000000006</v>
      </c>
      <c r="J45" s="4">
        <f>SUM('TOTAL VOLUME'!J45*'Side by Side Amount'!J46)</f>
        <v>0</v>
      </c>
      <c r="K45" s="4">
        <f>SUM('TOTAL VOLUME'!K45*'Side by Side Amount'!K46)</f>
        <v>9.2900000000000027</v>
      </c>
      <c r="L45" s="4">
        <f>SUM('TOTAL VOLUME'!L45*'Side by Side Amount'!L46)</f>
        <v>28.36</v>
      </c>
      <c r="M45" s="4">
        <f>SUM('TOTAL VOLUME'!M45*'Side by Side Amount'!M46)</f>
        <v>0</v>
      </c>
      <c r="N45" s="4">
        <f>SUM('TOTAL VOLUME'!N45*'Side by Side Amount'!N46)</f>
        <v>0</v>
      </c>
      <c r="O45" s="4">
        <f>SUM('TOTAL VOLUME'!O45*'Side by Side Amount'!O46)</f>
        <v>114.48000000000002</v>
      </c>
      <c r="P45" s="4">
        <f>SUM('TOTAL VOLUME'!P45*'Side by Side Amount'!P46)</f>
        <v>228.26</v>
      </c>
      <c r="Q45" s="4">
        <f>SUM('TOTAL VOLUME'!Q45*'Side by Side Amount'!Q46)</f>
        <v>75.870000000000019</v>
      </c>
      <c r="R45" s="4">
        <f>SUM('TOTAL VOLUME'!R45*'Side by Side Amount'!R46)</f>
        <v>244.49999999999997</v>
      </c>
      <c r="S45" s="4">
        <f>SUM('TOTAL VOLUME'!S45*'Side by Side Amount'!S46)</f>
        <v>441.28</v>
      </c>
      <c r="T45" s="4">
        <f>SUM('TOTAL VOLUME'!T45*'Side by Side Amount'!T46)</f>
        <v>334.33000000000015</v>
      </c>
      <c r="U45" s="4">
        <f>SUM('TOTAL VOLUME'!U45*'Side by Side Amount'!U46)</f>
        <v>227.76</v>
      </c>
      <c r="V45" s="4">
        <f>SUM('TOTAL VOLUME'!V45*'Side by Side Amount'!V46)</f>
        <v>915.16</v>
      </c>
      <c r="W45" s="4">
        <f>SUM('TOTAL VOLUME'!W45*'Side by Side Amount'!W46)</f>
        <v>252</v>
      </c>
      <c r="X45" s="4">
        <f>SUM('TOTAL VOLUME'!X45*'Side by Side Amount'!X46)</f>
        <v>156.78000000000003</v>
      </c>
      <c r="Y45" s="4">
        <f>SUM('TOTAL VOLUME'!Y45*'Side by Side Amount'!Y46)</f>
        <v>578</v>
      </c>
      <c r="Z45" s="4">
        <f>SUM('TOTAL VOLUME'!Z45*'Side by Side Amount'!Z46)</f>
        <v>657.3599999999999</v>
      </c>
      <c r="AA45" s="4">
        <f>SUM('TOTAL VOLUME'!AA45*'Side by Side Amount'!AA46)</f>
        <v>918.7199999999998</v>
      </c>
      <c r="AB45" s="4">
        <f>SUM('TOTAL VOLUME'!AB45*'Side by Side Amount'!AB46)</f>
        <v>203.54999999999995</v>
      </c>
      <c r="AC45" s="4">
        <f>SUM('TOTAL VOLUME'!AC45*'Side by Side Amount'!AC46)</f>
        <v>1517.25</v>
      </c>
    </row>
    <row r="46" spans="1:29" ht="12" x14ac:dyDescent="0.2">
      <c r="A46" s="2">
        <v>45</v>
      </c>
      <c r="B46" s="4">
        <f>SUM('TOTAL VOLUME'!B46*'Side by Side Amount'!B47)</f>
        <v>0</v>
      </c>
      <c r="C46" s="4">
        <f>SUM('TOTAL VOLUME'!C46*'Side by Side Amount'!C47)</f>
        <v>5.9200000000000017</v>
      </c>
      <c r="D46" s="4">
        <f>SUM('TOTAL VOLUME'!D46*'Side by Side Amount'!D47)</f>
        <v>7.5599999999999987</v>
      </c>
      <c r="E46" s="4">
        <f>SUM('TOTAL VOLUME'!E46*'Side by Side Amount'!E47)</f>
        <v>22.060000000000002</v>
      </c>
      <c r="F46" s="4">
        <f>SUM('TOTAL VOLUME'!F46*'Side by Side Amount'!F47)</f>
        <v>17.159999999999997</v>
      </c>
      <c r="G46" s="4">
        <f>SUM('TOTAL VOLUME'!G46*'Side by Side Amount'!G47)</f>
        <v>18.670000000000002</v>
      </c>
      <c r="H46" s="4">
        <f>SUM('TOTAL VOLUME'!H46*'Side by Side Amount'!H47)</f>
        <v>0</v>
      </c>
      <c r="I46" s="4">
        <f>SUM('TOTAL VOLUME'!I46*'Side by Side Amount'!I47)</f>
        <v>0</v>
      </c>
      <c r="J46" s="4">
        <f>SUM('TOTAL VOLUME'!J46*'Side by Side Amount'!J47)</f>
        <v>0</v>
      </c>
      <c r="K46" s="4">
        <f>SUM('TOTAL VOLUME'!K46*'Side by Side Amount'!K47)</f>
        <v>0</v>
      </c>
      <c r="L46" s="4">
        <f>SUM('TOTAL VOLUME'!L46*'Side by Side Amount'!L47)</f>
        <v>0</v>
      </c>
      <c r="M46" s="4">
        <f>SUM('TOTAL VOLUME'!M46*'Side by Side Amount'!M47)</f>
        <v>0</v>
      </c>
      <c r="N46" s="4">
        <f>SUM('TOTAL VOLUME'!N46*'Side by Side Amount'!N47)</f>
        <v>0</v>
      </c>
      <c r="O46" s="4">
        <f>SUM('TOTAL VOLUME'!O46*'Side by Side Amount'!O47)</f>
        <v>115.32000000000002</v>
      </c>
      <c r="P46" s="4">
        <f>SUM('TOTAL VOLUME'!P46*'Side by Side Amount'!P47)</f>
        <v>191.25</v>
      </c>
      <c r="Q46" s="4">
        <f>SUM('TOTAL VOLUME'!Q46*'Side by Side Amount'!Q47)</f>
        <v>39.340000000000003</v>
      </c>
      <c r="R46" s="4">
        <f>SUM('TOTAL VOLUME'!R46*'Side by Side Amount'!R47)</f>
        <v>78.239999999999995</v>
      </c>
      <c r="S46" s="4">
        <f>SUM('TOTAL VOLUME'!S46*'Side by Side Amount'!S47)</f>
        <v>200.94000000000005</v>
      </c>
      <c r="T46" s="4">
        <f>SUM('TOTAL VOLUME'!T46*'Side by Side Amount'!T47)</f>
        <v>222.63999999999993</v>
      </c>
      <c r="U46" s="4">
        <f>SUM('TOTAL VOLUME'!U46*'Side by Side Amount'!U47)</f>
        <v>257.03999999999991</v>
      </c>
      <c r="V46" s="4">
        <f>SUM('TOTAL VOLUME'!V46*'Side by Side Amount'!V47)</f>
        <v>457.64000000000004</v>
      </c>
      <c r="W46" s="4">
        <f>SUM('TOTAL VOLUME'!W46*'Side by Side Amount'!W47)</f>
        <v>211.31</v>
      </c>
      <c r="X46" s="4">
        <f>SUM('TOTAL VOLUME'!X46*'Side by Side Amount'!X47)</f>
        <v>36.22</v>
      </c>
      <c r="Y46" s="4">
        <f>SUM('TOTAL VOLUME'!Y46*'Side by Side Amount'!Y47)</f>
        <v>68.97999999999999</v>
      </c>
      <c r="Z46" s="4">
        <f>SUM('TOTAL VOLUME'!Z46*'Side by Side Amount'!Z47)</f>
        <v>744.59999999999991</v>
      </c>
      <c r="AA46" s="4">
        <f>SUM('TOTAL VOLUME'!AA46*'Side by Side Amount'!AA47)</f>
        <v>1035.45</v>
      </c>
      <c r="AB46" s="4">
        <f>SUM('TOTAL VOLUME'!AB46*'Side by Side Amount'!AB47)</f>
        <v>41.620000000000005</v>
      </c>
      <c r="AC46" s="4">
        <f>SUM('TOTAL VOLUME'!AC46*'Side by Side Amount'!AC47)</f>
        <v>1345.3999999999996</v>
      </c>
    </row>
    <row r="47" spans="1:29" ht="12" x14ac:dyDescent="0.2">
      <c r="A47" s="2">
        <v>46</v>
      </c>
      <c r="B47" s="4">
        <f>SUM('TOTAL VOLUME'!B47*'Side by Side Amount'!B48)</f>
        <v>4.9800000000000004</v>
      </c>
      <c r="C47" s="4">
        <f>SUM('TOTAL VOLUME'!C47*'Side by Side Amount'!C48)</f>
        <v>0</v>
      </c>
      <c r="D47" s="4">
        <f>SUM('TOTAL VOLUME'!D47*'Side by Side Amount'!D48)</f>
        <v>0</v>
      </c>
      <c r="E47" s="4">
        <f>SUM('TOTAL VOLUME'!E47*'Side by Side Amount'!E48)</f>
        <v>11.14</v>
      </c>
      <c r="F47" s="4">
        <f>SUM('TOTAL VOLUME'!F47*'Side by Side Amount'!F48)</f>
        <v>0</v>
      </c>
      <c r="G47" s="4">
        <f>SUM('TOTAL VOLUME'!G47*'Side by Side Amount'!G48)</f>
        <v>0</v>
      </c>
      <c r="H47" s="4">
        <f>SUM('TOTAL VOLUME'!H47*'Side by Side Amount'!H48)</f>
        <v>19.899999999999999</v>
      </c>
      <c r="I47" s="4">
        <f>SUM('TOTAL VOLUME'!I47*'Side by Side Amount'!I48)</f>
        <v>0</v>
      </c>
      <c r="J47" s="4">
        <f>SUM('TOTAL VOLUME'!J47*'Side by Side Amount'!J48)</f>
        <v>0</v>
      </c>
      <c r="K47" s="4">
        <f>SUM('TOTAL VOLUME'!K47*'Side by Side Amount'!K48)</f>
        <v>0</v>
      </c>
      <c r="L47" s="4">
        <f>SUM('TOTAL VOLUME'!L47*'Side by Side Amount'!L48)</f>
        <v>14.919999999999998</v>
      </c>
      <c r="M47" s="4">
        <f>SUM('TOTAL VOLUME'!M47*'Side by Side Amount'!M48)</f>
        <v>0</v>
      </c>
      <c r="N47" s="4">
        <f>SUM('TOTAL VOLUME'!N47*'Side by Side Amount'!N48)</f>
        <v>27.85</v>
      </c>
      <c r="O47" s="4">
        <f>SUM('TOTAL VOLUME'!O47*'Side by Side Amount'!O48)</f>
        <v>0</v>
      </c>
      <c r="P47" s="4">
        <f>SUM('TOTAL VOLUME'!P47*'Side by Side Amount'!P48)</f>
        <v>58.25</v>
      </c>
      <c r="Q47" s="4">
        <f>SUM('TOTAL VOLUME'!Q47*'Side by Side Amount'!Q48)</f>
        <v>51.12</v>
      </c>
      <c r="R47" s="4">
        <f>SUM('TOTAL VOLUME'!R47*'Side by Side Amount'!R48)</f>
        <v>87.620000000000033</v>
      </c>
      <c r="S47" s="4">
        <f>SUM('TOTAL VOLUME'!S47*'Side by Side Amount'!S48)</f>
        <v>132.16000000000003</v>
      </c>
      <c r="T47" s="4">
        <f>SUM('TOTAL VOLUME'!T47*'Side by Side Amount'!T48)</f>
        <v>108.98999999999995</v>
      </c>
      <c r="U47" s="4">
        <f>SUM('TOTAL VOLUME'!U47*'Side by Side Amount'!U48)</f>
        <v>105.06</v>
      </c>
      <c r="V47" s="4">
        <f>SUM('TOTAL VOLUME'!V47*'Side by Side Amount'!V48)</f>
        <v>358.79999999999995</v>
      </c>
      <c r="W47" s="4">
        <f>SUM('TOTAL VOLUME'!W47*'Side by Side Amount'!W48)</f>
        <v>329.42000000000007</v>
      </c>
      <c r="X47" s="4">
        <f>SUM('TOTAL VOLUME'!X47*'Side by Side Amount'!X48)</f>
        <v>109.02000000000001</v>
      </c>
      <c r="Y47" s="4">
        <f>SUM('TOTAL VOLUME'!Y47*'Side by Side Amount'!Y48)</f>
        <v>210.3</v>
      </c>
      <c r="Z47" s="4">
        <f>SUM('TOTAL VOLUME'!Z47*'Side by Side Amount'!Z48)</f>
        <v>530.32000000000016</v>
      </c>
      <c r="AA47" s="4">
        <f>SUM('TOTAL VOLUME'!AA47*'Side by Side Amount'!AA48)</f>
        <v>829.07999999999981</v>
      </c>
      <c r="AB47" s="4">
        <f>SUM('TOTAL VOLUME'!AB47*'Side by Side Amount'!AB48)</f>
        <v>336.71999999999997</v>
      </c>
      <c r="AC47" s="4">
        <f>SUM('TOTAL VOLUME'!AC47*'Side by Side Amount'!AC48)</f>
        <v>1263.6400000000001</v>
      </c>
    </row>
    <row r="48" spans="1:29" ht="12" x14ac:dyDescent="0.2">
      <c r="A48" s="2">
        <v>47</v>
      </c>
      <c r="B48" s="4">
        <f>SUM('TOTAL VOLUME'!B48*'Side by Side Amount'!B49)</f>
        <v>0</v>
      </c>
      <c r="C48" s="4">
        <f>SUM('TOTAL VOLUME'!C48*'Side by Side Amount'!C49)</f>
        <v>0</v>
      </c>
      <c r="D48" s="4">
        <f>SUM('TOTAL VOLUME'!D48*'Side by Side Amount'!D49)</f>
        <v>7.8400000000000034</v>
      </c>
      <c r="E48" s="4">
        <f>SUM('TOTAL VOLUME'!E48*'Side by Side Amount'!E49)</f>
        <v>0</v>
      </c>
      <c r="F48" s="4">
        <f>SUM('TOTAL VOLUME'!F48*'Side by Side Amount'!F49)</f>
        <v>0</v>
      </c>
      <c r="G48" s="4">
        <f>SUM('TOTAL VOLUME'!G48*'Side by Side Amount'!G49)</f>
        <v>19</v>
      </c>
      <c r="H48" s="4">
        <f>SUM('TOTAL VOLUME'!H48*'Side by Side Amount'!H49)</f>
        <v>82.200000000000017</v>
      </c>
      <c r="I48" s="4">
        <f>SUM('TOTAL VOLUME'!I48*'Side by Side Amount'!I49)</f>
        <v>0</v>
      </c>
      <c r="J48" s="4">
        <f>SUM('TOTAL VOLUME'!J48*'Side by Side Amount'!J49)</f>
        <v>0</v>
      </c>
      <c r="K48" s="4">
        <f>SUM('TOTAL VOLUME'!K48*'Side by Side Amount'!K49)</f>
        <v>0</v>
      </c>
      <c r="L48" s="4">
        <f>SUM('TOTAL VOLUME'!L48*'Side by Side Amount'!L49)</f>
        <v>29.999999999999993</v>
      </c>
      <c r="M48" s="4">
        <f>SUM('TOTAL VOLUME'!M48*'Side by Side Amount'!M49)</f>
        <v>0</v>
      </c>
      <c r="N48" s="4">
        <f>SUM('TOTAL VOLUME'!N48*'Side by Side Amount'!N49)</f>
        <v>0</v>
      </c>
      <c r="O48" s="4">
        <f>SUM('TOTAL VOLUME'!O48*'Side by Side Amount'!O49)</f>
        <v>30.61</v>
      </c>
      <c r="P48" s="4">
        <f>SUM('TOTAL VOLUME'!P48*'Side by Side Amount'!P49)</f>
        <v>68.149999999999991</v>
      </c>
      <c r="Q48" s="4">
        <f>SUM('TOTAL VOLUME'!Q48*'Side by Side Amount'!Q49)</f>
        <v>26.1</v>
      </c>
      <c r="R48" s="4">
        <f>SUM('TOTAL VOLUME'!R48*'Side by Side Amount'!R49)</f>
        <v>44.46</v>
      </c>
      <c r="S48" s="4">
        <f>SUM('TOTAL VOLUME'!S48*'Side by Side Amount'!S49)</f>
        <v>83</v>
      </c>
      <c r="T48" s="4">
        <f>SUM('TOTAL VOLUME'!T48*'Side by Side Amount'!T49)</f>
        <v>142.02000000000004</v>
      </c>
      <c r="U48" s="4">
        <f>SUM('TOTAL VOLUME'!U48*'Side by Side Amount'!U49)</f>
        <v>94.35</v>
      </c>
      <c r="V48" s="4">
        <f>SUM('TOTAL VOLUME'!V48*'Side by Side Amount'!V49)</f>
        <v>365.03999999999996</v>
      </c>
      <c r="W48" s="4">
        <f>SUM('TOTAL VOLUME'!W48*'Side by Side Amount'!W49)</f>
        <v>437.58000000000004</v>
      </c>
      <c r="X48" s="4">
        <f>SUM('TOTAL VOLUME'!X48*'Side by Side Amount'!X49)</f>
        <v>202.84</v>
      </c>
      <c r="Y48" s="4">
        <f>SUM('TOTAL VOLUME'!Y48*'Side by Side Amount'!Y49)</f>
        <v>1404.3999999999996</v>
      </c>
      <c r="Z48" s="4">
        <f>SUM('TOTAL VOLUME'!Z48*'Side by Side Amount'!Z49)</f>
        <v>2167.7099999999996</v>
      </c>
      <c r="AA48" s="4">
        <f>SUM('TOTAL VOLUME'!AA48*'Side by Side Amount'!AA49)</f>
        <v>2230.48</v>
      </c>
      <c r="AB48" s="4">
        <f>SUM('TOTAL VOLUME'!AB48*'Side by Side Amount'!AB49)</f>
        <v>1393.2600000000002</v>
      </c>
      <c r="AC48" s="4">
        <f>SUM('TOTAL VOLUME'!AC48*'Side by Side Amount'!AC49)</f>
        <v>3952.4099999999994</v>
      </c>
    </row>
    <row r="49" spans="1:29" ht="12" x14ac:dyDescent="0.2">
      <c r="A49" s="2">
        <v>48</v>
      </c>
      <c r="B49" s="4">
        <f>SUM('TOTAL VOLUME'!B49*'Side by Side Amount'!B50)</f>
        <v>10.200000000000003</v>
      </c>
      <c r="C49" s="4">
        <f>SUM('TOTAL VOLUME'!C49*'Side by Side Amount'!C50)</f>
        <v>0</v>
      </c>
      <c r="D49" s="4">
        <f>SUM('TOTAL VOLUME'!D49*'Side by Side Amount'!D50)</f>
        <v>0</v>
      </c>
      <c r="E49" s="4">
        <f>SUM('TOTAL VOLUME'!E49*'Side by Side Amount'!E50)</f>
        <v>56.649999999999991</v>
      </c>
      <c r="F49" s="4">
        <f>SUM('TOTAL VOLUME'!F49*'Side by Side Amount'!F50)</f>
        <v>0</v>
      </c>
      <c r="G49" s="4">
        <f>SUM('TOTAL VOLUME'!G49*'Side by Side Amount'!G50)</f>
        <v>0</v>
      </c>
      <c r="H49" s="4">
        <f>SUM('TOTAL VOLUME'!H49*'Side by Side Amount'!H50)</f>
        <v>0</v>
      </c>
      <c r="I49" s="4">
        <f>SUM('TOTAL VOLUME'!I49*'Side by Side Amount'!I50)</f>
        <v>0</v>
      </c>
      <c r="J49" s="4">
        <f>SUM('TOTAL VOLUME'!J49*'Side by Side Amount'!J50)</f>
        <v>0</v>
      </c>
      <c r="K49" s="4">
        <f>SUM('TOTAL VOLUME'!K49*'Side by Side Amount'!K50)</f>
        <v>0</v>
      </c>
      <c r="L49" s="4">
        <f>SUM('TOTAL VOLUME'!L49*'Side by Side Amount'!L50)</f>
        <v>15.559999999999999</v>
      </c>
      <c r="M49" s="4">
        <f>SUM('TOTAL VOLUME'!M49*'Side by Side Amount'!M50)</f>
        <v>0</v>
      </c>
      <c r="N49" s="4">
        <f>SUM('TOTAL VOLUME'!N49*'Side by Side Amount'!N50)</f>
        <v>29.319999999999993</v>
      </c>
      <c r="O49" s="4">
        <f>SUM('TOTAL VOLUME'!O49*'Side by Side Amount'!O50)</f>
        <v>0</v>
      </c>
      <c r="P49" s="4">
        <f>SUM('TOTAL VOLUME'!P49*'Side by Side Amount'!P50)</f>
        <v>84.24</v>
      </c>
      <c r="Q49" s="4">
        <f>SUM('TOTAL VOLUME'!Q49*'Side by Side Amount'!Q50)</f>
        <v>14.499999999999993</v>
      </c>
      <c r="R49" s="4">
        <f>SUM('TOTAL VOLUME'!R49*'Side by Side Amount'!R50)</f>
        <v>48.16</v>
      </c>
      <c r="S49" s="4">
        <f>SUM('TOTAL VOLUME'!S49*'Side by Side Amount'!S50)</f>
        <v>146.99999999999991</v>
      </c>
      <c r="T49" s="4">
        <f>SUM('TOTAL VOLUME'!T49*'Side by Side Amount'!T50)</f>
        <v>101.46</v>
      </c>
      <c r="U49" s="4">
        <f>SUM('TOTAL VOLUME'!U49*'Side by Side Amount'!U50)</f>
        <v>82.679999999999993</v>
      </c>
      <c r="V49" s="4">
        <f>SUM('TOTAL VOLUME'!V49*'Side by Side Amount'!V50)</f>
        <v>563.27000000000021</v>
      </c>
      <c r="W49" s="4">
        <f>SUM('TOTAL VOLUME'!W49*'Side by Side Amount'!W50)</f>
        <v>301.98999999999995</v>
      </c>
      <c r="X49" s="4">
        <f>SUM('TOTAL VOLUME'!X49*'Side by Side Amount'!X50)</f>
        <v>147.84</v>
      </c>
      <c r="Y49" s="4">
        <f>SUM('TOTAL VOLUME'!Y49*'Side by Side Amount'!Y50)</f>
        <v>141.04000000000002</v>
      </c>
      <c r="Z49" s="4">
        <f>SUM('TOTAL VOLUME'!Z49*'Side by Side Amount'!Z50)</f>
        <v>540.26</v>
      </c>
      <c r="AA49" s="4">
        <f>SUM('TOTAL VOLUME'!AA49*'Side by Side Amount'!AA50)</f>
        <v>558.31999999999994</v>
      </c>
      <c r="AB49" s="4">
        <f>SUM('TOTAL VOLUME'!AB49*'Side by Side Amount'!AB50)</f>
        <v>472.89000000000004</v>
      </c>
      <c r="AC49" s="4">
        <f>SUM('TOTAL VOLUME'!AC49*'Side by Side Amount'!AC50)</f>
        <v>1183.5200000000002</v>
      </c>
    </row>
    <row r="50" spans="1:29" ht="12" x14ac:dyDescent="0.2">
      <c r="A50" s="2">
        <v>49</v>
      </c>
      <c r="B50" s="4">
        <f>SUM('TOTAL VOLUME'!B50*'Side by Side Amount'!B51)</f>
        <v>0</v>
      </c>
      <c r="C50" s="4">
        <f>SUM('TOTAL VOLUME'!C50*'Side by Side Amount'!C51)</f>
        <v>0</v>
      </c>
      <c r="D50" s="4">
        <f>SUM('TOTAL VOLUME'!D50*'Side by Side Amount'!D51)</f>
        <v>0</v>
      </c>
      <c r="E50" s="4">
        <f>SUM('TOTAL VOLUME'!E50*'Side by Side Amount'!E51)</f>
        <v>22.600000000000009</v>
      </c>
      <c r="F50" s="4">
        <f>SUM('TOTAL VOLUME'!F50*'Side by Side Amount'!F51)</f>
        <v>0</v>
      </c>
      <c r="G50" s="4">
        <f>SUM('TOTAL VOLUME'!G50*'Side by Side Amount'!G51)</f>
        <v>0</v>
      </c>
      <c r="H50" s="4">
        <f>SUM('TOTAL VOLUME'!H50*'Side by Side Amount'!H51)</f>
        <v>20.729999999999997</v>
      </c>
      <c r="I50" s="4">
        <f>SUM('TOTAL VOLUME'!I50*'Side by Side Amount'!I51)</f>
        <v>0</v>
      </c>
      <c r="J50" s="4">
        <f>SUM('TOTAL VOLUME'!J50*'Side by Side Amount'!J51)</f>
        <v>0</v>
      </c>
      <c r="K50" s="4">
        <f>SUM('TOTAL VOLUME'!K50*'Side by Side Amount'!K51)</f>
        <v>0</v>
      </c>
      <c r="L50" s="4">
        <f>SUM('TOTAL VOLUME'!L50*'Side by Side Amount'!L51)</f>
        <v>0</v>
      </c>
      <c r="M50" s="4">
        <f>SUM('TOTAL VOLUME'!M50*'Side by Side Amount'!M51)</f>
        <v>0</v>
      </c>
      <c r="N50" s="4">
        <f>SUM('TOTAL VOLUME'!N50*'Side by Side Amount'!N51)</f>
        <v>0</v>
      </c>
      <c r="O50" s="4">
        <f>SUM('TOTAL VOLUME'!O50*'Side by Side Amount'!O51)</f>
        <v>0</v>
      </c>
      <c r="P50" s="4">
        <f>SUM('TOTAL VOLUME'!P50*'Side by Side Amount'!P51)</f>
        <v>58.750000000000036</v>
      </c>
      <c r="Q50" s="4">
        <f>SUM('TOTAL VOLUME'!Q50*'Side by Side Amount'!Q51)</f>
        <v>28.999999999999986</v>
      </c>
      <c r="R50" s="4">
        <f>SUM('TOTAL VOLUME'!R50*'Side by Side Amount'!R51)</f>
        <v>27.680000000000007</v>
      </c>
      <c r="S50" s="4">
        <f>SUM('TOTAL VOLUME'!S50*'Side by Side Amount'!S51)</f>
        <v>88.199999999999946</v>
      </c>
      <c r="T50" s="4">
        <f>SUM('TOTAL VOLUME'!T50*'Side by Side Amount'!T51)</f>
        <v>53.800000000000026</v>
      </c>
      <c r="U50" s="4">
        <f>SUM('TOTAL VOLUME'!U50*'Side by Side Amount'!U51)</f>
        <v>38.880000000000003</v>
      </c>
      <c r="V50" s="4">
        <f>SUM('TOTAL VOLUME'!V50*'Side by Side Amount'!V51)</f>
        <v>129.05999999999997</v>
      </c>
      <c r="W50" s="4">
        <f>SUM('TOTAL VOLUME'!W50*'Side by Side Amount'!W51)</f>
        <v>498.56000000000006</v>
      </c>
      <c r="X50" s="4">
        <f>SUM('TOTAL VOLUME'!X50*'Side by Side Amount'!X51)</f>
        <v>351.31000000000006</v>
      </c>
      <c r="Y50" s="4">
        <f>SUM('TOTAL VOLUME'!Y50*'Side by Side Amount'!Y51)</f>
        <v>1657.2200000000003</v>
      </c>
      <c r="Z50" s="4">
        <f>SUM('TOTAL VOLUME'!Z50*'Side by Side Amount'!Z51)</f>
        <v>3162.7400000000002</v>
      </c>
      <c r="AA50" s="4">
        <f>SUM('TOTAL VOLUME'!AA50*'Side by Side Amount'!AA51)</f>
        <v>2234.96</v>
      </c>
      <c r="AB50" s="4">
        <f>SUM('TOTAL VOLUME'!AB50*'Side by Side Amount'!AB51)</f>
        <v>1288.7999999999997</v>
      </c>
      <c r="AC50" s="4">
        <f>SUM('TOTAL VOLUME'!AC50*'Side by Side Amount'!AC51)</f>
        <v>5056.05</v>
      </c>
    </row>
    <row r="51" spans="1:29" ht="12" x14ac:dyDescent="0.2">
      <c r="A51" s="2">
        <v>50</v>
      </c>
      <c r="B51" s="4">
        <f>SUM('TOTAL VOLUME'!B51*'Side by Side Amount'!B52)</f>
        <v>0</v>
      </c>
      <c r="C51" s="4">
        <f>SUM('TOTAL VOLUME'!C51*'Side by Side Amount'!C52)</f>
        <v>12.559999999999995</v>
      </c>
      <c r="D51" s="4">
        <f>SUM('TOTAL VOLUME'!D51*'Side by Side Amount'!D52)</f>
        <v>0</v>
      </c>
      <c r="E51" s="4">
        <f>SUM('TOTAL VOLUME'!E51*'Side by Side Amount'!E52)</f>
        <v>0</v>
      </c>
      <c r="F51" s="4">
        <f>SUM('TOTAL VOLUME'!F51*'Side by Side Amount'!F52)</f>
        <v>18.730000000000004</v>
      </c>
      <c r="G51" s="4">
        <f>SUM('TOTAL VOLUME'!G51*'Side by Side Amount'!G52)</f>
        <v>20.359999999999992</v>
      </c>
      <c r="H51" s="4">
        <f>SUM('TOTAL VOLUME'!H51*'Side by Side Amount'!H52)</f>
        <v>83.080000000000013</v>
      </c>
      <c r="I51" s="4">
        <f>SUM('TOTAL VOLUME'!I51*'Side by Side Amount'!I52)</f>
        <v>5.4699999999999989</v>
      </c>
      <c r="J51" s="4">
        <f>SUM('TOTAL VOLUME'!J51*'Side by Side Amount'!J52)</f>
        <v>0</v>
      </c>
      <c r="K51" s="4">
        <f>SUM('TOTAL VOLUME'!K51*'Side by Side Amount'!K52)</f>
        <v>0</v>
      </c>
      <c r="L51" s="4">
        <f>SUM('TOTAL VOLUME'!L51*'Side by Side Amount'!L52)</f>
        <v>0</v>
      </c>
      <c r="M51" s="4">
        <f>SUM('TOTAL VOLUME'!M51*'Side by Side Amount'!M52)</f>
        <v>0</v>
      </c>
      <c r="N51" s="4">
        <f>SUM('TOTAL VOLUME'!N51*'Side by Side Amount'!N52)</f>
        <v>0</v>
      </c>
      <c r="O51" s="4">
        <f>SUM('TOTAL VOLUME'!O51*'Side by Side Amount'!O52)</f>
        <v>32.22</v>
      </c>
      <c r="P51" s="4">
        <f>SUM('TOTAL VOLUME'!P51*'Side by Side Amount'!P52)</f>
        <v>46.8</v>
      </c>
      <c r="Q51" s="4">
        <f>SUM('TOTAL VOLUME'!Q51*'Side by Side Amount'!Q52)</f>
        <v>8.73</v>
      </c>
      <c r="R51" s="4">
        <f>SUM('TOTAL VOLUME'!R51*'Side by Side Amount'!R52)</f>
        <v>41.760000000000005</v>
      </c>
      <c r="S51" s="4">
        <f>SUM('TOTAL VOLUME'!S51*'Side by Side Amount'!S52)</f>
        <v>63.150000000000013</v>
      </c>
      <c r="T51" s="4">
        <f>SUM('TOTAL VOLUME'!T51*'Side by Side Amount'!T52)</f>
        <v>107.60000000000005</v>
      </c>
      <c r="U51" s="4">
        <f>SUM('TOTAL VOLUME'!U51*'Side by Side Amount'!U52)</f>
        <v>38.940000000000012</v>
      </c>
      <c r="V51" s="4">
        <f>SUM('TOTAL VOLUME'!V51*'Side by Side Amount'!V52)</f>
        <v>173.03999999999994</v>
      </c>
      <c r="W51" s="4">
        <f>SUM('TOTAL VOLUME'!W51*'Side by Side Amount'!W52)</f>
        <v>248.14</v>
      </c>
      <c r="X51" s="4">
        <f>SUM('TOTAL VOLUME'!X51*'Side by Side Amount'!X52)</f>
        <v>148.80000000000001</v>
      </c>
      <c r="Y51" s="4">
        <f>SUM('TOTAL VOLUME'!Y51*'Side by Side Amount'!Y52)</f>
        <v>246.32999999999998</v>
      </c>
      <c r="Z51" s="4">
        <f>SUM('TOTAL VOLUME'!Z51*'Side by Side Amount'!Z52)</f>
        <v>231.12</v>
      </c>
      <c r="AA51" s="4">
        <f>SUM('TOTAL VOLUME'!AA51*'Side by Side Amount'!AA52)</f>
        <v>520.78</v>
      </c>
      <c r="AB51" s="4">
        <f>SUM('TOTAL VOLUME'!AB51*'Side by Side Amount'!AB52)</f>
        <v>85.960000000000008</v>
      </c>
      <c r="AC51" s="4">
        <f>SUM('TOTAL VOLUME'!AC51*'Side by Side Amount'!AC52)</f>
        <v>639.5200000000001</v>
      </c>
    </row>
    <row r="52" spans="1:29" ht="12" x14ac:dyDescent="0.2">
      <c r="A52" s="2">
        <v>51</v>
      </c>
      <c r="B52" s="4">
        <f>SUM('TOTAL VOLUME'!B52*'Side by Side Amount'!B53)</f>
        <v>5.18</v>
      </c>
      <c r="C52" s="4">
        <f>SUM('TOTAL VOLUME'!C52*'Side by Side Amount'!C53)</f>
        <v>0</v>
      </c>
      <c r="D52" s="4">
        <f>SUM('TOTAL VOLUME'!D52*'Side by Side Amount'!D53)</f>
        <v>0</v>
      </c>
      <c r="E52" s="4">
        <f>SUM('TOTAL VOLUME'!E52*'Side by Side Amount'!E53)</f>
        <v>23.159999999999997</v>
      </c>
      <c r="F52" s="4">
        <f>SUM('TOTAL VOLUME'!F52*'Side by Side Amount'!F53)</f>
        <v>0</v>
      </c>
      <c r="G52" s="4">
        <f>SUM('TOTAL VOLUME'!G52*'Side by Side Amount'!G53)</f>
        <v>0</v>
      </c>
      <c r="H52" s="4">
        <f>SUM('TOTAL VOLUME'!H52*'Side by Side Amount'!H53)</f>
        <v>0</v>
      </c>
      <c r="I52" s="4">
        <f>SUM('TOTAL VOLUME'!I52*'Side by Side Amount'!I53)</f>
        <v>0</v>
      </c>
      <c r="J52" s="4">
        <f>SUM('TOTAL VOLUME'!J52*'Side by Side Amount'!J53)</f>
        <v>0</v>
      </c>
      <c r="K52" s="4">
        <f>SUM('TOTAL VOLUME'!K52*'Side by Side Amount'!K53)</f>
        <v>0</v>
      </c>
      <c r="L52" s="4">
        <f>SUM('TOTAL VOLUME'!L52*'Side by Side Amount'!L53)</f>
        <v>0</v>
      </c>
      <c r="M52" s="4">
        <f>SUM('TOTAL VOLUME'!M52*'Side by Side Amount'!M53)</f>
        <v>0</v>
      </c>
      <c r="N52" s="4">
        <f>SUM('TOTAL VOLUME'!N52*'Side by Side Amount'!N53)</f>
        <v>30.58</v>
      </c>
      <c r="O52" s="4">
        <f>SUM('TOTAL VOLUME'!O52*'Side by Side Amount'!O53)</f>
        <v>31.770000000000003</v>
      </c>
      <c r="P52" s="4">
        <f>SUM('TOTAL VOLUME'!P52*'Side by Side Amount'!P53)</f>
        <v>49.769999999999982</v>
      </c>
      <c r="Q52" s="4">
        <f>SUM('TOTAL VOLUME'!Q52*'Side by Side Amount'!Q53)</f>
        <v>8.73</v>
      </c>
      <c r="R52" s="4">
        <f>SUM('TOTAL VOLUME'!R52*'Side by Side Amount'!R53)</f>
        <v>66.499999999999972</v>
      </c>
      <c r="S52" s="4">
        <f>SUM('TOTAL VOLUME'!S52*'Side by Side Amount'!S53)</f>
        <v>72.08</v>
      </c>
      <c r="T52" s="4">
        <f>SUM('TOTAL VOLUME'!T52*'Side by Side Amount'!T53)</f>
        <v>139.35999999999999</v>
      </c>
      <c r="U52" s="4">
        <f>SUM('TOTAL VOLUME'!U52*'Side by Side Amount'!U53)</f>
        <v>45.149999999999991</v>
      </c>
      <c r="V52" s="4">
        <f>SUM('TOTAL VOLUME'!V52*'Side by Side Amount'!V53)</f>
        <v>181.25</v>
      </c>
      <c r="W52" s="4">
        <f>SUM('TOTAL VOLUME'!W52*'Side by Side Amount'!W53)</f>
        <v>202.01999999999998</v>
      </c>
      <c r="X52" s="4">
        <f>SUM('TOTAL VOLUME'!X52*'Side by Side Amount'!X53)</f>
        <v>101.39999999999999</v>
      </c>
      <c r="Y52" s="4">
        <f>SUM('TOTAL VOLUME'!Y52*'Side by Side Amount'!Y53)</f>
        <v>336.05999999999995</v>
      </c>
      <c r="Z52" s="4">
        <f>SUM('TOTAL VOLUME'!Z52*'Side by Side Amount'!Z53)</f>
        <v>290.92</v>
      </c>
      <c r="AA52" s="4">
        <f>SUM('TOTAL VOLUME'!AA52*'Side by Side Amount'!AA53)</f>
        <v>339.2</v>
      </c>
      <c r="AB52" s="4">
        <f>SUM('TOTAL VOLUME'!AB52*'Side by Side Amount'!AB53)</f>
        <v>137.64000000000001</v>
      </c>
      <c r="AC52" s="4">
        <f>SUM('TOTAL VOLUME'!AC52*'Side by Side Amount'!AC53)</f>
        <v>711.00000000000011</v>
      </c>
    </row>
    <row r="53" spans="1:29" ht="12" x14ac:dyDescent="0.2">
      <c r="A53" s="2">
        <v>52</v>
      </c>
      <c r="B53" s="4">
        <f>SUM('TOTAL VOLUME'!B53*'Side by Side Amount'!B54)</f>
        <v>0</v>
      </c>
      <c r="C53" s="4">
        <f>SUM('TOTAL VOLUME'!C53*'Side by Side Amount'!C54)</f>
        <v>0</v>
      </c>
      <c r="D53" s="4">
        <f>SUM('TOTAL VOLUME'!D53*'Side by Side Amount'!D54)</f>
        <v>0</v>
      </c>
      <c r="E53" s="4">
        <f>SUM('TOTAL VOLUME'!E53*'Side by Side Amount'!E54)</f>
        <v>0</v>
      </c>
      <c r="F53" s="4">
        <f>SUM('TOTAL VOLUME'!F53*'Side by Side Amount'!F54)</f>
        <v>19.919999999999995</v>
      </c>
      <c r="G53" s="4">
        <f>SUM('TOTAL VOLUME'!G53*'Side by Side Amount'!G54)</f>
        <v>0</v>
      </c>
      <c r="H53" s="4">
        <f>SUM('TOTAL VOLUME'!H53*'Side by Side Amount'!H54)</f>
        <v>22.939999999999998</v>
      </c>
      <c r="I53" s="4">
        <f>SUM('TOTAL VOLUME'!I53*'Side by Side Amount'!I54)</f>
        <v>0</v>
      </c>
      <c r="J53" s="4">
        <f>SUM('TOTAL VOLUME'!J53*'Side by Side Amount'!J54)</f>
        <v>0</v>
      </c>
      <c r="K53" s="4">
        <f>SUM('TOTAL VOLUME'!K53*'Side by Side Amount'!K54)</f>
        <v>0</v>
      </c>
      <c r="L53" s="4">
        <f>SUM('TOTAL VOLUME'!L53*'Side by Side Amount'!L54)</f>
        <v>0</v>
      </c>
      <c r="M53" s="4">
        <f>SUM('TOTAL VOLUME'!M53*'Side by Side Amount'!M54)</f>
        <v>0</v>
      </c>
      <c r="N53" s="4">
        <f>SUM('TOTAL VOLUME'!N53*'Side by Side Amount'!N54)</f>
        <v>0</v>
      </c>
      <c r="O53" s="4">
        <f>SUM('TOTAL VOLUME'!O53*'Side by Side Amount'!O54)</f>
        <v>32.229999999999997</v>
      </c>
      <c r="P53" s="4">
        <f>SUM('TOTAL VOLUME'!P53*'Side by Side Amount'!P54)</f>
        <v>26.179999999999989</v>
      </c>
      <c r="Q53" s="4">
        <f>SUM('TOTAL VOLUME'!Q53*'Side by Side Amount'!Q54)</f>
        <v>8.73</v>
      </c>
      <c r="R53" s="4">
        <f>SUM('TOTAL VOLUME'!R53*'Side by Side Amount'!R54)</f>
        <v>38.5</v>
      </c>
      <c r="S53" s="4">
        <f>SUM('TOTAL VOLUME'!S53*'Side by Side Amount'!S54)</f>
        <v>33.999999999999986</v>
      </c>
      <c r="T53" s="4">
        <f>SUM('TOTAL VOLUME'!T53*'Side by Side Amount'!T54)</f>
        <v>37.45000000000001</v>
      </c>
      <c r="U53" s="4">
        <f>SUM('TOTAL VOLUME'!U53*'Side by Side Amount'!U54)</f>
        <v>32.300000000000004</v>
      </c>
      <c r="V53" s="4">
        <f>SUM('TOTAL VOLUME'!V53*'Side by Side Amount'!V54)</f>
        <v>65.25</v>
      </c>
      <c r="W53" s="4">
        <f>SUM('TOTAL VOLUME'!W53*'Side by Side Amount'!W54)</f>
        <v>307.85999999999996</v>
      </c>
      <c r="X53" s="4">
        <f>SUM('TOTAL VOLUME'!X53*'Side by Side Amount'!X54)</f>
        <v>85.32</v>
      </c>
      <c r="Y53" s="4">
        <f>SUM('TOTAL VOLUME'!Y53*'Side by Side Amount'!Y54)</f>
        <v>40.009999999999991</v>
      </c>
      <c r="Z53" s="4">
        <f>SUM('TOTAL VOLUME'!Z53*'Side by Side Amount'!Z54)</f>
        <v>338.96</v>
      </c>
      <c r="AA53" s="4">
        <f>SUM('TOTAL VOLUME'!AA53*'Side by Side Amount'!AA54)</f>
        <v>219.79999999999995</v>
      </c>
      <c r="AB53" s="4">
        <f>SUM('TOTAL VOLUME'!AB53*'Side by Side Amount'!AB54)</f>
        <v>95.34</v>
      </c>
      <c r="AC53" s="4">
        <f>SUM('TOTAL VOLUME'!AC53*'Side by Side Amount'!AC54)</f>
        <v>800.16000000000008</v>
      </c>
    </row>
    <row r="54" spans="1:29" ht="12" x14ac:dyDescent="0.2">
      <c r="A54" s="2">
        <v>53</v>
      </c>
      <c r="B54" s="4">
        <f>SUM('TOTAL VOLUME'!B54*'Side by Side Amount'!B55)</f>
        <v>0</v>
      </c>
      <c r="C54" s="4">
        <f>SUM('TOTAL VOLUME'!C54*'Side by Side Amount'!C55)</f>
        <v>0</v>
      </c>
      <c r="D54" s="4">
        <f>SUM('TOTAL VOLUME'!D54*'Side by Side Amount'!D55)</f>
        <v>8.8100000000000023</v>
      </c>
      <c r="E54" s="4">
        <f>SUM('TOTAL VOLUME'!E54*'Side by Side Amount'!E55)</f>
        <v>0</v>
      </c>
      <c r="F54" s="4">
        <f>SUM('TOTAL VOLUME'!F54*'Side by Side Amount'!F55)</f>
        <v>0</v>
      </c>
      <c r="G54" s="4">
        <f>SUM('TOTAL VOLUME'!G54*'Side by Side Amount'!G55)</f>
        <v>22.39</v>
      </c>
      <c r="H54" s="4">
        <f>SUM('TOTAL VOLUME'!H54*'Side by Side Amount'!H55)</f>
        <v>46.179999999999978</v>
      </c>
      <c r="I54" s="4">
        <f>SUM('TOTAL VOLUME'!I54*'Side by Side Amount'!I55)</f>
        <v>0</v>
      </c>
      <c r="J54" s="4">
        <f>SUM('TOTAL VOLUME'!J54*'Side by Side Amount'!J55)</f>
        <v>0</v>
      </c>
      <c r="K54" s="4">
        <f>SUM('TOTAL VOLUME'!K54*'Side by Side Amount'!K55)</f>
        <v>0</v>
      </c>
      <c r="L54" s="4">
        <f>SUM('TOTAL VOLUME'!L54*'Side by Side Amount'!L55)</f>
        <v>0</v>
      </c>
      <c r="M54" s="4">
        <f>SUM('TOTAL VOLUME'!M54*'Side by Side Amount'!M55)</f>
        <v>0</v>
      </c>
      <c r="N54" s="4">
        <f>SUM('TOTAL VOLUME'!N54*'Side by Side Amount'!N55)</f>
        <v>0</v>
      </c>
      <c r="O54" s="4">
        <f>SUM('TOTAL VOLUME'!O54*'Side by Side Amount'!O55)</f>
        <v>0</v>
      </c>
      <c r="P54" s="4">
        <f>SUM('TOTAL VOLUME'!P54*'Side by Side Amount'!P55)</f>
        <v>28.439999999999991</v>
      </c>
      <c r="Q54" s="4">
        <f>SUM('TOTAL VOLUME'!Q54*'Side by Side Amount'!Q55)</f>
        <v>14.699999999999998</v>
      </c>
      <c r="R54" s="4">
        <f>SUM('TOTAL VOLUME'!R54*'Side by Side Amount'!R55)</f>
        <v>24.570000000000011</v>
      </c>
      <c r="S54" s="4">
        <f>SUM('TOTAL VOLUME'!S54*'Side by Side Amount'!S55)</f>
        <v>50.519999999999989</v>
      </c>
      <c r="T54" s="4">
        <f>SUM('TOTAL VOLUME'!T54*'Side by Side Amount'!T55)</f>
        <v>69.679999999999993</v>
      </c>
      <c r="U54" s="4">
        <f>SUM('TOTAL VOLUME'!U54*'Side by Side Amount'!U55)</f>
        <v>19.379999999999992</v>
      </c>
      <c r="V54" s="4">
        <f>SUM('TOTAL VOLUME'!V54*'Side by Side Amount'!V55)</f>
        <v>87.95999999999998</v>
      </c>
      <c r="W54" s="4">
        <f>SUM('TOTAL VOLUME'!W54*'Side by Side Amount'!W55)</f>
        <v>192.52999999999997</v>
      </c>
      <c r="X54" s="4">
        <f>SUM('TOTAL VOLUME'!X54*'Side by Side Amount'!X55)</f>
        <v>64.349999999999994</v>
      </c>
      <c r="Y54" s="4">
        <f>SUM('TOTAL VOLUME'!Y54*'Side by Side Amount'!Y55)</f>
        <v>120.84</v>
      </c>
      <c r="Z54" s="4">
        <f>SUM('TOTAL VOLUME'!Z54*'Side by Side Amount'!Z55)</f>
        <v>520.91999999999996</v>
      </c>
      <c r="AA54" s="4">
        <f>SUM('TOTAL VOLUME'!AA54*'Side by Side Amount'!AA55)</f>
        <v>88.220000000000013</v>
      </c>
      <c r="AB54" s="4">
        <f>SUM('TOTAL VOLUME'!AB54*'Side by Side Amount'!AB55)</f>
        <v>150.12</v>
      </c>
      <c r="AC54" s="4">
        <f>SUM('TOTAL VOLUME'!AC54*'Side by Side Amount'!AC55)</f>
        <v>714.56</v>
      </c>
    </row>
    <row r="55" spans="1:29" ht="12" x14ac:dyDescent="0.2">
      <c r="A55" s="2">
        <v>54</v>
      </c>
      <c r="B55" s="4">
        <f>SUM('TOTAL VOLUME'!B55*'Side by Side Amount'!B56)</f>
        <v>0</v>
      </c>
      <c r="C55" s="4">
        <f>SUM('TOTAL VOLUME'!C55*'Side by Side Amount'!C56)</f>
        <v>6.8599999999999994</v>
      </c>
      <c r="D55" s="4">
        <f>SUM('TOTAL VOLUME'!D55*'Side by Side Amount'!D56)</f>
        <v>0</v>
      </c>
      <c r="E55" s="4">
        <f>SUM('TOTAL VOLUME'!E55*'Side by Side Amount'!E56)</f>
        <v>0</v>
      </c>
      <c r="F55" s="4">
        <f>SUM('TOTAL VOLUME'!F55*'Side by Side Amount'!F56)</f>
        <v>0</v>
      </c>
      <c r="G55" s="4">
        <f>SUM('TOTAL VOLUME'!G55*'Side by Side Amount'!G56)</f>
        <v>22.67</v>
      </c>
      <c r="H55" s="4">
        <f>SUM('TOTAL VOLUME'!H55*'Side by Side Amount'!H56)</f>
        <v>0</v>
      </c>
      <c r="I55" s="4">
        <f>SUM('TOTAL VOLUME'!I55*'Side by Side Amount'!I56)</f>
        <v>0</v>
      </c>
      <c r="J55" s="4">
        <f>SUM('TOTAL VOLUME'!J55*'Side by Side Amount'!J56)</f>
        <v>0</v>
      </c>
      <c r="K55" s="4">
        <f>SUM('TOTAL VOLUME'!K55*'Side by Side Amount'!K56)</f>
        <v>0</v>
      </c>
      <c r="L55" s="4">
        <f>SUM('TOTAL VOLUME'!L55*'Side by Side Amount'!L56)</f>
        <v>0</v>
      </c>
      <c r="M55" s="4">
        <f>SUM('TOTAL VOLUME'!M55*'Side by Side Amount'!M56)</f>
        <v>0</v>
      </c>
      <c r="N55" s="4">
        <f>SUM('TOTAL VOLUME'!N55*'Side by Side Amount'!N56)</f>
        <v>0</v>
      </c>
      <c r="O55" s="4">
        <f>SUM('TOTAL VOLUME'!O55*'Side by Side Amount'!O56)</f>
        <v>0</v>
      </c>
      <c r="P55" s="4">
        <f>SUM('TOTAL VOLUME'!P55*'Side by Side Amount'!P56)</f>
        <v>21.329999999999991</v>
      </c>
      <c r="Q55" s="4">
        <f>SUM('TOTAL VOLUME'!Q55*'Side by Side Amount'!Q56)</f>
        <v>11.839999999999996</v>
      </c>
      <c r="R55" s="4">
        <f>SUM('TOTAL VOLUME'!R55*'Side by Side Amount'!R56)</f>
        <v>28.159999999999997</v>
      </c>
      <c r="S55" s="4">
        <f>SUM('TOTAL VOLUME'!S55*'Side by Side Amount'!S56)</f>
        <v>59.079999999999984</v>
      </c>
      <c r="T55" s="4">
        <f>SUM('TOTAL VOLUME'!T55*'Side by Side Amount'!T56)</f>
        <v>37.519999999999996</v>
      </c>
      <c r="U55" s="4">
        <f>SUM('TOTAL VOLUME'!U55*'Side by Side Amount'!U56)</f>
        <v>51.759999999999991</v>
      </c>
      <c r="V55" s="4">
        <f>SUM('TOTAL VOLUME'!V55*'Side by Side Amount'!V56)</f>
        <v>29.36</v>
      </c>
      <c r="W55" s="4">
        <f>SUM('TOTAL VOLUME'!W55*'Side by Side Amount'!W56)</f>
        <v>430.65000000000003</v>
      </c>
      <c r="X55" s="4">
        <f>SUM('TOTAL VOLUME'!X55*'Side by Side Amount'!X56)</f>
        <v>107.45000000000002</v>
      </c>
      <c r="Y55" s="4">
        <f>SUM('TOTAL VOLUME'!Y55*'Side by Side Amount'!Y56)</f>
        <v>201.55</v>
      </c>
      <c r="Z55" s="4">
        <f>SUM('TOTAL VOLUME'!Z55*'Side by Side Amount'!Z56)</f>
        <v>926.5200000000001</v>
      </c>
      <c r="AA55" s="4">
        <f>SUM('TOTAL VOLUME'!AA55*'Side by Side Amount'!AA56)</f>
        <v>485.76</v>
      </c>
      <c r="AB55" s="4">
        <f>SUM('TOTAL VOLUME'!AB55*'Side by Side Amount'!AB56)</f>
        <v>50.27</v>
      </c>
      <c r="AC55" s="4">
        <f>SUM('TOTAL VOLUME'!AC55*'Side by Side Amount'!AC56)</f>
        <v>767.25000000000011</v>
      </c>
    </row>
    <row r="56" spans="1:29" ht="12" x14ac:dyDescent="0.2">
      <c r="A56" s="2">
        <v>55</v>
      </c>
      <c r="B56" s="4">
        <f>SUM('TOTAL VOLUME'!B56*'Side by Side Amount'!B57)</f>
        <v>5.84</v>
      </c>
      <c r="C56" s="4">
        <f>SUM('TOTAL VOLUME'!C56*'Side by Side Amount'!C57)</f>
        <v>6.8999999999999986</v>
      </c>
      <c r="D56" s="4">
        <f>SUM('TOTAL VOLUME'!D56*'Side by Side Amount'!D57)</f>
        <v>0</v>
      </c>
      <c r="E56" s="4">
        <f>SUM('TOTAL VOLUME'!E56*'Side by Side Amount'!E57)</f>
        <v>12.36</v>
      </c>
      <c r="F56" s="4">
        <f>SUM('TOTAL VOLUME'!F56*'Side by Side Amount'!F57)</f>
        <v>20.840000000000003</v>
      </c>
      <c r="G56" s="4">
        <f>SUM('TOTAL VOLUME'!G56*'Side by Side Amount'!G57)</f>
        <v>0</v>
      </c>
      <c r="H56" s="4">
        <f>SUM('TOTAL VOLUME'!H56*'Side by Side Amount'!H57)</f>
        <v>23.150000000000006</v>
      </c>
      <c r="I56" s="4">
        <f>SUM('TOTAL VOLUME'!I56*'Side by Side Amount'!I57)</f>
        <v>0</v>
      </c>
      <c r="J56" s="4">
        <f>SUM('TOTAL VOLUME'!J56*'Side by Side Amount'!J57)</f>
        <v>0</v>
      </c>
      <c r="K56" s="4">
        <f>SUM('TOTAL VOLUME'!K56*'Side by Side Amount'!K57)</f>
        <v>0</v>
      </c>
      <c r="L56" s="4">
        <f>SUM('TOTAL VOLUME'!L56*'Side by Side Amount'!L57)</f>
        <v>0</v>
      </c>
      <c r="M56" s="4">
        <f>SUM('TOTAL VOLUME'!M56*'Side by Side Amount'!M57)</f>
        <v>0</v>
      </c>
      <c r="N56" s="4">
        <f>SUM('TOTAL VOLUME'!N56*'Side by Side Amount'!N57)</f>
        <v>0</v>
      </c>
      <c r="O56" s="4">
        <f>SUM('TOTAL VOLUME'!O56*'Side by Side Amount'!O57)</f>
        <v>68.960000000000008</v>
      </c>
      <c r="P56" s="4">
        <f>SUM('TOTAL VOLUME'!P56*'Side by Side Amount'!P57)</f>
        <v>35.699999999999989</v>
      </c>
      <c r="Q56" s="4">
        <f>SUM('TOTAL VOLUME'!Q56*'Side by Side Amount'!Q57)</f>
        <v>8.9100000000000019</v>
      </c>
      <c r="R56" s="4">
        <f>SUM('TOTAL VOLUME'!R56*'Side by Side Amount'!R57)</f>
        <v>84.720000000000027</v>
      </c>
      <c r="S56" s="4">
        <f>SUM('TOTAL VOLUME'!S56*'Side by Side Amount'!S57)</f>
        <v>56.029999999999987</v>
      </c>
      <c r="T56" s="4">
        <f>SUM('TOTAL VOLUME'!T56*'Side by Side Amount'!T57)</f>
        <v>64.559999999999988</v>
      </c>
      <c r="U56" s="4">
        <f>SUM('TOTAL VOLUME'!U56*'Side by Side Amount'!U57)</f>
        <v>25.839999999999989</v>
      </c>
      <c r="V56" s="4">
        <f>SUM('TOTAL VOLUME'!V56*'Side by Side Amount'!V57)</f>
        <v>81.070000000000007</v>
      </c>
      <c r="W56" s="4">
        <f>SUM('TOTAL VOLUME'!W56*'Side by Side Amount'!W57)</f>
        <v>253.47</v>
      </c>
      <c r="X56" s="4">
        <f>SUM('TOTAL VOLUME'!X56*'Side by Side Amount'!X57)</f>
        <v>218.70000000000002</v>
      </c>
      <c r="Y56" s="4">
        <f>SUM('TOTAL VOLUME'!Y56*'Side by Side Amount'!Y57)</f>
        <v>243.66000000000003</v>
      </c>
      <c r="Z56" s="4">
        <f>SUM('TOTAL VOLUME'!Z56*'Side by Side Amount'!Z57)</f>
        <v>840.17999999999984</v>
      </c>
      <c r="AA56" s="4">
        <f>SUM('TOTAL VOLUME'!AA56*'Side by Side Amount'!AA57)</f>
        <v>398.43</v>
      </c>
      <c r="AB56" s="4">
        <f>SUM('TOTAL VOLUME'!AB56*'Side by Side Amount'!AB57)</f>
        <v>251.24999999999997</v>
      </c>
      <c r="AC56" s="4">
        <f>SUM('TOTAL VOLUME'!AC56*'Side by Side Amount'!AC57)</f>
        <v>972.6099999999999</v>
      </c>
    </row>
    <row r="57" spans="1:29" ht="12" x14ac:dyDescent="0.2">
      <c r="A57" s="2">
        <v>56</v>
      </c>
      <c r="B57" s="4">
        <f>SUM('TOTAL VOLUME'!B57*'Side by Side Amount'!B58)</f>
        <v>5.879999999999999</v>
      </c>
      <c r="C57" s="4">
        <f>SUM('TOTAL VOLUME'!C57*'Side by Side Amount'!C58)</f>
        <v>0</v>
      </c>
      <c r="D57" s="4">
        <f>SUM('TOTAL VOLUME'!D57*'Side by Side Amount'!D58)</f>
        <v>0</v>
      </c>
      <c r="E57" s="4">
        <f>SUM('TOTAL VOLUME'!E57*'Side by Side Amount'!E58)</f>
        <v>0</v>
      </c>
      <c r="F57" s="4">
        <f>SUM('TOTAL VOLUME'!F57*'Side by Side Amount'!F58)</f>
        <v>0</v>
      </c>
      <c r="G57" s="4">
        <f>SUM('TOTAL VOLUME'!G57*'Side by Side Amount'!G58)</f>
        <v>0</v>
      </c>
      <c r="H57" s="4">
        <f>SUM('TOTAL VOLUME'!H57*'Side by Side Amount'!H58)</f>
        <v>46.34</v>
      </c>
      <c r="I57" s="4">
        <f>SUM('TOTAL VOLUME'!I57*'Side by Side Amount'!I58)</f>
        <v>0</v>
      </c>
      <c r="J57" s="4">
        <f>SUM('TOTAL VOLUME'!J57*'Side by Side Amount'!J58)</f>
        <v>0</v>
      </c>
      <c r="K57" s="4">
        <f>SUM('TOTAL VOLUME'!K57*'Side by Side Amount'!K58)</f>
        <v>0</v>
      </c>
      <c r="L57" s="4">
        <f>SUM('TOTAL VOLUME'!L57*'Side by Side Amount'!L58)</f>
        <v>0</v>
      </c>
      <c r="M57" s="4">
        <f>SUM('TOTAL VOLUME'!M57*'Side by Side Amount'!M58)</f>
        <v>0</v>
      </c>
      <c r="N57" s="4">
        <f>SUM('TOTAL VOLUME'!N57*'Side by Side Amount'!N58)</f>
        <v>0</v>
      </c>
      <c r="O57" s="4">
        <f>SUM('TOTAL VOLUME'!O57*'Side by Side Amount'!O58)</f>
        <v>34.540000000000006</v>
      </c>
      <c r="P57" s="4">
        <f>SUM('TOTAL VOLUME'!P57*'Side by Side Amount'!P58)</f>
        <v>11.899999999999995</v>
      </c>
      <c r="Q57" s="4">
        <f>SUM('TOTAL VOLUME'!Q57*'Side by Side Amount'!Q58)</f>
        <v>8.9700000000000006</v>
      </c>
      <c r="R57" s="4">
        <f>SUM('TOTAL VOLUME'!R57*'Side by Side Amount'!R58)</f>
        <v>31.860000000000007</v>
      </c>
      <c r="S57" s="4">
        <f>SUM('TOTAL VOLUME'!S57*'Side by Side Amount'!S58)</f>
        <v>60.480000000000004</v>
      </c>
      <c r="T57" s="4">
        <f>SUM('TOTAL VOLUME'!T57*'Side by Side Amount'!T58)</f>
        <v>43.04000000000002</v>
      </c>
      <c r="U57" s="4">
        <f>SUM('TOTAL VOLUME'!U57*'Side by Side Amount'!U58)</f>
        <v>84.240000000000009</v>
      </c>
      <c r="V57" s="4">
        <f>SUM('TOTAL VOLUME'!V57*'Side by Side Amount'!V58)</f>
        <v>74.099999999999966</v>
      </c>
      <c r="W57" s="4">
        <f>SUM('TOTAL VOLUME'!W57*'Side by Side Amount'!W58)</f>
        <v>239.84999999999997</v>
      </c>
      <c r="X57" s="4">
        <f>SUM('TOTAL VOLUME'!X57*'Side by Side Amount'!X58)</f>
        <v>161.63</v>
      </c>
      <c r="Y57" s="4">
        <f>SUM('TOTAL VOLUME'!Y57*'Side by Side Amount'!Y58)</f>
        <v>203.24999999999994</v>
      </c>
      <c r="Z57" s="4">
        <f>SUM('TOTAL VOLUME'!Z57*'Side by Side Amount'!Z58)</f>
        <v>891.60000000000014</v>
      </c>
      <c r="AA57" s="4">
        <f>SUM('TOTAL VOLUME'!AA57*'Side by Side Amount'!AA58)</f>
        <v>818.6400000000001</v>
      </c>
      <c r="AB57" s="4">
        <f>SUM('TOTAL VOLUME'!AB57*'Side by Side Amount'!AB58)</f>
        <v>401.68</v>
      </c>
      <c r="AC57" s="4">
        <f>SUM('TOTAL VOLUME'!AC57*'Side by Side Amount'!AC58)</f>
        <v>1127.06</v>
      </c>
    </row>
    <row r="58" spans="1:29" ht="12" x14ac:dyDescent="0.2">
      <c r="A58" s="2">
        <v>57</v>
      </c>
      <c r="B58" s="4">
        <f>SUM('TOTAL VOLUME'!B58*'Side by Side Amount'!B59)</f>
        <v>5.91</v>
      </c>
      <c r="C58" s="4">
        <f>SUM('TOTAL VOLUME'!C58*'Side by Side Amount'!C59)</f>
        <v>0</v>
      </c>
      <c r="D58" s="4">
        <f>SUM('TOTAL VOLUME'!D58*'Side by Side Amount'!D59)</f>
        <v>0</v>
      </c>
      <c r="E58" s="4">
        <f>SUM('TOTAL VOLUME'!E58*'Side by Side Amount'!E59)</f>
        <v>0</v>
      </c>
      <c r="F58" s="4">
        <f>SUM('TOTAL VOLUME'!F58*'Side by Side Amount'!F59)</f>
        <v>0</v>
      </c>
      <c r="G58" s="4">
        <f>SUM('TOTAL VOLUME'!G58*'Side by Side Amount'!G59)</f>
        <v>23.200000000000003</v>
      </c>
      <c r="H58" s="4">
        <f>SUM('TOTAL VOLUME'!H58*'Side by Side Amount'!H59)</f>
        <v>23.649999999999991</v>
      </c>
      <c r="I58" s="4">
        <f>SUM('TOTAL VOLUME'!I58*'Side by Side Amount'!I59)</f>
        <v>0</v>
      </c>
      <c r="J58" s="4">
        <f>SUM('TOTAL VOLUME'!J58*'Side by Side Amount'!J59)</f>
        <v>0</v>
      </c>
      <c r="K58" s="4">
        <f>SUM('TOTAL VOLUME'!K58*'Side by Side Amount'!K59)</f>
        <v>0</v>
      </c>
      <c r="L58" s="4">
        <f>SUM('TOTAL VOLUME'!L58*'Side by Side Amount'!L59)</f>
        <v>0</v>
      </c>
      <c r="M58" s="4">
        <f>SUM('TOTAL VOLUME'!M58*'Side by Side Amount'!M59)</f>
        <v>0</v>
      </c>
      <c r="N58" s="4">
        <f>SUM('TOTAL VOLUME'!N58*'Side by Side Amount'!N59)</f>
        <v>32.33</v>
      </c>
      <c r="O58" s="4">
        <f>SUM('TOTAL VOLUME'!O58*'Side by Side Amount'!O59)</f>
        <v>0</v>
      </c>
      <c r="P58" s="4">
        <f>SUM('TOTAL VOLUME'!P58*'Side by Side Amount'!P59)</f>
        <v>36.299999999999997</v>
      </c>
      <c r="Q58" s="4">
        <f>SUM('TOTAL VOLUME'!Q58*'Side by Side Amount'!Q59)</f>
        <v>20.859999999999992</v>
      </c>
      <c r="R58" s="4">
        <f>SUM('TOTAL VOLUME'!R58*'Side by Side Amount'!R59)</f>
        <v>24.990000000000016</v>
      </c>
      <c r="S58" s="4">
        <f>SUM('TOTAL VOLUME'!S58*'Side by Side Amount'!S59)</f>
        <v>57.720000000000013</v>
      </c>
      <c r="T58" s="4">
        <f>SUM('TOTAL VOLUME'!T58*'Side by Side Amount'!T59)</f>
        <v>102.79</v>
      </c>
      <c r="U58" s="4">
        <f>SUM('TOTAL VOLUME'!U58*'Side by Side Amount'!U59)</f>
        <v>65</v>
      </c>
      <c r="V58" s="4">
        <f>SUM('TOTAL VOLUME'!V58*'Side by Side Amount'!V59)</f>
        <v>112.49999999999994</v>
      </c>
      <c r="W58" s="4">
        <f>SUM('TOTAL VOLUME'!W58*'Side by Side Amount'!W59)</f>
        <v>209.69</v>
      </c>
      <c r="X58" s="4">
        <f>SUM('TOTAL VOLUME'!X58*'Side by Side Amount'!X59)</f>
        <v>93.279999999999987</v>
      </c>
      <c r="Y58" s="4">
        <f>SUM('TOTAL VOLUME'!Y58*'Side by Side Amount'!Y59)</f>
        <v>244.31999999999994</v>
      </c>
      <c r="Z58" s="4">
        <f>SUM('TOTAL VOLUME'!Z58*'Side by Side Amount'!Z59)</f>
        <v>402.38999999999993</v>
      </c>
      <c r="AA58" s="4">
        <f>SUM('TOTAL VOLUME'!AA58*'Side by Side Amount'!AA59)</f>
        <v>502.59</v>
      </c>
      <c r="AB58" s="4">
        <f>SUM('TOTAL VOLUME'!AB58*'Side by Side Amount'!AB59)</f>
        <v>502.70000000000005</v>
      </c>
      <c r="AC58" s="4">
        <f>SUM('TOTAL VOLUME'!AC58*'Side by Side Amount'!AC59)</f>
        <v>820.31999999999994</v>
      </c>
    </row>
    <row r="59" spans="1:29" ht="12" x14ac:dyDescent="0.2">
      <c r="A59" s="2">
        <v>58</v>
      </c>
      <c r="B59" s="4">
        <f>SUM('TOTAL VOLUME'!B59*'Side by Side Amount'!B60)</f>
        <v>5.9499999999999993</v>
      </c>
      <c r="C59" s="4">
        <f>SUM('TOTAL VOLUME'!C59*'Side by Side Amount'!C60)</f>
        <v>0</v>
      </c>
      <c r="D59" s="4">
        <f>SUM('TOTAL VOLUME'!D59*'Side by Side Amount'!D60)</f>
        <v>9.3699999999999974</v>
      </c>
      <c r="E59" s="4">
        <f>SUM('TOTAL VOLUME'!E59*'Side by Side Amount'!E60)</f>
        <v>0</v>
      </c>
      <c r="F59" s="4">
        <f>SUM('TOTAL VOLUME'!F59*'Side by Side Amount'!F60)</f>
        <v>0</v>
      </c>
      <c r="G59" s="4">
        <f>SUM('TOTAL VOLUME'!G59*'Side by Side Amount'!G60)</f>
        <v>0</v>
      </c>
      <c r="H59" s="4">
        <f>SUM('TOTAL VOLUME'!H59*'Side by Side Amount'!H60)</f>
        <v>23.689999999999998</v>
      </c>
      <c r="I59" s="4">
        <f>SUM('TOTAL VOLUME'!I59*'Side by Side Amount'!I60)</f>
        <v>0</v>
      </c>
      <c r="J59" s="4">
        <f>SUM('TOTAL VOLUME'!J59*'Side by Side Amount'!J60)</f>
        <v>0</v>
      </c>
      <c r="K59" s="4">
        <f>SUM('TOTAL VOLUME'!K59*'Side by Side Amount'!K60)</f>
        <v>0</v>
      </c>
      <c r="L59" s="4">
        <f>SUM('TOTAL VOLUME'!L59*'Side by Side Amount'!L60)</f>
        <v>17</v>
      </c>
      <c r="M59" s="4">
        <f>SUM('TOTAL VOLUME'!M59*'Side by Side Amount'!M60)</f>
        <v>0</v>
      </c>
      <c r="N59" s="4">
        <f>SUM('TOTAL VOLUME'!N59*'Side by Side Amount'!N60)</f>
        <v>0</v>
      </c>
      <c r="O59" s="4">
        <f>SUM('TOTAL VOLUME'!O59*'Side by Side Amount'!O60)</f>
        <v>68.58</v>
      </c>
      <c r="P59" s="4">
        <f>SUM('TOTAL VOLUME'!P59*'Side by Side Amount'!P60)</f>
        <v>24.1</v>
      </c>
      <c r="Q59" s="4">
        <f>SUM('TOTAL VOLUME'!Q59*'Side by Side Amount'!Q60)</f>
        <v>14.950000000000001</v>
      </c>
      <c r="R59" s="4">
        <f>SUM('TOTAL VOLUME'!R59*'Side by Side Amount'!R60)</f>
        <v>56.960000000000008</v>
      </c>
      <c r="S59" s="4">
        <f>SUM('TOTAL VOLUME'!S59*'Side by Side Amount'!S60)</f>
        <v>75.820000000000022</v>
      </c>
      <c r="T59" s="4">
        <f>SUM('TOTAL VOLUME'!T59*'Side by Side Amount'!T60)</f>
        <v>43.199999999999989</v>
      </c>
      <c r="U59" s="4">
        <f>SUM('TOTAL VOLUME'!U59*'Side by Side Amount'!U60)</f>
        <v>45.710000000000008</v>
      </c>
      <c r="V59" s="4">
        <f>SUM('TOTAL VOLUME'!V59*'Side by Side Amount'!V60)</f>
        <v>83.160000000000025</v>
      </c>
      <c r="W59" s="4">
        <f>SUM('TOTAL VOLUME'!W59*'Side by Side Amount'!W60)</f>
        <v>226.51999999999998</v>
      </c>
      <c r="X59" s="4">
        <f>SUM('TOTAL VOLUME'!X59*'Side by Side Amount'!X60)</f>
        <v>23.42</v>
      </c>
      <c r="Y59" s="4">
        <f>SUM('TOTAL VOLUME'!Y59*'Side by Side Amount'!Y60)</f>
        <v>407.8</v>
      </c>
      <c r="Z59" s="4">
        <f>SUM('TOTAL VOLUME'!Z59*'Side by Side Amount'!Z60)</f>
        <v>268.43999999999994</v>
      </c>
      <c r="AA59" s="4">
        <f>SUM('TOTAL VOLUME'!AA59*'Side by Side Amount'!AA60)</f>
        <v>326.33999999999997</v>
      </c>
      <c r="AB59" s="4">
        <f>SUM('TOTAL VOLUME'!AB59*'Side by Side Amount'!AB60)</f>
        <v>100.82</v>
      </c>
      <c r="AC59" s="4">
        <f>SUM('TOTAL VOLUME'!AC59*'Side by Side Amount'!AC60)</f>
        <v>925.37999999999988</v>
      </c>
    </row>
    <row r="60" spans="1:29" ht="12" x14ac:dyDescent="0.2">
      <c r="A60" s="2">
        <v>59</v>
      </c>
      <c r="B60" s="4">
        <f>SUM('TOTAL VOLUME'!B60*'Side by Side Amount'!B61)</f>
        <v>5.9699999999999989</v>
      </c>
      <c r="C60" s="4">
        <f>SUM('TOTAL VOLUME'!C60*'Side by Side Amount'!C61)</f>
        <v>0</v>
      </c>
      <c r="D60" s="4">
        <f>SUM('TOTAL VOLUME'!D60*'Side by Side Amount'!D61)</f>
        <v>0</v>
      </c>
      <c r="E60" s="4">
        <f>SUM('TOTAL VOLUME'!E60*'Side by Side Amount'!E61)</f>
        <v>0</v>
      </c>
      <c r="F60" s="4">
        <f>SUM('TOTAL VOLUME'!F60*'Side by Side Amount'!F61)</f>
        <v>23.069999999999993</v>
      </c>
      <c r="G60" s="4">
        <f>SUM('TOTAL VOLUME'!G60*'Side by Side Amount'!G61)</f>
        <v>0</v>
      </c>
      <c r="H60" s="4">
        <f>SUM('TOTAL VOLUME'!H60*'Side by Side Amount'!H61)</f>
        <v>72</v>
      </c>
      <c r="I60" s="4">
        <f>SUM('TOTAL VOLUME'!I60*'Side by Side Amount'!I61)</f>
        <v>0</v>
      </c>
      <c r="J60" s="4">
        <f>SUM('TOTAL VOLUME'!J60*'Side by Side Amount'!J61)</f>
        <v>0</v>
      </c>
      <c r="K60" s="4">
        <f>SUM('TOTAL VOLUME'!K60*'Side by Side Amount'!K61)</f>
        <v>0</v>
      </c>
      <c r="L60" s="4">
        <f>SUM('TOTAL VOLUME'!L60*'Side by Side Amount'!L61)</f>
        <v>0</v>
      </c>
      <c r="M60" s="4">
        <f>SUM('TOTAL VOLUME'!M60*'Side by Side Amount'!M61)</f>
        <v>0</v>
      </c>
      <c r="N60" s="4">
        <f>SUM('TOTAL VOLUME'!N60*'Side by Side Amount'!N61)</f>
        <v>0</v>
      </c>
      <c r="O60" s="4">
        <f>SUM('TOTAL VOLUME'!O60*'Side by Side Amount'!O61)</f>
        <v>69.760000000000019</v>
      </c>
      <c r="P60" s="4">
        <f>SUM('TOTAL VOLUME'!P60*'Side by Side Amount'!P61)</f>
        <v>19.599999999999994</v>
      </c>
      <c r="Q60" s="4">
        <f>SUM('TOTAL VOLUME'!Q60*'Side by Side Amount'!Q61)</f>
        <v>11.96</v>
      </c>
      <c r="R60" s="4">
        <f>SUM('TOTAL VOLUME'!R60*'Side by Side Amount'!R61)</f>
        <v>28.640000000000015</v>
      </c>
      <c r="S60" s="4">
        <f>SUM('TOTAL VOLUME'!S60*'Side by Side Amount'!S61)</f>
        <v>106.80000000000007</v>
      </c>
      <c r="T60" s="4">
        <f>SUM('TOTAL VOLUME'!T60*'Side by Side Amount'!T61)</f>
        <v>70.33</v>
      </c>
      <c r="U60" s="4">
        <f>SUM('TOTAL VOLUME'!U60*'Side by Side Amount'!U61)</f>
        <v>58.949999999999974</v>
      </c>
      <c r="V60" s="4">
        <f>SUM('TOTAL VOLUME'!V60*'Side by Side Amount'!V61)</f>
        <v>130.55999999999995</v>
      </c>
      <c r="W60" s="4">
        <f>SUM('TOTAL VOLUME'!W60*'Side by Side Amount'!W61)</f>
        <v>275.57</v>
      </c>
      <c r="X60" s="4">
        <f>SUM('TOTAL VOLUME'!X60*'Side by Side Amount'!X61)</f>
        <v>117.29999999999998</v>
      </c>
      <c r="Y60" s="4">
        <f>SUM('TOTAL VOLUME'!Y60*'Side by Side Amount'!Y61)</f>
        <v>41.749999999999993</v>
      </c>
      <c r="Z60" s="4">
        <f>SUM('TOTAL VOLUME'!Z60*'Side by Side Amount'!Z61)</f>
        <v>590.46000000000015</v>
      </c>
      <c r="AA60" s="4">
        <f>SUM('TOTAL VOLUME'!AA60*'Side by Side Amount'!AA61)</f>
        <v>327.04000000000002</v>
      </c>
      <c r="AB60" s="4">
        <f>SUM('TOTAL VOLUME'!AB60*'Side by Side Amount'!AB61)</f>
        <v>405.68</v>
      </c>
      <c r="AC60" s="4">
        <f>SUM('TOTAL VOLUME'!AC60*'Side by Side Amount'!AC61)</f>
        <v>649.67999999999995</v>
      </c>
    </row>
    <row r="61" spans="1:29" ht="12" x14ac:dyDescent="0.2">
      <c r="A61" s="2">
        <v>60</v>
      </c>
      <c r="B61" s="4">
        <f>SUM('TOTAL VOLUME'!B61*'Side by Side Amount'!B62)</f>
        <v>0</v>
      </c>
      <c r="C61" s="4">
        <f>SUM('TOTAL VOLUME'!C61*'Side by Side Amount'!C62)</f>
        <v>0</v>
      </c>
      <c r="D61" s="4">
        <f>SUM('TOTAL VOLUME'!D61*'Side by Side Amount'!D62)</f>
        <v>0</v>
      </c>
      <c r="E61" s="4">
        <f>SUM('TOTAL VOLUME'!E61*'Side by Side Amount'!E62)</f>
        <v>0</v>
      </c>
      <c r="F61" s="4">
        <f>SUM('TOTAL VOLUME'!F61*'Side by Side Amount'!F62)</f>
        <v>0</v>
      </c>
      <c r="G61" s="4">
        <f>SUM('TOTAL VOLUME'!G61*'Side by Side Amount'!G62)</f>
        <v>24.060000000000002</v>
      </c>
      <c r="H61" s="4">
        <f>SUM('TOTAL VOLUME'!H61*'Side by Side Amount'!H62)</f>
        <v>0</v>
      </c>
      <c r="I61" s="4">
        <f>SUM('TOTAL VOLUME'!I61*'Side by Side Amount'!I62)</f>
        <v>0</v>
      </c>
      <c r="J61" s="4">
        <f>SUM('TOTAL VOLUME'!J61*'Side by Side Amount'!J62)</f>
        <v>0</v>
      </c>
      <c r="K61" s="4">
        <f>SUM('TOTAL VOLUME'!K61*'Side by Side Amount'!K62)</f>
        <v>0</v>
      </c>
      <c r="L61" s="4">
        <f>SUM('TOTAL VOLUME'!L61*'Side by Side Amount'!L62)</f>
        <v>0</v>
      </c>
      <c r="M61" s="4">
        <f>SUM('TOTAL VOLUME'!M61*'Side by Side Amount'!M62)</f>
        <v>28.21</v>
      </c>
      <c r="N61" s="4">
        <f>SUM('TOTAL VOLUME'!N61*'Side by Side Amount'!N62)</f>
        <v>33.61</v>
      </c>
      <c r="O61" s="4">
        <f>SUM('TOTAL VOLUME'!O61*'Side by Side Amount'!O62)</f>
        <v>0</v>
      </c>
      <c r="P61" s="4">
        <f>SUM('TOTAL VOLUME'!P61*'Side by Side Amount'!P62)</f>
        <v>44.820000000000007</v>
      </c>
      <c r="Q61" s="4">
        <f>SUM('TOTAL VOLUME'!Q61*'Side by Side Amount'!Q62)</f>
        <v>12.399999999999999</v>
      </c>
      <c r="R61" s="4">
        <f>SUM('TOTAL VOLUME'!R61*'Side by Side Amount'!R62)</f>
        <v>29.11999999999999</v>
      </c>
      <c r="S61" s="4">
        <f>SUM('TOTAL VOLUME'!S61*'Side by Side Amount'!S62)</f>
        <v>161.00000000000006</v>
      </c>
      <c r="T61" s="4">
        <f>SUM('TOTAL VOLUME'!T61*'Side by Side Amount'!T62)</f>
        <v>88</v>
      </c>
      <c r="U61" s="4">
        <f>SUM('TOTAL VOLUME'!U61*'Side by Side Amount'!U62)</f>
        <v>51.84</v>
      </c>
      <c r="V61" s="4">
        <f>SUM('TOTAL VOLUME'!V61*'Side by Side Amount'!V62)</f>
        <v>154.59999999999994</v>
      </c>
      <c r="W61" s="4">
        <f>SUM('TOTAL VOLUME'!W61*'Side by Side Amount'!W62)</f>
        <v>130.07999999999998</v>
      </c>
      <c r="X61" s="4">
        <f>SUM('TOTAL VOLUME'!X61*'Side by Side Amount'!X62)</f>
        <v>47.02</v>
      </c>
      <c r="Y61" s="4">
        <f>SUM('TOTAL VOLUME'!Y61*'Side by Side Amount'!Y62)</f>
        <v>167.40000000000003</v>
      </c>
      <c r="Z61" s="4">
        <f>SUM('TOTAL VOLUME'!Z61*'Side by Side Amount'!Z62)</f>
        <v>909.80000000000007</v>
      </c>
      <c r="AA61" s="4">
        <f>SUM('TOTAL VOLUME'!AA61*'Side by Side Amount'!AA62)</f>
        <v>234.05</v>
      </c>
      <c r="AB61" s="4">
        <f>SUM('TOTAL VOLUME'!AB61*'Side by Side Amount'!AB62)</f>
        <v>326.15999999999997</v>
      </c>
      <c r="AC61" s="4">
        <f>SUM('TOTAL VOLUME'!AC61*'Side by Side Amount'!AC62)</f>
        <v>598.51</v>
      </c>
    </row>
    <row r="62" spans="1:29" ht="12" x14ac:dyDescent="0.2">
      <c r="A62" s="2">
        <v>61</v>
      </c>
      <c r="B62" s="4">
        <f>SUM('TOTAL VOLUME'!B62*'Side by Side Amount'!B63)</f>
        <v>0</v>
      </c>
      <c r="C62" s="4">
        <f>SUM('TOTAL VOLUME'!C62*'Side by Side Amount'!C63)</f>
        <v>0</v>
      </c>
      <c r="D62" s="4">
        <f>SUM('TOTAL VOLUME'!D62*'Side by Side Amount'!D63)</f>
        <v>0</v>
      </c>
      <c r="E62" s="4">
        <f>SUM('TOTAL VOLUME'!E62*'Side by Side Amount'!E63)</f>
        <v>0</v>
      </c>
      <c r="F62" s="4">
        <f>SUM('TOTAL VOLUME'!F62*'Side by Side Amount'!F63)</f>
        <v>0</v>
      </c>
      <c r="G62" s="4">
        <f>SUM('TOTAL VOLUME'!G62*'Side by Side Amount'!G63)</f>
        <v>0</v>
      </c>
      <c r="H62" s="4">
        <f>SUM('TOTAL VOLUME'!H62*'Side by Side Amount'!H63)</f>
        <v>24.740000000000009</v>
      </c>
      <c r="I62" s="4">
        <f>SUM('TOTAL VOLUME'!I62*'Side by Side Amount'!I63)</f>
        <v>0</v>
      </c>
      <c r="J62" s="4">
        <f>SUM('TOTAL VOLUME'!J62*'Side by Side Amount'!J63)</f>
        <v>0</v>
      </c>
      <c r="K62" s="4">
        <f>SUM('TOTAL VOLUME'!K62*'Side by Side Amount'!K63)</f>
        <v>0</v>
      </c>
      <c r="L62" s="4">
        <f>SUM('TOTAL VOLUME'!L62*'Side by Side Amount'!L63)</f>
        <v>0</v>
      </c>
      <c r="M62" s="4">
        <f>SUM('TOTAL VOLUME'!M62*'Side by Side Amount'!M63)</f>
        <v>0</v>
      </c>
      <c r="N62" s="4">
        <f>SUM('TOTAL VOLUME'!N62*'Side by Side Amount'!N63)</f>
        <v>0</v>
      </c>
      <c r="O62" s="4">
        <f>SUM('TOTAL VOLUME'!O62*'Side by Side Amount'!O63)</f>
        <v>36.159999999999997</v>
      </c>
      <c r="P62" s="4">
        <f>SUM('TOTAL VOLUME'!P62*'Side by Side Amount'!P63)</f>
        <v>22.5</v>
      </c>
      <c r="Q62" s="4">
        <f>SUM('TOTAL VOLUME'!Q62*'Side by Side Amount'!Q63)</f>
        <v>12.440000000000005</v>
      </c>
      <c r="R62" s="4">
        <f>SUM('TOTAL VOLUME'!R62*'Side by Side Amount'!R63)</f>
        <v>14.599999999999994</v>
      </c>
      <c r="S62" s="4">
        <f>SUM('TOTAL VOLUME'!S62*'Side by Side Amount'!S63)</f>
        <v>120.37999999999997</v>
      </c>
      <c r="T62" s="4">
        <f>SUM('TOTAL VOLUME'!T62*'Side by Side Amount'!T63)</f>
        <v>88.159999999999968</v>
      </c>
      <c r="U62" s="4">
        <f>SUM('TOTAL VOLUME'!U62*'Side by Side Amount'!U63)</f>
        <v>64.800000000000011</v>
      </c>
      <c r="V62" s="4">
        <f>SUM('TOTAL VOLUME'!V62*'Side by Side Amount'!V63)</f>
        <v>111.44000000000001</v>
      </c>
      <c r="W62" s="4">
        <f>SUM('TOTAL VOLUME'!W62*'Side by Side Amount'!W63)</f>
        <v>171.1</v>
      </c>
      <c r="X62" s="4">
        <f>SUM('TOTAL VOLUME'!X62*'Side by Side Amount'!X63)</f>
        <v>73.019999999999982</v>
      </c>
      <c r="Y62" s="4">
        <f>SUM('TOTAL VOLUME'!Y62*'Side by Side Amount'!Y63)</f>
        <v>217.60000000000002</v>
      </c>
      <c r="Z62" s="4">
        <f>SUM('TOTAL VOLUME'!Z62*'Side by Side Amount'!Z63)</f>
        <v>608.53</v>
      </c>
      <c r="AA62" s="4">
        <f>SUM('TOTAL VOLUME'!AA62*'Side by Side Amount'!AA63)</f>
        <v>194.88</v>
      </c>
      <c r="AB62" s="4">
        <f>SUM('TOTAL VOLUME'!AB62*'Side by Side Amount'!AB63)</f>
        <v>715.13000000000011</v>
      </c>
      <c r="AC62" s="4">
        <f>SUM('TOTAL VOLUME'!AC62*'Side by Side Amount'!AC63)</f>
        <v>617.20999999999992</v>
      </c>
    </row>
    <row r="63" spans="1:29" ht="12" x14ac:dyDescent="0.2">
      <c r="A63" s="2">
        <v>62</v>
      </c>
      <c r="B63" s="4">
        <f>SUM('TOTAL VOLUME'!B63*'Side by Side Amount'!B64)</f>
        <v>24.200000000000003</v>
      </c>
      <c r="C63" s="4">
        <f>SUM('TOTAL VOLUME'!C63*'Side by Side Amount'!C64)</f>
        <v>0</v>
      </c>
      <c r="D63" s="4">
        <f>SUM('TOTAL VOLUME'!D63*'Side by Side Amount'!D64)</f>
        <v>0</v>
      </c>
      <c r="E63" s="4">
        <f>SUM('TOTAL VOLUME'!E63*'Side by Side Amount'!E64)</f>
        <v>0</v>
      </c>
      <c r="F63" s="4">
        <f>SUM('TOTAL VOLUME'!F63*'Side by Side Amount'!F64)</f>
        <v>22.850000000000009</v>
      </c>
      <c r="G63" s="4">
        <f>SUM('TOTAL VOLUME'!G63*'Side by Side Amount'!G64)</f>
        <v>0</v>
      </c>
      <c r="H63" s="4">
        <f>SUM('TOTAL VOLUME'!H63*'Side by Side Amount'!H64)</f>
        <v>24.78</v>
      </c>
      <c r="I63" s="4">
        <f>SUM('TOTAL VOLUME'!I63*'Side by Side Amount'!I64)</f>
        <v>0</v>
      </c>
      <c r="J63" s="4">
        <f>SUM('TOTAL VOLUME'!J63*'Side by Side Amount'!J64)</f>
        <v>0</v>
      </c>
      <c r="K63" s="4">
        <f>SUM('TOTAL VOLUME'!K63*'Side by Side Amount'!K64)</f>
        <v>0</v>
      </c>
      <c r="L63" s="4">
        <f>SUM('TOTAL VOLUME'!L63*'Side by Side Amount'!L64)</f>
        <v>0</v>
      </c>
      <c r="M63" s="4">
        <f>SUM('TOTAL VOLUME'!M63*'Side by Side Amount'!M64)</f>
        <v>0</v>
      </c>
      <c r="N63" s="4">
        <f>SUM('TOTAL VOLUME'!N63*'Side by Side Amount'!N64)</f>
        <v>0</v>
      </c>
      <c r="O63" s="4">
        <f>SUM('TOTAL VOLUME'!O63*'Side by Side Amount'!O64)</f>
        <v>0</v>
      </c>
      <c r="P63" s="4">
        <f>SUM('TOTAL VOLUME'!P63*'Side by Side Amount'!P64)</f>
        <v>10.36</v>
      </c>
      <c r="Q63" s="4">
        <f>SUM('TOTAL VOLUME'!Q63*'Side by Side Amount'!Q64)</f>
        <v>9.99</v>
      </c>
      <c r="R63" s="4">
        <f>SUM('TOTAL VOLUME'!R63*'Side by Side Amount'!R64)</f>
        <v>22.440000000000012</v>
      </c>
      <c r="S63" s="4">
        <f>SUM('TOTAL VOLUME'!S63*'Side by Side Amount'!S64)</f>
        <v>52.360000000000014</v>
      </c>
      <c r="T63" s="4">
        <f>SUM('TOTAL VOLUME'!T63*'Side by Side Amount'!T64)</f>
        <v>122.97999999999999</v>
      </c>
      <c r="U63" s="4">
        <f>SUM('TOTAL VOLUME'!U63*'Side by Side Amount'!U64)</f>
        <v>32.950000000000003</v>
      </c>
      <c r="V63" s="4">
        <f>SUM('TOTAL VOLUME'!V63*'Side by Side Amount'!V64)</f>
        <v>93.84</v>
      </c>
      <c r="W63" s="4">
        <f>SUM('TOTAL VOLUME'!W63*'Side by Side Amount'!W64)</f>
        <v>155.88</v>
      </c>
      <c r="X63" s="4">
        <f>SUM('TOTAL VOLUME'!X63*'Side by Side Amount'!X64)</f>
        <v>50.199999999999996</v>
      </c>
      <c r="Y63" s="4">
        <f>SUM('TOTAL VOLUME'!Y63*'Side by Side Amount'!Y64)</f>
        <v>0</v>
      </c>
      <c r="Z63" s="4">
        <f>SUM('TOTAL VOLUME'!Z63*'Side by Side Amount'!Z64)</f>
        <v>142.17000000000002</v>
      </c>
      <c r="AA63" s="4">
        <f>SUM('TOTAL VOLUME'!AA63*'Side by Side Amount'!AA64)</f>
        <v>146.76</v>
      </c>
      <c r="AB63" s="4">
        <f>SUM('TOTAL VOLUME'!AB63*'Side by Side Amount'!AB64)</f>
        <v>167.37</v>
      </c>
      <c r="AC63" s="4">
        <f>SUM('TOTAL VOLUME'!AC63*'Side by Side Amount'!AC64)</f>
        <v>402.22</v>
      </c>
    </row>
    <row r="64" spans="1:29" ht="12" x14ac:dyDescent="0.2">
      <c r="A64" s="2">
        <v>63</v>
      </c>
      <c r="B64" s="4">
        <f>SUM('TOTAL VOLUME'!B64*'Side by Side Amount'!B65)</f>
        <v>0</v>
      </c>
      <c r="C64" s="4">
        <f>SUM('TOTAL VOLUME'!C64*'Side by Side Amount'!C65)</f>
        <v>0</v>
      </c>
      <c r="D64" s="4">
        <f>SUM('TOTAL VOLUME'!D64*'Side by Side Amount'!D65)</f>
        <v>0</v>
      </c>
      <c r="E64" s="4">
        <f>SUM('TOTAL VOLUME'!E64*'Side by Side Amount'!E65)</f>
        <v>0</v>
      </c>
      <c r="F64" s="4">
        <f>SUM('TOTAL VOLUME'!F64*'Side by Side Amount'!F65)</f>
        <v>0</v>
      </c>
      <c r="G64" s="4">
        <f>SUM('TOTAL VOLUME'!G64*'Side by Side Amount'!G65)</f>
        <v>0</v>
      </c>
      <c r="H64" s="4">
        <f>SUM('TOTAL VOLUME'!H64*'Side by Side Amount'!H65)</f>
        <v>0</v>
      </c>
      <c r="I64" s="4">
        <f>SUM('TOTAL VOLUME'!I64*'Side by Side Amount'!I65)</f>
        <v>0</v>
      </c>
      <c r="J64" s="4">
        <f>SUM('TOTAL VOLUME'!J64*'Side by Side Amount'!J65)</f>
        <v>0</v>
      </c>
      <c r="K64" s="4">
        <f>SUM('TOTAL VOLUME'!K64*'Side by Side Amount'!K65)</f>
        <v>0</v>
      </c>
      <c r="L64" s="4">
        <f>SUM('TOTAL VOLUME'!L64*'Side by Side Amount'!L65)</f>
        <v>0</v>
      </c>
      <c r="M64" s="4">
        <f>SUM('TOTAL VOLUME'!M64*'Side by Side Amount'!M65)</f>
        <v>28.130000000000003</v>
      </c>
      <c r="N64" s="4">
        <f>SUM('TOTAL VOLUME'!N64*'Side by Side Amount'!N65)</f>
        <v>0</v>
      </c>
      <c r="O64" s="4">
        <f>SUM('TOTAL VOLUME'!O64*'Side by Side Amount'!O65)</f>
        <v>0</v>
      </c>
      <c r="P64" s="4">
        <f>SUM('TOTAL VOLUME'!P64*'Side by Side Amount'!P65)</f>
        <v>0</v>
      </c>
      <c r="Q64" s="4">
        <f>SUM('TOTAL VOLUME'!Q64*'Side by Side Amount'!Q65)</f>
        <v>0</v>
      </c>
      <c r="R64" s="4">
        <f>SUM('TOTAL VOLUME'!R64*'Side by Side Amount'!R65)</f>
        <v>0</v>
      </c>
      <c r="S64" s="4">
        <f>SUM('TOTAL VOLUME'!S64*'Side by Side Amount'!S65)</f>
        <v>0</v>
      </c>
      <c r="T64" s="4">
        <f>SUM('TOTAL VOLUME'!T64*'Side by Side Amount'!T65)</f>
        <v>0</v>
      </c>
      <c r="U64" s="4">
        <f>SUM('TOTAL VOLUME'!U64*'Side by Side Amount'!U65)</f>
        <v>0</v>
      </c>
      <c r="V64" s="4">
        <f>SUM('TOTAL VOLUME'!V64*'Side by Side Amount'!V65)</f>
        <v>0</v>
      </c>
      <c r="W64" s="4">
        <f>SUM('TOTAL VOLUME'!W64*'Side by Side Amount'!W65)</f>
        <v>0</v>
      </c>
      <c r="X64" s="4">
        <f>SUM('TOTAL VOLUME'!X64*'Side by Side Amount'!X65)</f>
        <v>0</v>
      </c>
      <c r="Y64" s="4">
        <f>SUM('TOTAL VOLUME'!Y64*'Side by Side Amount'!Y65)</f>
        <v>0</v>
      </c>
      <c r="Z64" s="4">
        <f>SUM('TOTAL VOLUME'!Z64*'Side by Side Amount'!Z65)</f>
        <v>0</v>
      </c>
      <c r="AA64" s="4">
        <f>SUM('TOTAL VOLUME'!AA64*'Side by Side Amount'!AA65)</f>
        <v>0</v>
      </c>
      <c r="AB64" s="4">
        <f>SUM('TOTAL VOLUME'!AB64*'Side by Side Amount'!AB65)</f>
        <v>0</v>
      </c>
      <c r="AC64" s="4">
        <f>SUM('TOTAL VOLUME'!AC64*'Side by Side Amount'!AC65)</f>
        <v>0</v>
      </c>
    </row>
    <row r="65" spans="1:29" ht="12" x14ac:dyDescent="0.2">
      <c r="A65" s="2">
        <v>64</v>
      </c>
      <c r="B65" s="4">
        <f>SUM('TOTAL VOLUME'!B65*'Side by Side Amount'!B66)</f>
        <v>0</v>
      </c>
      <c r="C65" s="4">
        <f>SUM('TOTAL VOLUME'!C65*'Side by Side Amount'!C66)</f>
        <v>0</v>
      </c>
      <c r="D65" s="4">
        <f>SUM('TOTAL VOLUME'!D65*'Side by Side Amount'!D66)</f>
        <v>0</v>
      </c>
      <c r="E65" s="4">
        <f>SUM('TOTAL VOLUME'!E65*'Side by Side Amount'!E66)</f>
        <v>0</v>
      </c>
      <c r="F65" s="4">
        <f>SUM('TOTAL VOLUME'!F65*'Side by Side Amount'!F66)</f>
        <v>0</v>
      </c>
      <c r="G65" s="4">
        <f>SUM('TOTAL VOLUME'!G65*'Side by Side Amount'!G66)</f>
        <v>0</v>
      </c>
      <c r="H65" s="4">
        <f>SUM('TOTAL VOLUME'!H65*'Side by Side Amount'!H66)</f>
        <v>0</v>
      </c>
      <c r="I65" s="4">
        <f>SUM('TOTAL VOLUME'!I65*'Side by Side Amount'!I66)</f>
        <v>6.32</v>
      </c>
      <c r="J65" s="4">
        <f>SUM('TOTAL VOLUME'!J65*'Side by Side Amount'!J66)</f>
        <v>0</v>
      </c>
      <c r="K65" s="4">
        <f>SUM('TOTAL VOLUME'!K65*'Side by Side Amount'!K66)</f>
        <v>0</v>
      </c>
      <c r="L65" s="4">
        <f>SUM('TOTAL VOLUME'!L65*'Side by Side Amount'!L66)</f>
        <v>0</v>
      </c>
      <c r="M65" s="4">
        <f>SUM('TOTAL VOLUME'!M65*'Side by Side Amount'!M66)</f>
        <v>0</v>
      </c>
      <c r="N65" s="4">
        <f>SUM('TOTAL VOLUME'!N65*'Side by Side Amount'!N66)</f>
        <v>0</v>
      </c>
      <c r="O65" s="4">
        <f>SUM('TOTAL VOLUME'!O65*'Side by Side Amount'!O66)</f>
        <v>0</v>
      </c>
      <c r="P65" s="4">
        <f>SUM('TOTAL VOLUME'!P65*'Side by Side Amount'!P66)</f>
        <v>0</v>
      </c>
      <c r="Q65" s="4">
        <f>SUM('TOTAL VOLUME'!Q65*'Side by Side Amount'!Q66)</f>
        <v>0</v>
      </c>
      <c r="R65" s="4">
        <f>SUM('TOTAL VOLUME'!R65*'Side by Side Amount'!R66)</f>
        <v>0</v>
      </c>
      <c r="S65" s="4">
        <f>SUM('TOTAL VOLUME'!S65*'Side by Side Amount'!S66)</f>
        <v>0</v>
      </c>
      <c r="T65" s="4">
        <f>SUM('TOTAL VOLUME'!T65*'Side by Side Amount'!T66)</f>
        <v>0</v>
      </c>
      <c r="U65" s="4">
        <f>SUM('TOTAL VOLUME'!U65*'Side by Side Amount'!U66)</f>
        <v>0</v>
      </c>
      <c r="V65" s="4">
        <f>SUM('TOTAL VOLUME'!V65*'Side by Side Amount'!V66)</f>
        <v>0</v>
      </c>
      <c r="W65" s="4">
        <f>SUM('TOTAL VOLUME'!W65*'Side by Side Amount'!W66)</f>
        <v>0</v>
      </c>
      <c r="X65" s="4">
        <f>SUM('TOTAL VOLUME'!X65*'Side by Side Amount'!X66)</f>
        <v>0</v>
      </c>
      <c r="Y65" s="4">
        <f>SUM('TOTAL VOLUME'!Y65*'Side by Side Amount'!Y66)</f>
        <v>0</v>
      </c>
      <c r="Z65" s="4">
        <f>SUM('TOTAL VOLUME'!Z65*'Side by Side Amount'!Z66)</f>
        <v>0</v>
      </c>
      <c r="AA65" s="4">
        <f>SUM('TOTAL VOLUME'!AA65*'Side by Side Amount'!AA66)</f>
        <v>0</v>
      </c>
      <c r="AB65" s="4">
        <f>SUM('TOTAL VOLUME'!AB65*'Side by Side Amount'!AB66)</f>
        <v>0</v>
      </c>
      <c r="AC65" s="4">
        <f>SUM('TOTAL VOLUME'!AC65*'Side by Side Amount'!AC66)</f>
        <v>0</v>
      </c>
    </row>
    <row r="66" spans="1:29" ht="12" x14ac:dyDescent="0.2">
      <c r="A66" s="2">
        <v>65</v>
      </c>
      <c r="B66" s="4">
        <f>SUM('TOTAL VOLUME'!B66*'Side by Side Amount'!B67)</f>
        <v>0</v>
      </c>
      <c r="C66" s="4">
        <f>SUM('TOTAL VOLUME'!C66*'Side by Side Amount'!C67)</f>
        <v>0</v>
      </c>
      <c r="D66" s="4">
        <f>SUM('TOTAL VOLUME'!D66*'Side by Side Amount'!D67)</f>
        <v>19.779999999999994</v>
      </c>
      <c r="E66" s="4">
        <f>SUM('TOTAL VOLUME'!E66*'Side by Side Amount'!E67)</f>
        <v>14.329999999999998</v>
      </c>
      <c r="F66" s="4">
        <f>SUM('TOTAL VOLUME'!F66*'Side by Side Amount'!F67)</f>
        <v>0</v>
      </c>
      <c r="G66" s="4">
        <f>SUM('TOTAL VOLUME'!G66*'Side by Side Amount'!G67)</f>
        <v>25.27000000000001</v>
      </c>
      <c r="H66" s="4">
        <f>SUM('TOTAL VOLUME'!H66*'Side by Side Amount'!H67)</f>
        <v>0</v>
      </c>
      <c r="I66" s="4">
        <f>SUM('TOTAL VOLUME'!I66*'Side by Side Amount'!I67)</f>
        <v>0</v>
      </c>
      <c r="J66" s="4">
        <f>SUM('TOTAL VOLUME'!J66*'Side by Side Amount'!J67)</f>
        <v>0</v>
      </c>
      <c r="K66" s="4">
        <f>SUM('TOTAL VOLUME'!K66*'Side by Side Amount'!K67)</f>
        <v>0</v>
      </c>
      <c r="L66" s="4">
        <f>SUM('TOTAL VOLUME'!L66*'Side by Side Amount'!L67)</f>
        <v>0</v>
      </c>
      <c r="M66" s="4">
        <f>SUM('TOTAL VOLUME'!M66*'Side by Side Amount'!M67)</f>
        <v>0</v>
      </c>
      <c r="N66" s="4">
        <f>SUM('TOTAL VOLUME'!N66*'Side by Side Amount'!N67)</f>
        <v>36.450000000000003</v>
      </c>
      <c r="O66" s="4">
        <f>SUM('TOTAL VOLUME'!O66*'Side by Side Amount'!O67)</f>
        <v>0</v>
      </c>
      <c r="P66" s="4">
        <f>SUM('TOTAL VOLUME'!P66*'Side by Side Amount'!P67)</f>
        <v>35.099999999999994</v>
      </c>
      <c r="Q66" s="4">
        <f>SUM('TOTAL VOLUME'!Q66*'Side by Side Amount'!Q67)</f>
        <v>24.009999999999998</v>
      </c>
      <c r="R66" s="4">
        <f>SUM('TOTAL VOLUME'!R66*'Side by Side Amount'!R67)</f>
        <v>30.799999999999983</v>
      </c>
      <c r="S66" s="4">
        <f>SUM('TOTAL VOLUME'!S66*'Side by Side Amount'!S67)</f>
        <v>114.71999999999994</v>
      </c>
      <c r="T66" s="4">
        <f>SUM('TOTAL VOLUME'!T66*'Side by Side Amount'!T67)</f>
        <v>102.6</v>
      </c>
      <c r="U66" s="4">
        <f>SUM('TOTAL VOLUME'!U66*'Side by Side Amount'!U67)</f>
        <v>39.96</v>
      </c>
      <c r="V66" s="4">
        <f>SUM('TOTAL VOLUME'!V66*'Side by Side Amount'!V67)</f>
        <v>158.79999999999995</v>
      </c>
      <c r="W66" s="4">
        <f>SUM('TOTAL VOLUME'!W66*'Side by Side Amount'!W67)</f>
        <v>73.279999999999987</v>
      </c>
      <c r="X66" s="4">
        <f>SUM('TOTAL VOLUME'!X66*'Side by Side Amount'!X67)</f>
        <v>0</v>
      </c>
      <c r="Y66" s="4">
        <f>SUM('TOTAL VOLUME'!Y66*'Side by Side Amount'!Y67)</f>
        <v>135.03</v>
      </c>
      <c r="Z66" s="4">
        <f>SUM('TOTAL VOLUME'!Z66*'Side by Side Amount'!Z67)</f>
        <v>295.92</v>
      </c>
      <c r="AA66" s="4">
        <f>SUM('TOTAL VOLUME'!AA66*'Side by Side Amount'!AA67)</f>
        <v>509.69999999999993</v>
      </c>
      <c r="AB66" s="4">
        <f>SUM('TOTAL VOLUME'!AB66*'Side by Side Amount'!AB67)</f>
        <v>0</v>
      </c>
      <c r="AC66" s="4">
        <f>SUM('TOTAL VOLUME'!AC66*'Side by Side Amount'!AC67)</f>
        <v>484.24000000000007</v>
      </c>
    </row>
    <row r="67" spans="1:29" ht="12" x14ac:dyDescent="0.2">
      <c r="A67" s="2">
        <v>66</v>
      </c>
      <c r="B67" s="4">
        <f>SUM('TOTAL VOLUME'!B67*'Side by Side Amount'!B68)</f>
        <v>0</v>
      </c>
      <c r="C67" s="4">
        <f>SUM('TOTAL VOLUME'!C67*'Side by Side Amount'!C68)</f>
        <v>0</v>
      </c>
      <c r="D67" s="4">
        <f>SUM('TOTAL VOLUME'!D67*'Side by Side Amount'!D68)</f>
        <v>0</v>
      </c>
      <c r="E67" s="4">
        <f>SUM('TOTAL VOLUME'!E67*'Side by Side Amount'!E68)</f>
        <v>0</v>
      </c>
      <c r="F67" s="4">
        <f>SUM('TOTAL VOLUME'!F67*'Side by Side Amount'!F68)</f>
        <v>0</v>
      </c>
      <c r="G67" s="4">
        <f>SUM('TOTAL VOLUME'!G67*'Side by Side Amount'!G68)</f>
        <v>0</v>
      </c>
      <c r="H67" s="4">
        <f>SUM('TOTAL VOLUME'!H67*'Side by Side Amount'!H68)</f>
        <v>51.639999999999986</v>
      </c>
      <c r="I67" s="4">
        <f>SUM('TOTAL VOLUME'!I67*'Side by Side Amount'!I68)</f>
        <v>0</v>
      </c>
      <c r="J67" s="4">
        <f>SUM('TOTAL VOLUME'!J67*'Side by Side Amount'!J68)</f>
        <v>0</v>
      </c>
      <c r="K67" s="4">
        <f>SUM('TOTAL VOLUME'!K67*'Side by Side Amount'!K68)</f>
        <v>0</v>
      </c>
      <c r="L67" s="4">
        <f>SUM('TOTAL VOLUME'!L67*'Side by Side Amount'!L68)</f>
        <v>19.71</v>
      </c>
      <c r="M67" s="4">
        <f>SUM('TOTAL VOLUME'!M67*'Side by Side Amount'!M68)</f>
        <v>0</v>
      </c>
      <c r="N67" s="4">
        <f>SUM('TOTAL VOLUME'!N67*'Side by Side Amount'!N68)</f>
        <v>0</v>
      </c>
      <c r="O67" s="4">
        <f>SUM('TOTAL VOLUME'!O67*'Side by Side Amount'!O68)</f>
        <v>0</v>
      </c>
      <c r="P67" s="4">
        <f>SUM('TOTAL VOLUME'!P67*'Side by Side Amount'!P68)</f>
        <v>10.840000000000003</v>
      </c>
      <c r="Q67" s="4">
        <f>SUM('TOTAL VOLUME'!Q67*'Side by Side Amount'!Q68)</f>
        <v>6.9399999999999977</v>
      </c>
      <c r="R67" s="4">
        <f>SUM('TOTAL VOLUME'!R67*'Side by Side Amount'!R68)</f>
        <v>30.719999999999985</v>
      </c>
      <c r="S67" s="4">
        <f>SUM('TOTAL VOLUME'!S67*'Side by Side Amount'!S68)</f>
        <v>19.199999999999989</v>
      </c>
      <c r="T67" s="4">
        <f>SUM('TOTAL VOLUME'!T67*'Side by Side Amount'!T68)</f>
        <v>62.919999999999987</v>
      </c>
      <c r="U67" s="4">
        <f>SUM('TOTAL VOLUME'!U67*'Side by Side Amount'!U68)</f>
        <v>46.830000000000013</v>
      </c>
      <c r="V67" s="4">
        <f>SUM('TOTAL VOLUME'!V67*'Side by Side Amount'!V68)</f>
        <v>119.55000000000004</v>
      </c>
      <c r="W67" s="4">
        <f>SUM('TOTAL VOLUME'!W67*'Side by Side Amount'!W68)</f>
        <v>110.22</v>
      </c>
      <c r="X67" s="4">
        <f>SUM('TOTAL VOLUME'!X67*'Side by Side Amount'!X68)</f>
        <v>78.63000000000001</v>
      </c>
      <c r="Y67" s="4">
        <f>SUM('TOTAL VOLUME'!Y67*'Side by Side Amount'!Y68)</f>
        <v>93.780000000000015</v>
      </c>
      <c r="Z67" s="4">
        <f>SUM('TOTAL VOLUME'!Z67*'Side by Side Amount'!Z68)</f>
        <v>203.44000000000003</v>
      </c>
      <c r="AA67" s="4">
        <f>SUM('TOTAL VOLUME'!AA67*'Side by Side Amount'!AA68)</f>
        <v>210.16</v>
      </c>
      <c r="AB67" s="4">
        <f>SUM('TOTAL VOLUME'!AB67*'Side by Side Amount'!AB68)</f>
        <v>117.18</v>
      </c>
      <c r="AC67" s="4">
        <f>SUM('TOTAL VOLUME'!AC67*'Side by Side Amount'!AC68)</f>
        <v>303.3</v>
      </c>
    </row>
    <row r="68" spans="1:29" ht="12" x14ac:dyDescent="0.2">
      <c r="A68" s="2">
        <v>67</v>
      </c>
      <c r="B68" s="4">
        <f>SUM('TOTAL VOLUME'!B68*'Side by Side Amount'!B69)</f>
        <v>0</v>
      </c>
      <c r="C68" s="4">
        <f>SUM('TOTAL VOLUME'!C68*'Side by Side Amount'!C69)</f>
        <v>0</v>
      </c>
      <c r="D68" s="4">
        <f>SUM('TOTAL VOLUME'!D68*'Side by Side Amount'!D69)</f>
        <v>0</v>
      </c>
      <c r="E68" s="4">
        <f>SUM('TOTAL VOLUME'!E68*'Side by Side Amount'!E69)</f>
        <v>0</v>
      </c>
      <c r="F68" s="4">
        <f>SUM('TOTAL VOLUME'!F68*'Side by Side Amount'!F69)</f>
        <v>0</v>
      </c>
      <c r="G68" s="4">
        <f>SUM('TOTAL VOLUME'!G68*'Side by Side Amount'!G69)</f>
        <v>50.679999999999978</v>
      </c>
      <c r="H68" s="4">
        <f>SUM('TOTAL VOLUME'!H68*'Side by Side Amount'!H69)</f>
        <v>0</v>
      </c>
      <c r="I68" s="4">
        <f>SUM('TOTAL VOLUME'!I68*'Side by Side Amount'!I69)</f>
        <v>0</v>
      </c>
      <c r="J68" s="4">
        <f>SUM('TOTAL VOLUME'!J68*'Side by Side Amount'!J69)</f>
        <v>0</v>
      </c>
      <c r="K68" s="4">
        <f>SUM('TOTAL VOLUME'!K68*'Side by Side Amount'!K69)</f>
        <v>0</v>
      </c>
      <c r="L68" s="4">
        <f>SUM('TOTAL VOLUME'!L68*'Side by Side Amount'!L69)</f>
        <v>0</v>
      </c>
      <c r="M68" s="4">
        <f>SUM('TOTAL VOLUME'!M68*'Side by Side Amount'!M69)</f>
        <v>0</v>
      </c>
      <c r="N68" s="4">
        <f>SUM('TOTAL VOLUME'!N68*'Side by Side Amount'!N69)</f>
        <v>0</v>
      </c>
      <c r="O68" s="4">
        <f>SUM('TOTAL VOLUME'!O68*'Side by Side Amount'!O69)</f>
        <v>0</v>
      </c>
      <c r="P68" s="4">
        <f>SUM('TOTAL VOLUME'!P68*'Side by Side Amount'!P69)</f>
        <v>5.4000000000000021</v>
      </c>
      <c r="Q68" s="4">
        <f>SUM('TOTAL VOLUME'!Q68*'Side by Side Amount'!Q69)</f>
        <v>13.919999999999995</v>
      </c>
      <c r="R68" s="4">
        <f>SUM('TOTAL VOLUME'!R68*'Side by Side Amount'!R69)</f>
        <v>19.25</v>
      </c>
      <c r="S68" s="4">
        <f>SUM('TOTAL VOLUME'!S68*'Side by Side Amount'!S69)</f>
        <v>43.2</v>
      </c>
      <c r="T68" s="4">
        <f>SUM('TOTAL VOLUME'!T68*'Side by Side Amount'!T69)</f>
        <v>75.009999999999991</v>
      </c>
      <c r="U68" s="4">
        <f>SUM('TOTAL VOLUME'!U68*'Side by Side Amount'!U69)</f>
        <v>33.599999999999994</v>
      </c>
      <c r="V68" s="4">
        <f>SUM('TOTAL VOLUME'!V68*'Side by Side Amount'!V69)</f>
        <v>96.720000000000027</v>
      </c>
      <c r="W68" s="4">
        <f>SUM('TOTAL VOLUME'!W68*'Side by Side Amount'!W69)</f>
        <v>92.749999999999986</v>
      </c>
      <c r="X68" s="4">
        <f>SUM('TOTAL VOLUME'!X68*'Side by Side Amount'!X69)</f>
        <v>0</v>
      </c>
      <c r="Y68" s="4">
        <f>SUM('TOTAL VOLUME'!Y68*'Side by Side Amount'!Y69)</f>
        <v>141.24</v>
      </c>
      <c r="Z68" s="4">
        <f>SUM('TOTAL VOLUME'!Z68*'Side by Side Amount'!Z69)</f>
        <v>310.02</v>
      </c>
      <c r="AA68" s="4">
        <f>SUM('TOTAL VOLUME'!AA68*'Side by Side Amount'!AA69)</f>
        <v>316.14</v>
      </c>
      <c r="AB68" s="4">
        <f>SUM('TOTAL VOLUME'!AB68*'Side by Side Amount'!AB69)</f>
        <v>0</v>
      </c>
      <c r="AC68" s="4">
        <f>SUM('TOTAL VOLUME'!AC68*'Side by Side Amount'!AC69)</f>
        <v>485.52</v>
      </c>
    </row>
    <row r="69" spans="1:29" ht="12" x14ac:dyDescent="0.2">
      <c r="A69" s="2">
        <v>68</v>
      </c>
      <c r="B69" s="4">
        <f>SUM('TOTAL VOLUME'!B69*'Side by Side Amount'!B70)</f>
        <v>0</v>
      </c>
      <c r="C69" s="4">
        <f>SUM('TOTAL VOLUME'!C69*'Side by Side Amount'!C70)</f>
        <v>0</v>
      </c>
      <c r="D69" s="4">
        <f>SUM('TOTAL VOLUME'!D69*'Side by Side Amount'!D70)</f>
        <v>10.299999999999997</v>
      </c>
      <c r="E69" s="4">
        <f>SUM('TOTAL VOLUME'!E69*'Side by Side Amount'!E70)</f>
        <v>0</v>
      </c>
      <c r="F69" s="4">
        <f>SUM('TOTAL VOLUME'!F69*'Side by Side Amount'!F70)</f>
        <v>24.870000000000005</v>
      </c>
      <c r="G69" s="4">
        <f>SUM('TOTAL VOLUME'!G69*'Side by Side Amount'!G70)</f>
        <v>0</v>
      </c>
      <c r="H69" s="4">
        <f>SUM('TOTAL VOLUME'!H69*'Side by Side Amount'!H70)</f>
        <v>0</v>
      </c>
      <c r="I69" s="4">
        <f>SUM('TOTAL VOLUME'!I69*'Side by Side Amount'!I70)</f>
        <v>0</v>
      </c>
      <c r="J69" s="4">
        <f>SUM('TOTAL VOLUME'!J69*'Side by Side Amount'!J70)</f>
        <v>0</v>
      </c>
      <c r="K69" s="4">
        <f>SUM('TOTAL VOLUME'!K69*'Side by Side Amount'!K70)</f>
        <v>0</v>
      </c>
      <c r="L69" s="4">
        <f>SUM('TOTAL VOLUME'!L69*'Side by Side Amount'!L70)</f>
        <v>0</v>
      </c>
      <c r="M69" s="4">
        <f>SUM('TOTAL VOLUME'!M69*'Side by Side Amount'!M70)</f>
        <v>0</v>
      </c>
      <c r="N69" s="4">
        <f>SUM('TOTAL VOLUME'!N69*'Side by Side Amount'!N70)</f>
        <v>0</v>
      </c>
      <c r="O69" s="4">
        <f>SUM('TOTAL VOLUME'!O69*'Side by Side Amount'!O70)</f>
        <v>0</v>
      </c>
      <c r="P69" s="4">
        <f>SUM('TOTAL VOLUME'!P69*'Side by Side Amount'!P70)</f>
        <v>8.1899999999999959</v>
      </c>
      <c r="Q69" s="4">
        <f>SUM('TOTAL VOLUME'!Q69*'Side by Side Amount'!Q70)</f>
        <v>3.5300000000000011</v>
      </c>
      <c r="R69" s="4">
        <f>SUM('TOTAL VOLUME'!R69*'Side by Side Amount'!R70)</f>
        <v>8.1599999999999966</v>
      </c>
      <c r="S69" s="4">
        <f>SUM('TOTAL VOLUME'!S69*'Side by Side Amount'!S70)</f>
        <v>87.47999999999999</v>
      </c>
      <c r="T69" s="4">
        <f>SUM('TOTAL VOLUME'!T69*'Side by Side Amount'!T70)</f>
        <v>29.249999999999989</v>
      </c>
      <c r="U69" s="4">
        <f>SUM('TOTAL VOLUME'!U69*'Side by Side Amount'!U70)</f>
        <v>6.82</v>
      </c>
      <c r="V69" s="4">
        <f>SUM('TOTAL VOLUME'!V69*'Side by Side Amount'!V70)</f>
        <v>105.17000000000004</v>
      </c>
      <c r="W69" s="4">
        <f>SUM('TOTAL VOLUME'!W69*'Side by Side Amount'!W70)</f>
        <v>37.900000000000006</v>
      </c>
      <c r="X69" s="4">
        <f>SUM('TOTAL VOLUME'!X69*'Side by Side Amount'!X70)</f>
        <v>0</v>
      </c>
      <c r="Y69" s="4">
        <f>SUM('TOTAL VOLUME'!Y69*'Side by Side Amount'!Y70)</f>
        <v>94.240000000000009</v>
      </c>
      <c r="Z69" s="4">
        <f>SUM('TOTAL VOLUME'!Z69*'Side by Side Amount'!Z70)</f>
        <v>418.96000000000004</v>
      </c>
      <c r="AA69" s="4">
        <f>SUM('TOTAL VOLUME'!AA69*'Side by Side Amount'!AA70)</f>
        <v>263.7</v>
      </c>
      <c r="AB69" s="4">
        <f>SUM('TOTAL VOLUME'!AB69*'Side by Side Amount'!AB70)</f>
        <v>117.36</v>
      </c>
      <c r="AC69" s="4">
        <f>SUM('TOTAL VOLUME'!AC69*'Side by Side Amount'!AC70)</f>
        <v>549.45000000000005</v>
      </c>
    </row>
    <row r="70" spans="1:29" ht="12" x14ac:dyDescent="0.2">
      <c r="A70" s="2">
        <v>69</v>
      </c>
      <c r="B70" s="4">
        <f>SUM('TOTAL VOLUME'!B70*'Side by Side Amount'!B71)</f>
        <v>0</v>
      </c>
      <c r="C70" s="4">
        <f>SUM('TOTAL VOLUME'!C70*'Side by Side Amount'!C71)</f>
        <v>0</v>
      </c>
      <c r="D70" s="4">
        <f>SUM('TOTAL VOLUME'!D70*'Side by Side Amount'!D71)</f>
        <v>0</v>
      </c>
      <c r="E70" s="4">
        <f>SUM('TOTAL VOLUME'!E70*'Side by Side Amount'!E71)</f>
        <v>0</v>
      </c>
      <c r="F70" s="4">
        <f>SUM('TOTAL VOLUME'!F70*'Side by Side Amount'!F71)</f>
        <v>24.97</v>
      </c>
      <c r="G70" s="4">
        <f>SUM('TOTAL VOLUME'!G70*'Side by Side Amount'!G71)</f>
        <v>0</v>
      </c>
      <c r="H70" s="4">
        <f>SUM('TOTAL VOLUME'!H70*'Side by Side Amount'!H71)</f>
        <v>25.97</v>
      </c>
      <c r="I70" s="4">
        <f>SUM('TOTAL VOLUME'!I70*'Side by Side Amount'!I71)</f>
        <v>0</v>
      </c>
      <c r="J70" s="4">
        <f>SUM('TOTAL VOLUME'!J70*'Side by Side Amount'!J71)</f>
        <v>0</v>
      </c>
      <c r="K70" s="4">
        <f>SUM('TOTAL VOLUME'!K70*'Side by Side Amount'!K71)</f>
        <v>0</v>
      </c>
      <c r="L70" s="4">
        <f>SUM('TOTAL VOLUME'!L70*'Side by Side Amount'!L71)</f>
        <v>0</v>
      </c>
      <c r="M70" s="4">
        <f>SUM('TOTAL VOLUME'!M70*'Side by Side Amount'!M71)</f>
        <v>0</v>
      </c>
      <c r="N70" s="4">
        <f>SUM('TOTAL VOLUME'!N70*'Side by Side Amount'!N71)</f>
        <v>0</v>
      </c>
      <c r="O70" s="4">
        <f>SUM('TOTAL VOLUME'!O70*'Side by Side Amount'!O71)</f>
        <v>43.269999999999996</v>
      </c>
      <c r="P70" s="4">
        <f>SUM('TOTAL VOLUME'!P70*'Side by Side Amount'!P71)</f>
        <v>2.7799999999999994</v>
      </c>
      <c r="Q70" s="4">
        <f>SUM('TOTAL VOLUME'!Q70*'Side by Side Amount'!Q71)</f>
        <v>3.5499999999999989</v>
      </c>
      <c r="R70" s="4">
        <f>SUM('TOTAL VOLUME'!R70*'Side by Side Amount'!R71)</f>
        <v>8.1599999999999966</v>
      </c>
      <c r="S70" s="4">
        <f>SUM('TOTAL VOLUME'!S70*'Side by Side Amount'!S71)</f>
        <v>78.720000000000027</v>
      </c>
      <c r="T70" s="4">
        <f>SUM('TOTAL VOLUME'!T70*'Side by Side Amount'!T71)</f>
        <v>70.559999999999988</v>
      </c>
      <c r="U70" s="4">
        <f>SUM('TOTAL VOLUME'!U70*'Side by Side Amount'!U71)</f>
        <v>34.200000000000003</v>
      </c>
      <c r="V70" s="4">
        <f>SUM('TOTAL VOLUME'!V70*'Side by Side Amount'!V71)</f>
        <v>113.25999999999999</v>
      </c>
      <c r="W70" s="4">
        <f>SUM('TOTAL VOLUME'!W70*'Side by Side Amount'!W71)</f>
        <v>94.999999999999986</v>
      </c>
      <c r="X70" s="4">
        <f>SUM('TOTAL VOLUME'!X70*'Side by Side Amount'!X71)</f>
        <v>27.85</v>
      </c>
      <c r="Y70" s="4">
        <f>SUM('TOTAL VOLUME'!Y70*'Side by Side Amount'!Y71)</f>
        <v>47.160000000000004</v>
      </c>
      <c r="Z70" s="4">
        <f>SUM('TOTAL VOLUME'!Z70*'Side by Side Amount'!Z71)</f>
        <v>577.49999999999989</v>
      </c>
      <c r="AA70" s="4">
        <f>SUM('TOTAL VOLUME'!AA70*'Side by Side Amount'!AA71)</f>
        <v>369.74</v>
      </c>
      <c r="AB70" s="4">
        <f>SUM('TOTAL VOLUME'!AB70*'Side by Side Amount'!AB71)</f>
        <v>0</v>
      </c>
      <c r="AC70" s="4">
        <f>SUM('TOTAL VOLUME'!AC70*'Side by Side Amount'!AC71)</f>
        <v>248.88000000000002</v>
      </c>
    </row>
    <row r="71" spans="1:29" ht="12" x14ac:dyDescent="0.2">
      <c r="A71" s="2">
        <v>70</v>
      </c>
      <c r="B71" s="4">
        <f>SUM('TOTAL VOLUME'!B71*'Side by Side Amount'!B72)</f>
        <v>0</v>
      </c>
      <c r="C71" s="4">
        <f>SUM('TOTAL VOLUME'!C71*'Side by Side Amount'!C72)</f>
        <v>0</v>
      </c>
      <c r="D71" s="4">
        <f>SUM('TOTAL VOLUME'!D71*'Side by Side Amount'!D72)</f>
        <v>10.699999999999996</v>
      </c>
      <c r="E71" s="4">
        <f>SUM('TOTAL VOLUME'!E71*'Side by Side Amount'!E72)</f>
        <v>0</v>
      </c>
      <c r="F71" s="4">
        <f>SUM('TOTAL VOLUME'!F71*'Side by Side Amount'!F72)</f>
        <v>0</v>
      </c>
      <c r="G71" s="4">
        <f>SUM('TOTAL VOLUME'!G71*'Side by Side Amount'!G72)</f>
        <v>0</v>
      </c>
      <c r="H71" s="4">
        <f>SUM('TOTAL VOLUME'!H71*'Side by Side Amount'!H72)</f>
        <v>0</v>
      </c>
      <c r="I71" s="4">
        <f>SUM('TOTAL VOLUME'!I71*'Side by Side Amount'!I72)</f>
        <v>0</v>
      </c>
      <c r="J71" s="4">
        <f>SUM('TOTAL VOLUME'!J71*'Side by Side Amount'!J72)</f>
        <v>0</v>
      </c>
      <c r="K71" s="4">
        <f>SUM('TOTAL VOLUME'!K71*'Side by Side Amount'!K72)</f>
        <v>0</v>
      </c>
      <c r="L71" s="4">
        <f>SUM('TOTAL VOLUME'!L71*'Side by Side Amount'!L72)</f>
        <v>0</v>
      </c>
      <c r="M71" s="4">
        <f>SUM('TOTAL VOLUME'!M71*'Side by Side Amount'!M72)</f>
        <v>0</v>
      </c>
      <c r="N71" s="4">
        <f>SUM('TOTAL VOLUME'!N71*'Side by Side Amount'!N72)</f>
        <v>38.760000000000005</v>
      </c>
      <c r="O71" s="4">
        <f>SUM('TOTAL VOLUME'!O71*'Side by Side Amount'!O72)</f>
        <v>43.190000000000012</v>
      </c>
      <c r="P71" s="4">
        <f>SUM('TOTAL VOLUME'!P71*'Side by Side Amount'!P72)</f>
        <v>25.289999999999988</v>
      </c>
      <c r="Q71" s="4">
        <f>SUM('TOTAL VOLUME'!Q71*'Side by Side Amount'!Q72)</f>
        <v>10.799999999999999</v>
      </c>
      <c r="R71" s="4">
        <f>SUM('TOTAL VOLUME'!R71*'Side by Side Amount'!R72)</f>
        <v>24.900000000000013</v>
      </c>
      <c r="S71" s="4">
        <f>SUM('TOTAL VOLUME'!S71*'Side by Side Amount'!S72)</f>
        <v>60.47999999999999</v>
      </c>
      <c r="T71" s="4">
        <f>SUM('TOTAL VOLUME'!T71*'Side by Side Amount'!T72)</f>
        <v>66</v>
      </c>
      <c r="U71" s="4">
        <f>SUM('TOTAL VOLUME'!U71*'Side by Side Amount'!U72)</f>
        <v>6.870000000000001</v>
      </c>
      <c r="V71" s="4">
        <f>SUM('TOTAL VOLUME'!V71*'Side by Side Amount'!V72)</f>
        <v>73.44</v>
      </c>
      <c r="W71" s="4">
        <f>SUM('TOTAL VOLUME'!W71*'Side by Side Amount'!W72)</f>
        <v>95.25</v>
      </c>
      <c r="X71" s="4">
        <f>SUM('TOTAL VOLUME'!X71*'Side by Side Amount'!X72)</f>
        <v>111.6</v>
      </c>
      <c r="Y71" s="4">
        <f>SUM('TOTAL VOLUME'!Y71*'Side by Side Amount'!Y72)</f>
        <v>47.219999999999992</v>
      </c>
      <c r="Z71" s="4">
        <f>SUM('TOTAL VOLUME'!Z71*'Side by Side Amount'!Z72)</f>
        <v>264.09999999999997</v>
      </c>
      <c r="AA71" s="4">
        <f>SUM('TOTAL VOLUME'!AA71*'Side by Side Amount'!AA72)</f>
        <v>105.72</v>
      </c>
      <c r="AB71" s="4">
        <f>SUM('TOTAL VOLUME'!AB71*'Side by Side Amount'!AB72)</f>
        <v>294.25</v>
      </c>
      <c r="AC71" s="4">
        <f>SUM('TOTAL VOLUME'!AC71*'Side by Side Amount'!AC72)</f>
        <v>373.98</v>
      </c>
    </row>
    <row r="72" spans="1:29" ht="12" x14ac:dyDescent="0.2">
      <c r="A72" s="2">
        <v>71</v>
      </c>
      <c r="B72" s="4">
        <f>SUM('TOTAL VOLUME'!B72*'Side by Side Amount'!B73)</f>
        <v>0</v>
      </c>
      <c r="C72" s="4">
        <f>SUM('TOTAL VOLUME'!C72*'Side by Side Amount'!C73)</f>
        <v>9.02</v>
      </c>
      <c r="D72" s="4">
        <f>SUM('TOTAL VOLUME'!D72*'Side by Side Amount'!D73)</f>
        <v>0</v>
      </c>
      <c r="E72" s="4">
        <f>SUM('TOTAL VOLUME'!E72*'Side by Side Amount'!E73)</f>
        <v>15.819999999999993</v>
      </c>
      <c r="F72" s="4">
        <f>SUM('TOTAL VOLUME'!F72*'Side by Side Amount'!F73)</f>
        <v>0</v>
      </c>
      <c r="G72" s="4">
        <f>SUM('TOTAL VOLUME'!G72*'Side by Side Amount'!G73)</f>
        <v>0</v>
      </c>
      <c r="H72" s="4">
        <f>SUM('TOTAL VOLUME'!H72*'Side by Side Amount'!H73)</f>
        <v>0</v>
      </c>
      <c r="I72" s="4">
        <f>SUM('TOTAL VOLUME'!I72*'Side by Side Amount'!I73)</f>
        <v>0</v>
      </c>
      <c r="J72" s="4">
        <f>SUM('TOTAL VOLUME'!J72*'Side by Side Amount'!J73)</f>
        <v>0</v>
      </c>
      <c r="K72" s="4">
        <f>SUM('TOTAL VOLUME'!K72*'Side by Side Amount'!K73)</f>
        <v>0</v>
      </c>
      <c r="L72" s="4">
        <f>SUM('TOTAL VOLUME'!L72*'Side by Side Amount'!L73)</f>
        <v>0</v>
      </c>
      <c r="M72" s="4">
        <f>SUM('TOTAL VOLUME'!M72*'Side by Side Amount'!M73)</f>
        <v>0</v>
      </c>
      <c r="N72" s="4">
        <f>SUM('TOTAL VOLUME'!N72*'Side by Side Amount'!N73)</f>
        <v>0</v>
      </c>
      <c r="O72" s="4">
        <f>SUM('TOTAL VOLUME'!O72*'Side by Side Amount'!O73)</f>
        <v>42.63000000000001</v>
      </c>
      <c r="P72" s="4">
        <f>SUM('TOTAL VOLUME'!P72*'Side by Side Amount'!P73)</f>
        <v>14.15</v>
      </c>
      <c r="Q72" s="4">
        <f>SUM('TOTAL VOLUME'!Q72*'Side by Side Amount'!Q73)</f>
        <v>7.2799999999999976</v>
      </c>
      <c r="R72" s="4">
        <f>SUM('TOTAL VOLUME'!R72*'Side by Side Amount'!R73)</f>
        <v>12.809999999999999</v>
      </c>
      <c r="S72" s="4">
        <f>SUM('TOTAL VOLUME'!S72*'Side by Side Amount'!S73)</f>
        <v>36.120000000000005</v>
      </c>
      <c r="T72" s="4">
        <f>SUM('TOTAL VOLUME'!T72*'Side by Side Amount'!T73)</f>
        <v>72.960000000000022</v>
      </c>
      <c r="U72" s="4">
        <f>SUM('TOTAL VOLUME'!U72*'Side by Side Amount'!U73)</f>
        <v>27.959999999999994</v>
      </c>
      <c r="V72" s="4">
        <f>SUM('TOTAL VOLUME'!V72*'Side by Side Amount'!V73)</f>
        <v>90.529999999999973</v>
      </c>
      <c r="W72" s="4">
        <f>SUM('TOTAL VOLUME'!W72*'Side by Side Amount'!W73)</f>
        <v>97.899999999999991</v>
      </c>
      <c r="X72" s="4">
        <f>SUM('TOTAL VOLUME'!X72*'Side by Side Amount'!X73)</f>
        <v>111.76</v>
      </c>
      <c r="Y72" s="4">
        <f>SUM('TOTAL VOLUME'!Y72*'Side by Side Amount'!Y73)</f>
        <v>189.44</v>
      </c>
      <c r="Z72" s="4">
        <f>SUM('TOTAL VOLUME'!Z72*'Side by Side Amount'!Z73)</f>
        <v>317.46000000000004</v>
      </c>
      <c r="AA72" s="4">
        <f>SUM('TOTAL VOLUME'!AA72*'Side by Side Amount'!AA73)</f>
        <v>52.97</v>
      </c>
      <c r="AB72" s="4">
        <f>SUM('TOTAL VOLUME'!AB72*'Side by Side Amount'!AB73)</f>
        <v>0</v>
      </c>
      <c r="AC72" s="4">
        <f>SUM('TOTAL VOLUME'!AC72*'Side by Side Amount'!AC73)</f>
        <v>250.24</v>
      </c>
    </row>
    <row r="73" spans="1:29" ht="12" x14ac:dyDescent="0.2">
      <c r="A73" s="2">
        <v>72</v>
      </c>
      <c r="B73" s="4">
        <f>SUM('TOTAL VOLUME'!B73*'Side by Side Amount'!B74)</f>
        <v>0</v>
      </c>
      <c r="C73" s="4">
        <f>SUM('TOTAL VOLUME'!C73*'Side by Side Amount'!C74)</f>
        <v>0</v>
      </c>
      <c r="D73" s="4">
        <f>SUM('TOTAL VOLUME'!D73*'Side by Side Amount'!D74)</f>
        <v>0</v>
      </c>
      <c r="E73" s="4">
        <f>SUM('TOTAL VOLUME'!E73*'Side by Side Amount'!E74)</f>
        <v>0</v>
      </c>
      <c r="F73" s="4">
        <f>SUM('TOTAL VOLUME'!F73*'Side by Side Amount'!F74)</f>
        <v>0</v>
      </c>
      <c r="G73" s="4">
        <f>SUM('TOTAL VOLUME'!G73*'Side by Side Amount'!G74)</f>
        <v>0</v>
      </c>
      <c r="H73" s="4">
        <f>SUM('TOTAL VOLUME'!H73*'Side by Side Amount'!H74)</f>
        <v>0</v>
      </c>
      <c r="I73" s="4">
        <f>SUM('TOTAL VOLUME'!I73*'Side by Side Amount'!I74)</f>
        <v>0</v>
      </c>
      <c r="J73" s="4">
        <f>SUM('TOTAL VOLUME'!J73*'Side by Side Amount'!J74)</f>
        <v>0</v>
      </c>
      <c r="K73" s="4">
        <f>SUM('TOTAL VOLUME'!K73*'Side by Side Amount'!K74)</f>
        <v>0</v>
      </c>
      <c r="L73" s="4">
        <f>SUM('TOTAL VOLUME'!L73*'Side by Side Amount'!L74)</f>
        <v>0</v>
      </c>
      <c r="M73" s="4">
        <f>SUM('TOTAL VOLUME'!M73*'Side by Side Amount'!M74)</f>
        <v>0</v>
      </c>
      <c r="N73" s="4">
        <f>SUM('TOTAL VOLUME'!N73*'Side by Side Amount'!N74)</f>
        <v>0</v>
      </c>
      <c r="O73" s="4">
        <f>SUM('TOTAL VOLUME'!O73*'Side by Side Amount'!O74)</f>
        <v>0</v>
      </c>
      <c r="P73" s="4">
        <f>SUM('TOTAL VOLUME'!P73*'Side by Side Amount'!P74)</f>
        <v>0</v>
      </c>
      <c r="Q73" s="4">
        <f>SUM('TOTAL VOLUME'!Q73*'Side by Side Amount'!Q74)</f>
        <v>0</v>
      </c>
      <c r="R73" s="4">
        <f>SUM('TOTAL VOLUME'!R73*'Side by Side Amount'!R74)</f>
        <v>0</v>
      </c>
      <c r="S73" s="4">
        <f>SUM('TOTAL VOLUME'!S73*'Side by Side Amount'!S74)</f>
        <v>0</v>
      </c>
      <c r="T73" s="4">
        <f>SUM('TOTAL VOLUME'!T73*'Side by Side Amount'!T74)</f>
        <v>0</v>
      </c>
      <c r="U73" s="4">
        <f>SUM('TOTAL VOLUME'!U73*'Side by Side Amount'!U74)</f>
        <v>0</v>
      </c>
      <c r="V73" s="4">
        <f>SUM('TOTAL VOLUME'!V73*'Side by Side Amount'!V74)</f>
        <v>0</v>
      </c>
      <c r="W73" s="4">
        <f>SUM('TOTAL VOLUME'!W73*'Side by Side Amount'!W74)</f>
        <v>0</v>
      </c>
      <c r="X73" s="4">
        <f>SUM('TOTAL VOLUME'!X73*'Side by Side Amount'!X74)</f>
        <v>0</v>
      </c>
      <c r="Y73" s="4">
        <f>SUM('TOTAL VOLUME'!Y73*'Side by Side Amount'!Y74)</f>
        <v>0</v>
      </c>
      <c r="Z73" s="4">
        <f>SUM('TOTAL VOLUME'!Z73*'Side by Side Amount'!Z74)</f>
        <v>0</v>
      </c>
      <c r="AA73" s="4">
        <f>SUM('TOTAL VOLUME'!AA73*'Side by Side Amount'!AA74)</f>
        <v>0</v>
      </c>
      <c r="AB73" s="4">
        <f>SUM('TOTAL VOLUME'!AB73*'Side by Side Amount'!AB74)</f>
        <v>0</v>
      </c>
      <c r="AC73" s="4">
        <f>SUM('TOTAL VOLUME'!AC73*'Side by Side Amount'!AC74)</f>
        <v>0</v>
      </c>
    </row>
    <row r="74" spans="1:29" ht="12" x14ac:dyDescent="0.2">
      <c r="A74" s="2">
        <v>73</v>
      </c>
      <c r="B74" s="4">
        <f>SUM('TOTAL VOLUME'!B74*'Side by Side Amount'!B75)</f>
        <v>0</v>
      </c>
      <c r="C74" s="4">
        <f>SUM('TOTAL VOLUME'!C74*'Side by Side Amount'!C75)</f>
        <v>0</v>
      </c>
      <c r="D74" s="4">
        <f>SUM('TOTAL VOLUME'!D74*'Side by Side Amount'!D75)</f>
        <v>0</v>
      </c>
      <c r="E74" s="4">
        <f>SUM('TOTAL VOLUME'!E74*'Side by Side Amount'!E75)</f>
        <v>16.120000000000005</v>
      </c>
      <c r="F74" s="4">
        <f>SUM('TOTAL VOLUME'!F74*'Side by Side Amount'!F75)</f>
        <v>0</v>
      </c>
      <c r="G74" s="4">
        <f>SUM('TOTAL VOLUME'!G74*'Side by Side Amount'!G75)</f>
        <v>0</v>
      </c>
      <c r="H74" s="4">
        <f>SUM('TOTAL VOLUME'!H74*'Side by Side Amount'!H75)</f>
        <v>0</v>
      </c>
      <c r="I74" s="4">
        <f>SUM('TOTAL VOLUME'!I74*'Side by Side Amount'!I75)</f>
        <v>0</v>
      </c>
      <c r="J74" s="4">
        <f>SUM('TOTAL VOLUME'!J74*'Side by Side Amount'!J75)</f>
        <v>0</v>
      </c>
      <c r="K74" s="4">
        <f>SUM('TOTAL VOLUME'!K74*'Side by Side Amount'!K75)</f>
        <v>0</v>
      </c>
      <c r="L74" s="4">
        <f>SUM('TOTAL VOLUME'!L74*'Side by Side Amount'!L75)</f>
        <v>0</v>
      </c>
      <c r="M74" s="4">
        <f>SUM('TOTAL VOLUME'!M74*'Side by Side Amount'!M75)</f>
        <v>0</v>
      </c>
      <c r="N74" s="4">
        <f>SUM('TOTAL VOLUME'!N74*'Side by Side Amount'!N75)</f>
        <v>0</v>
      </c>
      <c r="O74" s="4">
        <f>SUM('TOTAL VOLUME'!O74*'Side by Side Amount'!O75)</f>
        <v>0</v>
      </c>
      <c r="P74" s="4">
        <f>SUM('TOTAL VOLUME'!P74*'Side by Side Amount'!P75)</f>
        <v>23.439999999999998</v>
      </c>
      <c r="Q74" s="4">
        <f>SUM('TOTAL VOLUME'!Q74*'Side by Side Amount'!Q75)</f>
        <v>3.6799999999999997</v>
      </c>
      <c r="R74" s="4">
        <f>SUM('TOTAL VOLUME'!R74*'Side by Side Amount'!R75)</f>
        <v>34.799999999999997</v>
      </c>
      <c r="S74" s="4">
        <f>SUM('TOTAL VOLUME'!S74*'Side by Side Amount'!S75)</f>
        <v>57.419999999999987</v>
      </c>
      <c r="T74" s="4">
        <f>SUM('TOTAL VOLUME'!T74*'Side by Side Amount'!T75)</f>
        <v>87.080000000000041</v>
      </c>
      <c r="U74" s="4">
        <f>SUM('TOTAL VOLUME'!U74*'Side by Side Amount'!U75)</f>
        <v>58.079999999999984</v>
      </c>
      <c r="V74" s="4">
        <f>SUM('TOTAL VOLUME'!V74*'Side by Side Amount'!V75)</f>
        <v>74.249999999999972</v>
      </c>
      <c r="W74" s="4">
        <f>SUM('TOTAL VOLUME'!W74*'Side by Side Amount'!W75)</f>
        <v>98.800000000000026</v>
      </c>
      <c r="X74" s="4">
        <f>SUM('TOTAL VOLUME'!X74*'Side by Side Amount'!X75)</f>
        <v>29.370000000000005</v>
      </c>
      <c r="Y74" s="4">
        <f>SUM('TOTAL VOLUME'!Y74*'Side by Side Amount'!Y75)</f>
        <v>253.6</v>
      </c>
      <c r="Z74" s="4">
        <f>SUM('TOTAL VOLUME'!Z74*'Side by Side Amount'!Z75)</f>
        <v>219.48000000000002</v>
      </c>
      <c r="AA74" s="4">
        <f>SUM('TOTAL VOLUME'!AA74*'Side by Side Amount'!AA75)</f>
        <v>54.92</v>
      </c>
      <c r="AB74" s="4">
        <f>SUM('TOTAL VOLUME'!AB74*'Side by Side Amount'!AB75)</f>
        <v>0</v>
      </c>
      <c r="AC74" s="4">
        <f>SUM('TOTAL VOLUME'!AC74*'Side by Side Amount'!AC75)</f>
        <v>472.6400000000001</v>
      </c>
    </row>
    <row r="75" spans="1:29" ht="12" x14ac:dyDescent="0.2">
      <c r="A75" s="2">
        <v>74</v>
      </c>
      <c r="B75" s="4">
        <f>SUM('TOTAL VOLUME'!B75*'Side by Side Amount'!B76)</f>
        <v>0</v>
      </c>
      <c r="C75" s="4">
        <f>SUM('TOTAL VOLUME'!C75*'Side by Side Amount'!C76)</f>
        <v>0</v>
      </c>
      <c r="D75" s="4">
        <f>SUM('TOTAL VOLUME'!D75*'Side by Side Amount'!D76)</f>
        <v>0</v>
      </c>
      <c r="E75" s="4">
        <f>SUM('TOTAL VOLUME'!E75*'Side by Side Amount'!E76)</f>
        <v>16.149999999999991</v>
      </c>
      <c r="F75" s="4">
        <f>SUM('TOTAL VOLUME'!F75*'Side by Side Amount'!F76)</f>
        <v>26.929999999999993</v>
      </c>
      <c r="G75" s="4">
        <f>SUM('TOTAL VOLUME'!G75*'Side by Side Amount'!G76)</f>
        <v>0</v>
      </c>
      <c r="H75" s="4">
        <f>SUM('TOTAL VOLUME'!H75*'Side by Side Amount'!H76)</f>
        <v>0</v>
      </c>
      <c r="I75" s="4">
        <f>SUM('TOTAL VOLUME'!I75*'Side by Side Amount'!I76)</f>
        <v>0</v>
      </c>
      <c r="J75" s="4">
        <f>SUM('TOTAL VOLUME'!J75*'Side by Side Amount'!J76)</f>
        <v>0</v>
      </c>
      <c r="K75" s="4">
        <f>SUM('TOTAL VOLUME'!K75*'Side by Side Amount'!K76)</f>
        <v>0</v>
      </c>
      <c r="L75" s="4">
        <f>SUM('TOTAL VOLUME'!L75*'Side by Side Amount'!L76)</f>
        <v>0</v>
      </c>
      <c r="M75" s="4">
        <f>SUM('TOTAL VOLUME'!M75*'Side by Side Amount'!M76)</f>
        <v>0</v>
      </c>
      <c r="N75" s="4">
        <f>SUM('TOTAL VOLUME'!N75*'Side by Side Amount'!N76)</f>
        <v>0</v>
      </c>
      <c r="O75" s="4">
        <f>SUM('TOTAL VOLUME'!O75*'Side by Side Amount'!O76)</f>
        <v>0</v>
      </c>
      <c r="P75" s="4">
        <f>SUM('TOTAL VOLUME'!P75*'Side by Side Amount'!P76)</f>
        <v>27</v>
      </c>
      <c r="Q75" s="4">
        <f>SUM('TOTAL VOLUME'!Q75*'Side by Side Amount'!Q76)</f>
        <v>11.01</v>
      </c>
      <c r="R75" s="4">
        <f>SUM('TOTAL VOLUME'!R75*'Side by Side Amount'!R76)</f>
        <v>21.750000000000007</v>
      </c>
      <c r="S75" s="4">
        <f>SUM('TOTAL VOLUME'!S75*'Side by Side Amount'!S76)</f>
        <v>104.60000000000001</v>
      </c>
      <c r="T75" s="4">
        <f>SUM('TOTAL VOLUME'!T75*'Side by Side Amount'!T76)</f>
        <v>114.30000000000003</v>
      </c>
      <c r="U75" s="4">
        <f>SUM('TOTAL VOLUME'!U75*'Side by Side Amount'!U76)</f>
        <v>36.550000000000011</v>
      </c>
      <c r="V75" s="4">
        <f>SUM('TOTAL VOLUME'!V75*'Side by Side Amount'!V76)</f>
        <v>115.35999999999999</v>
      </c>
      <c r="W75" s="4">
        <f>SUM('TOTAL VOLUME'!W75*'Side by Side Amount'!W76)</f>
        <v>118.92</v>
      </c>
      <c r="X75" s="4">
        <f>SUM('TOTAL VOLUME'!X75*'Side by Side Amount'!X76)</f>
        <v>0</v>
      </c>
      <c r="Y75" s="4">
        <f>SUM('TOTAL VOLUME'!Y75*'Side by Side Amount'!Y76)</f>
        <v>304.67999999999995</v>
      </c>
      <c r="Z75" s="4">
        <f>SUM('TOTAL VOLUME'!Z75*'Side by Side Amount'!Z76)</f>
        <v>384.37</v>
      </c>
      <c r="AA75" s="4">
        <f>SUM('TOTAL VOLUME'!AA75*'Side by Side Amount'!AA76)</f>
        <v>109.92000000000002</v>
      </c>
      <c r="AB75" s="4">
        <f>SUM('TOTAL VOLUME'!AB75*'Side by Side Amount'!AB76)</f>
        <v>192.93</v>
      </c>
      <c r="AC75" s="4">
        <f>SUM('TOTAL VOLUME'!AC75*'Side by Side Amount'!AC76)</f>
        <v>1013.6999999999999</v>
      </c>
    </row>
    <row r="76" spans="1:29" ht="12" x14ac:dyDescent="0.2">
      <c r="A76" s="2">
        <v>75</v>
      </c>
      <c r="B76" s="4">
        <f>SUM('TOTAL VOLUME'!B76*'Side by Side Amount'!B77)</f>
        <v>7.3900000000000006</v>
      </c>
      <c r="C76" s="4">
        <f>SUM('TOTAL VOLUME'!C76*'Side by Side Amount'!C77)</f>
        <v>0</v>
      </c>
      <c r="D76" s="4">
        <f>SUM('TOTAL VOLUME'!D76*'Side by Side Amount'!D77)</f>
        <v>0</v>
      </c>
      <c r="E76" s="4">
        <f>SUM('TOTAL VOLUME'!E76*'Side by Side Amount'!E77)</f>
        <v>16.469999999999992</v>
      </c>
      <c r="F76" s="4">
        <f>SUM('TOTAL VOLUME'!F76*'Side by Side Amount'!F77)</f>
        <v>0</v>
      </c>
      <c r="G76" s="4">
        <f>SUM('TOTAL VOLUME'!G76*'Side by Side Amount'!G77)</f>
        <v>0</v>
      </c>
      <c r="H76" s="4">
        <f>SUM('TOTAL VOLUME'!H76*'Side by Side Amount'!H77)</f>
        <v>57.600000000000023</v>
      </c>
      <c r="I76" s="4">
        <f>SUM('TOTAL VOLUME'!I76*'Side by Side Amount'!I77)</f>
        <v>8.57</v>
      </c>
      <c r="J76" s="4">
        <f>SUM('TOTAL VOLUME'!J76*'Side by Side Amount'!J77)</f>
        <v>0</v>
      </c>
      <c r="K76" s="4">
        <f>SUM('TOTAL VOLUME'!K76*'Side by Side Amount'!K77)</f>
        <v>0</v>
      </c>
      <c r="L76" s="4">
        <f>SUM('TOTAL VOLUME'!L76*'Side by Side Amount'!L77)</f>
        <v>0</v>
      </c>
      <c r="M76" s="4">
        <f>SUM('TOTAL VOLUME'!M76*'Side by Side Amount'!M77)</f>
        <v>0</v>
      </c>
      <c r="N76" s="4">
        <f>SUM('TOTAL VOLUME'!N76*'Side by Side Amount'!N77)</f>
        <v>0</v>
      </c>
      <c r="O76" s="4">
        <f>SUM('TOTAL VOLUME'!O76*'Side by Side Amount'!O77)</f>
        <v>44.710000000000008</v>
      </c>
      <c r="P76" s="4">
        <f>SUM('TOTAL VOLUME'!P76*'Side by Side Amount'!P77)</f>
        <v>46.95000000000001</v>
      </c>
      <c r="Q76" s="4">
        <f>SUM('TOTAL VOLUME'!Q76*'Side by Side Amount'!Q77)</f>
        <v>14.759999999999998</v>
      </c>
      <c r="R76" s="4">
        <f>SUM('TOTAL VOLUME'!R76*'Side by Side Amount'!R77)</f>
        <v>30.45000000000001</v>
      </c>
      <c r="S76" s="4">
        <f>SUM('TOTAL VOLUME'!S76*'Side by Side Amount'!S77)</f>
        <v>47.610000000000028</v>
      </c>
      <c r="T76" s="4">
        <f>SUM('TOTAL VOLUME'!T76*'Side by Side Amount'!T77)</f>
        <v>273.47999999999996</v>
      </c>
      <c r="U76" s="4">
        <f>SUM('TOTAL VOLUME'!U76*'Side by Side Amount'!U77)</f>
        <v>191.87999999999997</v>
      </c>
      <c r="V76" s="4">
        <f>SUM('TOTAL VOLUME'!V76*'Side by Side Amount'!V77)</f>
        <v>164.79999999999995</v>
      </c>
      <c r="W76" s="4">
        <f>SUM('TOTAL VOLUME'!W76*'Side by Side Amount'!W77)</f>
        <v>159.19999999999999</v>
      </c>
      <c r="X76" s="4">
        <f>SUM('TOTAL VOLUME'!X76*'Side by Side Amount'!X77)</f>
        <v>0</v>
      </c>
      <c r="Y76" s="4">
        <f>SUM('TOTAL VOLUME'!Y76*'Side by Side Amount'!Y77)</f>
        <v>50.860000000000007</v>
      </c>
      <c r="Z76" s="4">
        <f>SUM('TOTAL VOLUME'!Z76*'Side by Side Amount'!Z77)</f>
        <v>330</v>
      </c>
      <c r="AA76" s="4">
        <f>SUM('TOTAL VOLUME'!AA76*'Side by Side Amount'!AA77)</f>
        <v>825.9</v>
      </c>
      <c r="AB76" s="4">
        <f>SUM('TOTAL VOLUME'!AB76*'Side by Side Amount'!AB77)</f>
        <v>321.94999999999993</v>
      </c>
      <c r="AC76" s="4">
        <f>SUM('TOTAL VOLUME'!AC76*'Side by Side Amount'!AC77)</f>
        <v>744.26</v>
      </c>
    </row>
    <row r="77" spans="1:29" ht="12" x14ac:dyDescent="0.2">
      <c r="A77" s="2">
        <v>76</v>
      </c>
      <c r="B77" s="4">
        <f>SUM('TOTAL VOLUME'!B77*'Side by Side Amount'!B78)</f>
        <v>0</v>
      </c>
      <c r="C77" s="4">
        <f>SUM('TOTAL VOLUME'!C77*'Side by Side Amount'!C78)</f>
        <v>0</v>
      </c>
      <c r="D77" s="4">
        <f>SUM('TOTAL VOLUME'!D77*'Side by Side Amount'!D78)</f>
        <v>0</v>
      </c>
      <c r="E77" s="4">
        <f>SUM('TOTAL VOLUME'!E77*'Side by Side Amount'!E78)</f>
        <v>0</v>
      </c>
      <c r="F77" s="4">
        <f>SUM('TOTAL VOLUME'!F77*'Side by Side Amount'!F78)</f>
        <v>0</v>
      </c>
      <c r="G77" s="4">
        <f>SUM('TOTAL VOLUME'!G77*'Side by Side Amount'!G78)</f>
        <v>0</v>
      </c>
      <c r="H77" s="4">
        <f>SUM('TOTAL VOLUME'!H77*'Side by Side Amount'!H78)</f>
        <v>29.239999999999995</v>
      </c>
      <c r="I77" s="4">
        <f>SUM('TOTAL VOLUME'!I77*'Side by Side Amount'!I78)</f>
        <v>0</v>
      </c>
      <c r="J77" s="4">
        <f>SUM('TOTAL VOLUME'!J77*'Side by Side Amount'!J78)</f>
        <v>0</v>
      </c>
      <c r="K77" s="4">
        <f>SUM('TOTAL VOLUME'!K77*'Side by Side Amount'!K78)</f>
        <v>0</v>
      </c>
      <c r="L77" s="4">
        <f>SUM('TOTAL VOLUME'!L77*'Side by Side Amount'!L78)</f>
        <v>23.569999999999993</v>
      </c>
      <c r="M77" s="4">
        <f>SUM('TOTAL VOLUME'!M77*'Side by Side Amount'!M78)</f>
        <v>0</v>
      </c>
      <c r="N77" s="4">
        <f>SUM('TOTAL VOLUME'!N77*'Side by Side Amount'!N78)</f>
        <v>0</v>
      </c>
      <c r="O77" s="4">
        <f>SUM('TOTAL VOLUME'!O77*'Side by Side Amount'!O78)</f>
        <v>0</v>
      </c>
      <c r="P77" s="4">
        <f>SUM('TOTAL VOLUME'!P77*'Side by Side Amount'!P78)</f>
        <v>33.599999999999994</v>
      </c>
      <c r="Q77" s="4">
        <f>SUM('TOTAL VOLUME'!Q77*'Side by Side Amount'!Q78)</f>
        <v>15.559999999999995</v>
      </c>
      <c r="R77" s="4">
        <f>SUM('TOTAL VOLUME'!R77*'Side by Side Amount'!R78)</f>
        <v>17.519999999999996</v>
      </c>
      <c r="S77" s="4">
        <f>SUM('TOTAL VOLUME'!S77*'Side by Side Amount'!S78)</f>
        <v>37.590000000000003</v>
      </c>
      <c r="T77" s="4">
        <f>SUM('TOTAL VOLUME'!T77*'Side by Side Amount'!T78)</f>
        <v>110.5</v>
      </c>
      <c r="U77" s="4">
        <f>SUM('TOTAL VOLUME'!U77*'Side by Side Amount'!U78)</f>
        <v>52.5</v>
      </c>
      <c r="V77" s="4">
        <f>SUM('TOTAL VOLUME'!V77*'Side by Side Amount'!V78)</f>
        <v>166.8</v>
      </c>
      <c r="W77" s="4">
        <f>SUM('TOTAL VOLUME'!W77*'Side by Side Amount'!W78)</f>
        <v>41.86</v>
      </c>
      <c r="X77" s="4">
        <f>SUM('TOTAL VOLUME'!X77*'Side by Side Amount'!X78)</f>
        <v>30.330000000000002</v>
      </c>
      <c r="Y77" s="4">
        <f>SUM('TOTAL VOLUME'!Y77*'Side by Side Amount'!Y78)</f>
        <v>255.70000000000005</v>
      </c>
      <c r="Z77" s="4">
        <f>SUM('TOTAL VOLUME'!Z77*'Side by Side Amount'!Z78)</f>
        <v>221.92000000000002</v>
      </c>
      <c r="AA77" s="4">
        <f>SUM('TOTAL VOLUME'!AA77*'Side by Side Amount'!AA78)</f>
        <v>0</v>
      </c>
      <c r="AB77" s="4">
        <f>SUM('TOTAL VOLUME'!AB77*'Side by Side Amount'!AB78)</f>
        <v>132.19999999999999</v>
      </c>
      <c r="AC77" s="4">
        <f>SUM('TOTAL VOLUME'!AC77*'Side by Side Amount'!AC78)</f>
        <v>812.87999999999988</v>
      </c>
    </row>
    <row r="78" spans="1:29" ht="12" x14ac:dyDescent="0.2">
      <c r="A78" s="2">
        <v>77</v>
      </c>
      <c r="B78" s="4">
        <f>SUM('TOTAL VOLUME'!B78*'Side by Side Amount'!B79)</f>
        <v>0</v>
      </c>
      <c r="C78" s="4">
        <f>SUM('TOTAL VOLUME'!C78*'Side by Side Amount'!C79)</f>
        <v>0</v>
      </c>
      <c r="D78" s="4">
        <f>SUM('TOTAL VOLUME'!D78*'Side by Side Amount'!D79)</f>
        <v>0</v>
      </c>
      <c r="E78" s="4">
        <f>SUM('TOTAL VOLUME'!E78*'Side by Side Amount'!E79)</f>
        <v>0</v>
      </c>
      <c r="F78" s="4">
        <f>SUM('TOTAL VOLUME'!F78*'Side by Side Amount'!F79)</f>
        <v>0</v>
      </c>
      <c r="G78" s="4">
        <f>SUM('TOTAL VOLUME'!G78*'Side by Side Amount'!G79)</f>
        <v>0</v>
      </c>
      <c r="H78" s="4">
        <f>SUM('TOTAL VOLUME'!H78*'Side by Side Amount'!H79)</f>
        <v>0</v>
      </c>
      <c r="I78" s="4">
        <f>SUM('TOTAL VOLUME'!I78*'Side by Side Amount'!I79)</f>
        <v>0</v>
      </c>
      <c r="J78" s="4">
        <f>SUM('TOTAL VOLUME'!J78*'Side by Side Amount'!J79)</f>
        <v>0</v>
      </c>
      <c r="K78" s="4">
        <f>SUM('TOTAL VOLUME'!K78*'Side by Side Amount'!K79)</f>
        <v>0</v>
      </c>
      <c r="L78" s="4">
        <f>SUM('TOTAL VOLUME'!L78*'Side by Side Amount'!L79)</f>
        <v>0</v>
      </c>
      <c r="M78" s="4">
        <f>SUM('TOTAL VOLUME'!M78*'Side by Side Amount'!M79)</f>
        <v>0</v>
      </c>
      <c r="N78" s="4">
        <f>SUM('TOTAL VOLUME'!N78*'Side by Side Amount'!N79)</f>
        <v>0</v>
      </c>
      <c r="O78" s="4">
        <f>SUM('TOTAL VOLUME'!O78*'Side by Side Amount'!O79)</f>
        <v>0</v>
      </c>
      <c r="P78" s="4">
        <f>SUM('TOTAL VOLUME'!P78*'Side by Side Amount'!P79)</f>
        <v>0</v>
      </c>
      <c r="Q78" s="4">
        <f>SUM('TOTAL VOLUME'!Q78*'Side by Side Amount'!Q79)</f>
        <v>0</v>
      </c>
      <c r="R78" s="4">
        <f>SUM('TOTAL VOLUME'!R78*'Side by Side Amount'!R79)</f>
        <v>0</v>
      </c>
      <c r="S78" s="4">
        <f>SUM('TOTAL VOLUME'!S78*'Side by Side Amount'!S79)</f>
        <v>0</v>
      </c>
      <c r="T78" s="4">
        <f>SUM('TOTAL VOLUME'!T78*'Side by Side Amount'!T79)</f>
        <v>0</v>
      </c>
      <c r="U78" s="4">
        <f>SUM('TOTAL VOLUME'!U78*'Side by Side Amount'!U79)</f>
        <v>0</v>
      </c>
      <c r="V78" s="4">
        <f>SUM('TOTAL VOLUME'!V78*'Side by Side Amount'!V79)</f>
        <v>0</v>
      </c>
      <c r="W78" s="4">
        <f>SUM('TOTAL VOLUME'!W78*'Side by Side Amount'!W79)</f>
        <v>0</v>
      </c>
      <c r="X78" s="4">
        <f>SUM('TOTAL VOLUME'!X78*'Side by Side Amount'!X79)</f>
        <v>0</v>
      </c>
      <c r="Y78" s="4">
        <f>SUM('TOTAL VOLUME'!Y78*'Side by Side Amount'!Y79)</f>
        <v>0</v>
      </c>
      <c r="Z78" s="4">
        <f>SUM('TOTAL VOLUME'!Z78*'Side by Side Amount'!Z79)</f>
        <v>0</v>
      </c>
      <c r="AA78" s="4">
        <f>SUM('TOTAL VOLUME'!AA78*'Side by Side Amount'!AA79)</f>
        <v>0</v>
      </c>
      <c r="AB78" s="4">
        <f>SUM('TOTAL VOLUME'!AB78*'Side by Side Amount'!AB79)</f>
        <v>0</v>
      </c>
      <c r="AC78" s="4">
        <f>SUM('TOTAL VOLUME'!AC78*'Side by Side Amount'!AC79)</f>
        <v>0</v>
      </c>
    </row>
    <row r="79" spans="1:29" ht="12" x14ac:dyDescent="0.2">
      <c r="A79" s="2">
        <v>78</v>
      </c>
      <c r="B79" s="4">
        <f>SUM('TOTAL VOLUME'!B79*'Side by Side Amount'!B80)</f>
        <v>0</v>
      </c>
      <c r="C79" s="4">
        <f>SUM('TOTAL VOLUME'!C79*'Side by Side Amount'!C80)</f>
        <v>0</v>
      </c>
      <c r="D79" s="4">
        <f>SUM('TOTAL VOLUME'!D79*'Side by Side Amount'!D80)</f>
        <v>0</v>
      </c>
      <c r="E79" s="4">
        <f>SUM('TOTAL VOLUME'!E79*'Side by Side Amount'!E80)</f>
        <v>0</v>
      </c>
      <c r="F79" s="4">
        <f>SUM('TOTAL VOLUME'!F79*'Side by Side Amount'!F80)</f>
        <v>0</v>
      </c>
      <c r="G79" s="4">
        <f>SUM('TOTAL VOLUME'!G79*'Side by Side Amount'!G80)</f>
        <v>0</v>
      </c>
      <c r="H79" s="4">
        <f>SUM('TOTAL VOLUME'!H79*'Side by Side Amount'!H80)</f>
        <v>64.580000000000013</v>
      </c>
      <c r="I79" s="4">
        <f>SUM('TOTAL VOLUME'!I79*'Side by Side Amount'!I80)</f>
        <v>0</v>
      </c>
      <c r="J79" s="4">
        <f>SUM('TOTAL VOLUME'!J79*'Side by Side Amount'!J80)</f>
        <v>0</v>
      </c>
      <c r="K79" s="4">
        <f>SUM('TOTAL VOLUME'!K79*'Side by Side Amount'!K80)</f>
        <v>0</v>
      </c>
      <c r="L79" s="4">
        <f>SUM('TOTAL VOLUME'!L79*'Side by Side Amount'!L80)</f>
        <v>0</v>
      </c>
      <c r="M79" s="4">
        <f>SUM('TOTAL VOLUME'!M79*'Side by Side Amount'!M80)</f>
        <v>0</v>
      </c>
      <c r="N79" s="4">
        <f>SUM('TOTAL VOLUME'!N79*'Side by Side Amount'!N80)</f>
        <v>0</v>
      </c>
      <c r="O79" s="4">
        <f>SUM('TOTAL VOLUME'!O79*'Side by Side Amount'!O80)</f>
        <v>0</v>
      </c>
      <c r="P79" s="4">
        <f>SUM('TOTAL VOLUME'!P79*'Side by Side Amount'!P80)</f>
        <v>14.039999999999992</v>
      </c>
      <c r="Q79" s="4">
        <f>SUM('TOTAL VOLUME'!Q79*'Side by Side Amount'!Q80)</f>
        <v>8.1799999999999962</v>
      </c>
      <c r="R79" s="4">
        <f>SUM('TOTAL VOLUME'!R79*'Side by Side Amount'!R80)</f>
        <v>22.85</v>
      </c>
      <c r="S79" s="4">
        <f>SUM('TOTAL VOLUME'!S79*'Side by Side Amount'!S80)</f>
        <v>49.140000000000008</v>
      </c>
      <c r="T79" s="4">
        <f>SUM('TOTAL VOLUME'!T79*'Side by Side Amount'!T80)</f>
        <v>32.85</v>
      </c>
      <c r="U79" s="4">
        <f>SUM('TOTAL VOLUME'!U79*'Side by Side Amount'!U80)</f>
        <v>15.520000000000003</v>
      </c>
      <c r="V79" s="4">
        <f>SUM('TOTAL VOLUME'!V79*'Side by Side Amount'!V80)</f>
        <v>91.850000000000023</v>
      </c>
      <c r="W79" s="4">
        <f>SUM('TOTAL VOLUME'!W79*'Side by Side Amount'!W80)</f>
        <v>105.60000000000001</v>
      </c>
      <c r="X79" s="4">
        <f>SUM('TOTAL VOLUME'!X79*'Side by Side Amount'!X80)</f>
        <v>0</v>
      </c>
      <c r="Y79" s="4">
        <f>SUM('TOTAL VOLUME'!Y79*'Side by Side Amount'!Y80)</f>
        <v>53.219999999999992</v>
      </c>
      <c r="Z79" s="4">
        <f>SUM('TOTAL VOLUME'!Z79*'Side by Side Amount'!Z80)</f>
        <v>287.45</v>
      </c>
      <c r="AA79" s="4">
        <f>SUM('TOTAL VOLUME'!AA79*'Side by Side Amount'!AA80)</f>
        <v>177.83999999999997</v>
      </c>
      <c r="AB79" s="4">
        <f>SUM('TOTAL VOLUME'!AB79*'Side by Side Amount'!AB80)</f>
        <v>0</v>
      </c>
      <c r="AC79" s="4">
        <f>SUM('TOTAL VOLUME'!AC79*'Side by Side Amount'!AC80)</f>
        <v>407.46</v>
      </c>
    </row>
    <row r="80" spans="1:29" ht="12" x14ac:dyDescent="0.2">
      <c r="A80" s="2">
        <v>79</v>
      </c>
      <c r="B80" s="4">
        <f>SUM('TOTAL VOLUME'!B80*'Side by Side Amount'!B81)</f>
        <v>0</v>
      </c>
      <c r="C80" s="4">
        <f>SUM('TOTAL VOLUME'!C80*'Side by Side Amount'!C81)</f>
        <v>0</v>
      </c>
      <c r="D80" s="4">
        <f>SUM('TOTAL VOLUME'!D80*'Side by Side Amount'!D81)</f>
        <v>0</v>
      </c>
      <c r="E80" s="4">
        <f>SUM('TOTAL VOLUME'!E80*'Side by Side Amount'!E81)</f>
        <v>0</v>
      </c>
      <c r="F80" s="4">
        <f>SUM('TOTAL VOLUME'!F80*'Side by Side Amount'!F81)</f>
        <v>28.03</v>
      </c>
      <c r="G80" s="4">
        <f>SUM('TOTAL VOLUME'!G80*'Side by Side Amount'!G81)</f>
        <v>0</v>
      </c>
      <c r="H80" s="4">
        <f>SUM('TOTAL VOLUME'!H80*'Side by Side Amount'!H81)</f>
        <v>32.510000000000005</v>
      </c>
      <c r="I80" s="4">
        <f>SUM('TOTAL VOLUME'!I80*'Side by Side Amount'!I81)</f>
        <v>0</v>
      </c>
      <c r="J80" s="4">
        <f>SUM('TOTAL VOLUME'!J80*'Side by Side Amount'!J81)</f>
        <v>0</v>
      </c>
      <c r="K80" s="4">
        <f>SUM('TOTAL VOLUME'!K80*'Side by Side Amount'!K81)</f>
        <v>0</v>
      </c>
      <c r="L80" s="4">
        <f>SUM('TOTAL VOLUME'!L80*'Side by Side Amount'!L81)</f>
        <v>0</v>
      </c>
      <c r="M80" s="4">
        <f>SUM('TOTAL VOLUME'!M80*'Side by Side Amount'!M81)</f>
        <v>0</v>
      </c>
      <c r="N80" s="4">
        <f>SUM('TOTAL VOLUME'!N80*'Side by Side Amount'!N81)</f>
        <v>0</v>
      </c>
      <c r="O80" s="4">
        <f>SUM('TOTAL VOLUME'!O80*'Side by Side Amount'!O81)</f>
        <v>0</v>
      </c>
      <c r="P80" s="4">
        <f>SUM('TOTAL VOLUME'!P80*'Side by Side Amount'!P81)</f>
        <v>18.349999999999991</v>
      </c>
      <c r="Q80" s="4">
        <f>SUM('TOTAL VOLUME'!Q80*'Side by Side Amount'!Q81)</f>
        <v>0</v>
      </c>
      <c r="R80" s="4">
        <f>SUM('TOTAL VOLUME'!R80*'Side by Side Amount'!R81)</f>
        <v>28.019999999999989</v>
      </c>
      <c r="S80" s="4">
        <f>SUM('TOTAL VOLUME'!S80*'Side by Side Amount'!S81)</f>
        <v>44.400000000000006</v>
      </c>
      <c r="T80" s="4">
        <f>SUM('TOTAL VOLUME'!T80*'Side by Side Amount'!T81)</f>
        <v>87.230000000000018</v>
      </c>
      <c r="U80" s="4">
        <f>SUM('TOTAL VOLUME'!U80*'Side by Side Amount'!U81)</f>
        <v>31.52000000000001</v>
      </c>
      <c r="V80" s="4">
        <f>SUM('TOTAL VOLUME'!V80*'Side by Side Amount'!V81)</f>
        <v>109.97999999999996</v>
      </c>
      <c r="W80" s="4">
        <f>SUM('TOTAL VOLUME'!W80*'Side by Side Amount'!W81)</f>
        <v>190.98</v>
      </c>
      <c r="X80" s="4">
        <f>SUM('TOTAL VOLUME'!X80*'Side by Side Amount'!X81)</f>
        <v>31.54</v>
      </c>
      <c r="Y80" s="4">
        <f>SUM('TOTAL VOLUME'!Y80*'Side by Side Amount'!Y81)</f>
        <v>106.80000000000001</v>
      </c>
      <c r="Z80" s="4">
        <f>SUM('TOTAL VOLUME'!Z80*'Side by Side Amount'!Z81)</f>
        <v>0</v>
      </c>
      <c r="AA80" s="4">
        <f>SUM('TOTAL VOLUME'!AA80*'Side by Side Amount'!AA81)</f>
        <v>360.90000000000003</v>
      </c>
      <c r="AB80" s="4">
        <f>SUM('TOTAL VOLUME'!AB80*'Side by Side Amount'!AB81)</f>
        <v>206.34</v>
      </c>
      <c r="AC80" s="4">
        <f>SUM('TOTAL VOLUME'!AC80*'Side by Side Amount'!AC81)</f>
        <v>894.91999999999985</v>
      </c>
    </row>
    <row r="81" spans="1:29" ht="12" x14ac:dyDescent="0.2">
      <c r="A81" s="2">
        <v>80</v>
      </c>
      <c r="B81" s="4">
        <f>SUM('TOTAL VOLUME'!B81*'Side by Side Amount'!B82)</f>
        <v>0</v>
      </c>
      <c r="C81" s="4">
        <f>SUM('TOTAL VOLUME'!C81*'Side by Side Amount'!C82)</f>
        <v>0</v>
      </c>
      <c r="D81" s="4">
        <f>SUM('TOTAL VOLUME'!D81*'Side by Side Amount'!D82)</f>
        <v>11.260000000000005</v>
      </c>
      <c r="E81" s="4">
        <f>SUM('TOTAL VOLUME'!E81*'Side by Side Amount'!E82)</f>
        <v>0</v>
      </c>
      <c r="F81" s="4">
        <f>SUM('TOTAL VOLUME'!F81*'Side by Side Amount'!F82)</f>
        <v>29.560000000000002</v>
      </c>
      <c r="G81" s="4">
        <f>SUM('TOTAL VOLUME'!G81*'Side by Side Amount'!G82)</f>
        <v>0</v>
      </c>
      <c r="H81" s="4">
        <f>SUM('TOTAL VOLUME'!H81*'Side by Side Amount'!H82)</f>
        <v>0</v>
      </c>
      <c r="I81" s="4">
        <f>SUM('TOTAL VOLUME'!I81*'Side by Side Amount'!I82)</f>
        <v>0</v>
      </c>
      <c r="J81" s="4">
        <f>SUM('TOTAL VOLUME'!J81*'Side by Side Amount'!J82)</f>
        <v>0</v>
      </c>
      <c r="K81" s="4">
        <f>SUM('TOTAL VOLUME'!K81*'Side by Side Amount'!K82)</f>
        <v>0</v>
      </c>
      <c r="L81" s="4">
        <f>SUM('TOTAL VOLUME'!L81*'Side by Side Amount'!L82)</f>
        <v>0</v>
      </c>
      <c r="M81" s="4">
        <f>SUM('TOTAL VOLUME'!M81*'Side by Side Amount'!M82)</f>
        <v>0</v>
      </c>
      <c r="N81" s="4">
        <f>SUM('TOTAL VOLUME'!N81*'Side by Side Amount'!N82)</f>
        <v>0</v>
      </c>
      <c r="O81" s="4">
        <f>SUM('TOTAL VOLUME'!O81*'Side by Side Amount'!O82)</f>
        <v>47.570000000000007</v>
      </c>
      <c r="P81" s="4">
        <f>SUM('TOTAL VOLUME'!P81*'Side by Side Amount'!P82)</f>
        <v>150.39999999999998</v>
      </c>
      <c r="Q81" s="4">
        <f>SUM('TOTAL VOLUME'!Q81*'Side by Side Amount'!Q82)</f>
        <v>26.099999999999998</v>
      </c>
      <c r="R81" s="4">
        <f>SUM('TOTAL VOLUME'!R81*'Side by Side Amount'!R82)</f>
        <v>23.550000000000004</v>
      </c>
      <c r="S81" s="4">
        <f>SUM('TOTAL VOLUME'!S81*'Side by Side Amount'!S82)</f>
        <v>51.12</v>
      </c>
      <c r="T81" s="4">
        <f>SUM('TOTAL VOLUME'!T81*'Side by Side Amount'!T82)</f>
        <v>122.76</v>
      </c>
      <c r="U81" s="4">
        <f>SUM('TOTAL VOLUME'!U81*'Side by Side Amount'!U82)</f>
        <v>48</v>
      </c>
      <c r="V81" s="4">
        <f>SUM('TOTAL VOLUME'!V81*'Side by Side Amount'!V82)</f>
        <v>170.40000000000006</v>
      </c>
      <c r="W81" s="4">
        <f>SUM('TOTAL VOLUME'!W81*'Side by Side Amount'!W82)</f>
        <v>0</v>
      </c>
      <c r="X81" s="4">
        <f>SUM('TOTAL VOLUME'!X81*'Side by Side Amount'!X82)</f>
        <v>0</v>
      </c>
      <c r="Y81" s="4">
        <f>SUM('TOTAL VOLUME'!Y81*'Side by Side Amount'!Y82)</f>
        <v>0</v>
      </c>
      <c r="Z81" s="4">
        <f>SUM('TOTAL VOLUME'!Z81*'Side by Side Amount'!Z82)</f>
        <v>58.54</v>
      </c>
      <c r="AA81" s="4">
        <f>SUM('TOTAL VOLUME'!AA81*'Side by Side Amount'!AA82)</f>
        <v>60.320000000000007</v>
      </c>
      <c r="AB81" s="4">
        <f>SUM('TOTAL VOLUME'!AB81*'Side by Side Amount'!AB82)</f>
        <v>0</v>
      </c>
      <c r="AC81" s="4">
        <f>SUM('TOTAL VOLUME'!AC81*'Side by Side Amount'!AC82)</f>
        <v>138.26</v>
      </c>
    </row>
    <row r="82" spans="1:29" ht="12" x14ac:dyDescent="0.2">
      <c r="A82" s="2">
        <v>81</v>
      </c>
      <c r="B82" s="4">
        <f>SUM('TOTAL VOLUME'!B82*'Side by Side Amount'!B83)</f>
        <v>8.019999999999996</v>
      </c>
      <c r="C82" s="4">
        <f>SUM('TOTAL VOLUME'!C82*'Side by Side Amount'!C83)</f>
        <v>0</v>
      </c>
      <c r="D82" s="4">
        <f>SUM('TOTAL VOLUME'!D82*'Side by Side Amount'!D83)</f>
        <v>0</v>
      </c>
      <c r="E82" s="4">
        <f>SUM('TOTAL VOLUME'!E82*'Side by Side Amount'!E83)</f>
        <v>35.279999999999987</v>
      </c>
      <c r="F82" s="4">
        <f>SUM('TOTAL VOLUME'!F82*'Side by Side Amount'!F83)</f>
        <v>0</v>
      </c>
      <c r="G82" s="4">
        <f>SUM('TOTAL VOLUME'!G82*'Side by Side Amount'!G83)</f>
        <v>0</v>
      </c>
      <c r="H82" s="4">
        <f>SUM('TOTAL VOLUME'!H82*'Side by Side Amount'!H83)</f>
        <v>0</v>
      </c>
      <c r="I82" s="4">
        <f>SUM('TOTAL VOLUME'!I82*'Side by Side Amount'!I83)</f>
        <v>0</v>
      </c>
      <c r="J82" s="4">
        <f>SUM('TOTAL VOLUME'!J82*'Side by Side Amount'!J83)</f>
        <v>0</v>
      </c>
      <c r="K82" s="4">
        <f>SUM('TOTAL VOLUME'!K82*'Side by Side Amount'!K83)</f>
        <v>0</v>
      </c>
      <c r="L82" s="4">
        <f>SUM('TOTAL VOLUME'!L82*'Side by Side Amount'!L83)</f>
        <v>0</v>
      </c>
      <c r="M82" s="4">
        <f>SUM('TOTAL VOLUME'!M82*'Side by Side Amount'!M83)</f>
        <v>0</v>
      </c>
      <c r="N82" s="4">
        <f>SUM('TOTAL VOLUME'!N82*'Side by Side Amount'!N83)</f>
        <v>0</v>
      </c>
      <c r="O82" s="4">
        <f>SUM('TOTAL VOLUME'!O82*'Side by Side Amount'!O83)</f>
        <v>0</v>
      </c>
      <c r="P82" s="4">
        <f>SUM('TOTAL VOLUME'!P82*'Side by Side Amount'!P83)</f>
        <v>19.250000000000007</v>
      </c>
      <c r="Q82" s="4">
        <f>SUM('TOTAL VOLUME'!Q82*'Side by Side Amount'!Q83)</f>
        <v>8.7799999999999976</v>
      </c>
      <c r="R82" s="4">
        <f>SUM('TOTAL VOLUME'!R82*'Side by Side Amount'!R83)</f>
        <v>24.150000000000009</v>
      </c>
      <c r="S82" s="4">
        <f>SUM('TOTAL VOLUME'!S82*'Side by Side Amount'!S83)</f>
        <v>34.319999999999993</v>
      </c>
      <c r="T82" s="4">
        <f>SUM('TOTAL VOLUME'!T82*'Side by Side Amount'!T83)</f>
        <v>172.75</v>
      </c>
      <c r="U82" s="4">
        <f>SUM('TOTAL VOLUME'!U82*'Side by Side Amount'!U83)</f>
        <v>16.079999999999998</v>
      </c>
      <c r="V82" s="4">
        <f>SUM('TOTAL VOLUME'!V82*'Side by Side Amount'!V83)</f>
        <v>85.5</v>
      </c>
      <c r="W82" s="4">
        <f>SUM('TOTAL VOLUME'!W82*'Side by Side Amount'!W83)</f>
        <v>22.459999999999997</v>
      </c>
      <c r="X82" s="4">
        <f>SUM('TOTAL VOLUME'!X82*'Side by Side Amount'!X83)</f>
        <v>64.679999999999993</v>
      </c>
      <c r="Y82" s="4">
        <f>SUM('TOTAL VOLUME'!Y82*'Side by Side Amount'!Y83)</f>
        <v>0</v>
      </c>
      <c r="Z82" s="4">
        <f>SUM('TOTAL VOLUME'!Z82*'Side by Side Amount'!Z83)</f>
        <v>0</v>
      </c>
      <c r="AA82" s="4">
        <f>SUM('TOTAL VOLUME'!AA82*'Side by Side Amount'!AA83)</f>
        <v>381.18000000000006</v>
      </c>
      <c r="AB82" s="4">
        <f>SUM('TOTAL VOLUME'!AB82*'Side by Side Amount'!AB83)</f>
        <v>70.819999999999993</v>
      </c>
      <c r="AC82" s="4">
        <f>SUM('TOTAL VOLUME'!AC82*'Side by Side Amount'!AC83)</f>
        <v>142.08000000000001</v>
      </c>
    </row>
    <row r="83" spans="1:29" ht="12" x14ac:dyDescent="0.2">
      <c r="A83" s="2">
        <v>82</v>
      </c>
      <c r="B83" s="4">
        <f>SUM('TOTAL VOLUME'!B83*'Side by Side Amount'!B84)</f>
        <v>0</v>
      </c>
      <c r="C83" s="4">
        <f>SUM('TOTAL VOLUME'!C83*'Side by Side Amount'!C84)</f>
        <v>0</v>
      </c>
      <c r="D83" s="4">
        <f>SUM('TOTAL VOLUME'!D83*'Side by Side Amount'!D84)</f>
        <v>0</v>
      </c>
      <c r="E83" s="4">
        <f>SUM('TOTAL VOLUME'!E83*'Side by Side Amount'!E84)</f>
        <v>17.689999999999998</v>
      </c>
      <c r="F83" s="4">
        <f>SUM('TOTAL VOLUME'!F83*'Side by Side Amount'!F84)</f>
        <v>0</v>
      </c>
      <c r="G83" s="4">
        <f>SUM('TOTAL VOLUME'!G83*'Side by Side Amount'!G84)</f>
        <v>0</v>
      </c>
      <c r="H83" s="4">
        <f>SUM('TOTAL VOLUME'!H83*'Side by Side Amount'!H84)</f>
        <v>0</v>
      </c>
      <c r="I83" s="4">
        <f>SUM('TOTAL VOLUME'!I83*'Side by Side Amount'!I84)</f>
        <v>0</v>
      </c>
      <c r="J83" s="4">
        <f>SUM('TOTAL VOLUME'!J83*'Side by Side Amount'!J84)</f>
        <v>0</v>
      </c>
      <c r="K83" s="4">
        <f>SUM('TOTAL VOLUME'!K83*'Side by Side Amount'!K84)</f>
        <v>0</v>
      </c>
      <c r="L83" s="4">
        <f>SUM('TOTAL VOLUME'!L83*'Side by Side Amount'!L84)</f>
        <v>0</v>
      </c>
      <c r="M83" s="4">
        <f>SUM('TOTAL VOLUME'!M83*'Side by Side Amount'!M84)</f>
        <v>0</v>
      </c>
      <c r="N83" s="4">
        <f>SUM('TOTAL VOLUME'!N83*'Side by Side Amount'!N84)</f>
        <v>0</v>
      </c>
      <c r="O83" s="4">
        <f>SUM('TOTAL VOLUME'!O83*'Side by Side Amount'!O84)</f>
        <v>0</v>
      </c>
      <c r="P83" s="4">
        <f>SUM('TOTAL VOLUME'!P83*'Side by Side Amount'!P84)</f>
        <v>23.820000000000014</v>
      </c>
      <c r="Q83" s="4">
        <f>SUM('TOTAL VOLUME'!Q83*'Side by Side Amount'!Q84)</f>
        <v>0</v>
      </c>
      <c r="R83" s="4">
        <f>SUM('TOTAL VOLUME'!R83*'Side by Side Amount'!R84)</f>
        <v>15.119999999999997</v>
      </c>
      <c r="S83" s="4">
        <f>SUM('TOTAL VOLUME'!S83*'Side by Side Amount'!S84)</f>
        <v>11.68</v>
      </c>
      <c r="T83" s="4">
        <f>SUM('TOTAL VOLUME'!T83*'Side by Side Amount'!T84)</f>
        <v>34.65</v>
      </c>
      <c r="U83" s="4">
        <f>SUM('TOTAL VOLUME'!U83*'Side by Side Amount'!U84)</f>
        <v>8.240000000000002</v>
      </c>
      <c r="V83" s="4">
        <f>SUM('TOTAL VOLUME'!V83*'Side by Side Amount'!V84)</f>
        <v>69.52000000000001</v>
      </c>
      <c r="W83" s="4">
        <f>SUM('TOTAL VOLUME'!W83*'Side by Side Amount'!W84)</f>
        <v>0</v>
      </c>
      <c r="X83" s="4">
        <f>SUM('TOTAL VOLUME'!X83*'Side by Side Amount'!X84)</f>
        <v>0</v>
      </c>
      <c r="Y83" s="4">
        <f>SUM('TOTAL VOLUME'!Y83*'Side by Side Amount'!Y84)</f>
        <v>0</v>
      </c>
      <c r="Z83" s="4">
        <f>SUM('TOTAL VOLUME'!Z83*'Side by Side Amount'!Z84)</f>
        <v>0</v>
      </c>
      <c r="AA83" s="4">
        <f>SUM('TOTAL VOLUME'!AA83*'Side by Side Amount'!AA84)</f>
        <v>0</v>
      </c>
      <c r="AB83" s="4">
        <f>SUM('TOTAL VOLUME'!AB83*'Side by Side Amount'!AB84)</f>
        <v>0</v>
      </c>
      <c r="AC83" s="4">
        <f>SUM('TOTAL VOLUME'!AC83*'Side by Side Amount'!AC84)</f>
        <v>71.220000000000013</v>
      </c>
    </row>
    <row r="84" spans="1:29" ht="12" x14ac:dyDescent="0.2">
      <c r="A84" s="2">
        <v>83</v>
      </c>
      <c r="B84" s="4">
        <f>SUM('TOTAL VOLUME'!B84*'Side by Side Amount'!B85)</f>
        <v>0</v>
      </c>
      <c r="C84" s="4">
        <f>SUM('TOTAL VOLUME'!C84*'Side by Side Amount'!C85)</f>
        <v>0</v>
      </c>
      <c r="D84" s="4">
        <f>SUM('TOTAL VOLUME'!D84*'Side by Side Amount'!D85)</f>
        <v>0</v>
      </c>
      <c r="E84" s="4">
        <f>SUM('TOTAL VOLUME'!E84*'Side by Side Amount'!E85)</f>
        <v>0</v>
      </c>
      <c r="F84" s="4">
        <f>SUM('TOTAL VOLUME'!F84*'Side by Side Amount'!F85)</f>
        <v>30.239999999999995</v>
      </c>
      <c r="G84" s="4">
        <f>SUM('TOTAL VOLUME'!G84*'Side by Side Amount'!G85)</f>
        <v>0</v>
      </c>
      <c r="H84" s="4">
        <f>SUM('TOTAL VOLUME'!H84*'Side by Side Amount'!H85)</f>
        <v>32.900000000000006</v>
      </c>
      <c r="I84" s="4">
        <f>SUM('TOTAL VOLUME'!I84*'Side by Side Amount'!I85)</f>
        <v>0</v>
      </c>
      <c r="J84" s="4">
        <f>SUM('TOTAL VOLUME'!J84*'Side by Side Amount'!J85)</f>
        <v>0</v>
      </c>
      <c r="K84" s="4">
        <f>SUM('TOTAL VOLUME'!K84*'Side by Side Amount'!K85)</f>
        <v>0</v>
      </c>
      <c r="L84" s="4">
        <f>SUM('TOTAL VOLUME'!L84*'Side by Side Amount'!L85)</f>
        <v>0</v>
      </c>
      <c r="M84" s="4">
        <f>SUM('TOTAL VOLUME'!M84*'Side by Side Amount'!M85)</f>
        <v>0</v>
      </c>
      <c r="N84" s="4">
        <f>SUM('TOTAL VOLUME'!N84*'Side by Side Amount'!N85)</f>
        <v>0</v>
      </c>
      <c r="O84" s="4">
        <f>SUM('TOTAL VOLUME'!O84*'Side by Side Amount'!O85)</f>
        <v>0</v>
      </c>
      <c r="P84" s="4">
        <f>SUM('TOTAL VOLUME'!P84*'Side by Side Amount'!P85)</f>
        <v>23.880000000000003</v>
      </c>
      <c r="Q84" s="4">
        <f>SUM('TOTAL VOLUME'!Q84*'Side by Side Amount'!Q85)</f>
        <v>13.470000000000006</v>
      </c>
      <c r="R84" s="4">
        <f>SUM('TOTAL VOLUME'!R84*'Side by Side Amount'!R85)</f>
        <v>25.250000000000004</v>
      </c>
      <c r="S84" s="4">
        <f>SUM('TOTAL VOLUME'!S84*'Side by Side Amount'!S85)</f>
        <v>41.019999999999996</v>
      </c>
      <c r="T84" s="4">
        <f>SUM('TOTAL VOLUME'!T84*'Side by Side Amount'!T85)</f>
        <v>34.750000000000014</v>
      </c>
      <c r="U84" s="4">
        <f>SUM('TOTAL VOLUME'!U84*'Side by Side Amount'!U85)</f>
        <v>0</v>
      </c>
      <c r="V84" s="4">
        <f>SUM('TOTAL VOLUME'!V84*'Side by Side Amount'!V85)</f>
        <v>97.130000000000024</v>
      </c>
      <c r="W84" s="4">
        <f>SUM('TOTAL VOLUME'!W84*'Side by Side Amount'!W85)</f>
        <v>0</v>
      </c>
      <c r="X84" s="4">
        <f>SUM('TOTAL VOLUME'!X84*'Side by Side Amount'!X85)</f>
        <v>0</v>
      </c>
      <c r="Y84" s="4">
        <f>SUM('TOTAL VOLUME'!Y84*'Side by Side Amount'!Y85)</f>
        <v>0</v>
      </c>
      <c r="Z84" s="4">
        <f>SUM('TOTAL VOLUME'!Z84*'Side by Side Amount'!Z85)</f>
        <v>62.559999999999995</v>
      </c>
      <c r="AA84" s="4">
        <f>SUM('TOTAL VOLUME'!AA84*'Side by Side Amount'!AA85)</f>
        <v>63.94</v>
      </c>
      <c r="AB84" s="4">
        <f>SUM('TOTAL VOLUME'!AB84*'Side by Side Amount'!AB85)</f>
        <v>142.16000000000003</v>
      </c>
      <c r="AC84" s="4">
        <f>SUM('TOTAL VOLUME'!AC84*'Side by Side Amount'!AC85)</f>
        <v>213.92999999999995</v>
      </c>
    </row>
    <row r="85" spans="1:29" ht="12" x14ac:dyDescent="0.2">
      <c r="A85" s="2">
        <v>84</v>
      </c>
      <c r="B85" s="4">
        <f>SUM('TOTAL VOLUME'!B85*'Side by Side Amount'!B86)</f>
        <v>8.2800000000000011</v>
      </c>
      <c r="C85" s="4">
        <f>SUM('TOTAL VOLUME'!C85*'Side by Side Amount'!C86)</f>
        <v>0</v>
      </c>
      <c r="D85" s="4">
        <f>SUM('TOTAL VOLUME'!D85*'Side by Side Amount'!D86)</f>
        <v>0</v>
      </c>
      <c r="E85" s="4">
        <f>SUM('TOTAL VOLUME'!E85*'Side by Side Amount'!E86)</f>
        <v>0</v>
      </c>
      <c r="F85" s="4">
        <f>SUM('TOTAL VOLUME'!F85*'Side by Side Amount'!F86)</f>
        <v>0</v>
      </c>
      <c r="G85" s="4">
        <f>SUM('TOTAL VOLUME'!G85*'Side by Side Amount'!G86)</f>
        <v>0</v>
      </c>
      <c r="H85" s="4">
        <f>SUM('TOTAL VOLUME'!H85*'Side by Side Amount'!H86)</f>
        <v>33.449999999999989</v>
      </c>
      <c r="I85" s="4">
        <f>SUM('TOTAL VOLUME'!I85*'Side by Side Amount'!I86)</f>
        <v>0</v>
      </c>
      <c r="J85" s="4">
        <f>SUM('TOTAL VOLUME'!J85*'Side by Side Amount'!J86)</f>
        <v>0</v>
      </c>
      <c r="K85" s="4">
        <f>SUM('TOTAL VOLUME'!K85*'Side by Side Amount'!K86)</f>
        <v>0</v>
      </c>
      <c r="L85" s="4">
        <f>SUM('TOTAL VOLUME'!L85*'Side by Side Amount'!L86)</f>
        <v>0</v>
      </c>
      <c r="M85" s="4">
        <f>SUM('TOTAL VOLUME'!M85*'Side by Side Amount'!M86)</f>
        <v>0</v>
      </c>
      <c r="N85" s="4">
        <f>SUM('TOTAL VOLUME'!N85*'Side by Side Amount'!N86)</f>
        <v>0</v>
      </c>
      <c r="O85" s="4">
        <f>SUM('TOTAL VOLUME'!O85*'Side by Side Amount'!O86)</f>
        <v>49.740000000000009</v>
      </c>
      <c r="P85" s="4">
        <f>SUM('TOTAL VOLUME'!P85*'Side by Side Amount'!P86)</f>
        <v>20.70000000000001</v>
      </c>
      <c r="Q85" s="4">
        <f>SUM('TOTAL VOLUME'!Q85*'Side by Side Amount'!Q86)</f>
        <v>4.68</v>
      </c>
      <c r="R85" s="4">
        <f>SUM('TOTAL VOLUME'!R85*'Side by Side Amount'!R86)</f>
        <v>10.379999999999995</v>
      </c>
      <c r="S85" s="4">
        <f>SUM('TOTAL VOLUME'!S85*'Side by Side Amount'!S86)</f>
        <v>11.840000000000003</v>
      </c>
      <c r="T85" s="4">
        <f>SUM('TOTAL VOLUME'!T85*'Side by Side Amount'!T86)</f>
        <v>14.240000000000002</v>
      </c>
      <c r="U85" s="4">
        <f>SUM('TOTAL VOLUME'!U85*'Side by Side Amount'!U86)</f>
        <v>16.699999999999996</v>
      </c>
      <c r="V85" s="4">
        <f>SUM('TOTAL VOLUME'!V85*'Side by Side Amount'!V86)</f>
        <v>43.150000000000013</v>
      </c>
      <c r="W85" s="4">
        <f>SUM('TOTAL VOLUME'!W85*'Side by Side Amount'!W86)</f>
        <v>0</v>
      </c>
      <c r="X85" s="4">
        <f>SUM('TOTAL VOLUME'!X85*'Side by Side Amount'!X86)</f>
        <v>32.629999999999995</v>
      </c>
      <c r="Y85" s="4">
        <f>SUM('TOTAL VOLUME'!Y85*'Side by Side Amount'!Y86)</f>
        <v>0</v>
      </c>
      <c r="Z85" s="4">
        <f>SUM('TOTAL VOLUME'!Z85*'Side by Side Amount'!Z86)</f>
        <v>0</v>
      </c>
      <c r="AA85" s="4">
        <f>SUM('TOTAL VOLUME'!AA85*'Side by Side Amount'!AA86)</f>
        <v>0</v>
      </c>
      <c r="AB85" s="4">
        <f>SUM('TOTAL VOLUME'!AB85*'Side by Side Amount'!AB86)</f>
        <v>0</v>
      </c>
      <c r="AC85" s="4">
        <f>SUM('TOTAL VOLUME'!AC85*'Side by Side Amount'!AC86)</f>
        <v>291.35999999999996</v>
      </c>
    </row>
    <row r="86" spans="1:29" ht="12" x14ac:dyDescent="0.2">
      <c r="A86" s="2">
        <v>85</v>
      </c>
      <c r="B86" s="4">
        <f>SUM('TOTAL VOLUME'!B86*'Side by Side Amount'!B87)</f>
        <v>0</v>
      </c>
      <c r="C86" s="4">
        <f>SUM('TOTAL VOLUME'!C86*'Side by Side Amount'!C87)</f>
        <v>0</v>
      </c>
      <c r="D86" s="4">
        <f>SUM('TOTAL VOLUME'!D86*'Side by Side Amount'!D87)</f>
        <v>0</v>
      </c>
      <c r="E86" s="4">
        <f>SUM('TOTAL VOLUME'!E86*'Side by Side Amount'!E87)</f>
        <v>18.54</v>
      </c>
      <c r="F86" s="4">
        <f>SUM('TOTAL VOLUME'!F86*'Side by Side Amount'!F87)</f>
        <v>0</v>
      </c>
      <c r="G86" s="4">
        <f>SUM('TOTAL VOLUME'!G86*'Side by Side Amount'!G87)</f>
        <v>0</v>
      </c>
      <c r="H86" s="4">
        <f>SUM('TOTAL VOLUME'!H86*'Side by Side Amount'!H87)</f>
        <v>0</v>
      </c>
      <c r="I86" s="4">
        <f>SUM('TOTAL VOLUME'!I86*'Side by Side Amount'!I87)</f>
        <v>0</v>
      </c>
      <c r="J86" s="4">
        <f>SUM('TOTAL VOLUME'!J86*'Side by Side Amount'!J87)</f>
        <v>0</v>
      </c>
      <c r="K86" s="4">
        <f>SUM('TOTAL VOLUME'!K86*'Side by Side Amount'!K87)</f>
        <v>0</v>
      </c>
      <c r="L86" s="4">
        <f>SUM('TOTAL VOLUME'!L86*'Side by Side Amount'!L87)</f>
        <v>0</v>
      </c>
      <c r="M86" s="4">
        <f>SUM('TOTAL VOLUME'!M86*'Side by Side Amount'!M87)</f>
        <v>0</v>
      </c>
      <c r="N86" s="4">
        <f>SUM('TOTAL VOLUME'!N86*'Side by Side Amount'!N87)</f>
        <v>0</v>
      </c>
      <c r="O86" s="4">
        <f>SUM('TOTAL VOLUME'!O86*'Side by Side Amount'!O87)</f>
        <v>0</v>
      </c>
      <c r="P86" s="4">
        <f>SUM('TOTAL VOLUME'!P86*'Side by Side Amount'!P87)</f>
        <v>38.250000000000014</v>
      </c>
      <c r="Q86" s="4">
        <f>SUM('TOTAL VOLUME'!Q86*'Side by Side Amount'!Q87)</f>
        <v>4.6699999999999982</v>
      </c>
      <c r="R86" s="4">
        <f>SUM('TOTAL VOLUME'!R86*'Side by Side Amount'!R87)</f>
        <v>0</v>
      </c>
      <c r="S86" s="4">
        <f>SUM('TOTAL VOLUME'!S86*'Side by Side Amount'!S87)</f>
        <v>12.020000000000003</v>
      </c>
      <c r="T86" s="4">
        <f>SUM('TOTAL VOLUME'!T86*'Side by Side Amount'!T87)</f>
        <v>35.800000000000018</v>
      </c>
      <c r="U86" s="4">
        <f>SUM('TOTAL VOLUME'!U86*'Side by Side Amount'!U87)</f>
        <v>8.4300000000000033</v>
      </c>
      <c r="V86" s="4">
        <f>SUM('TOTAL VOLUME'!V86*'Side by Side Amount'!V87)</f>
        <v>43.600000000000009</v>
      </c>
      <c r="W86" s="4">
        <f>SUM('TOTAL VOLUME'!W86*'Side by Side Amount'!W87)</f>
        <v>22.85</v>
      </c>
      <c r="X86" s="4">
        <f>SUM('TOTAL VOLUME'!X86*'Side by Side Amount'!X87)</f>
        <v>0</v>
      </c>
      <c r="Y86" s="4">
        <f>SUM('TOTAL VOLUME'!Y86*'Side by Side Amount'!Y87)</f>
        <v>0</v>
      </c>
      <c r="Z86" s="4">
        <f>SUM('TOTAL VOLUME'!Z86*'Side by Side Amount'!Z87)</f>
        <v>0</v>
      </c>
      <c r="AA86" s="4">
        <f>SUM('TOTAL VOLUME'!AA86*'Side by Side Amount'!AA87)</f>
        <v>0</v>
      </c>
      <c r="AB86" s="4">
        <f>SUM('TOTAL VOLUME'!AB86*'Side by Side Amount'!AB87)</f>
        <v>0</v>
      </c>
      <c r="AC86" s="4">
        <f>SUM('TOTAL VOLUME'!AC86*'Side by Side Amount'!AC87)</f>
        <v>0</v>
      </c>
    </row>
    <row r="87" spans="1:29" ht="12" x14ac:dyDescent="0.2">
      <c r="A87" s="2">
        <v>86</v>
      </c>
      <c r="B87" s="4">
        <f>SUM('TOTAL VOLUME'!B87*'Side by Side Amount'!B88)</f>
        <v>0</v>
      </c>
      <c r="C87" s="4">
        <f>SUM('TOTAL VOLUME'!C87*'Side by Side Amount'!C88)</f>
        <v>0</v>
      </c>
      <c r="D87" s="4">
        <f>SUM('TOTAL VOLUME'!D87*'Side by Side Amount'!D88)</f>
        <v>0</v>
      </c>
      <c r="E87" s="4">
        <f>SUM('TOTAL VOLUME'!E87*'Side by Side Amount'!E88)</f>
        <v>0</v>
      </c>
      <c r="F87" s="4">
        <f>SUM('TOTAL VOLUME'!F87*'Side by Side Amount'!F88)</f>
        <v>0</v>
      </c>
      <c r="G87" s="4">
        <f>SUM('TOTAL VOLUME'!G87*'Side by Side Amount'!G88)</f>
        <v>0</v>
      </c>
      <c r="H87" s="4">
        <f>SUM('TOTAL VOLUME'!H87*'Side by Side Amount'!H88)</f>
        <v>0</v>
      </c>
      <c r="I87" s="4">
        <f>SUM('TOTAL VOLUME'!I87*'Side by Side Amount'!I88)</f>
        <v>0</v>
      </c>
      <c r="J87" s="4">
        <f>SUM('TOTAL VOLUME'!J87*'Side by Side Amount'!J88)</f>
        <v>0</v>
      </c>
      <c r="K87" s="4">
        <f>SUM('TOTAL VOLUME'!K87*'Side by Side Amount'!K88)</f>
        <v>0</v>
      </c>
      <c r="L87" s="4">
        <f>SUM('TOTAL VOLUME'!L87*'Side by Side Amount'!L88)</f>
        <v>0</v>
      </c>
      <c r="M87" s="4">
        <f>SUM('TOTAL VOLUME'!M87*'Side by Side Amount'!M88)</f>
        <v>0</v>
      </c>
      <c r="N87" s="4">
        <f>SUM('TOTAL VOLUME'!N87*'Side by Side Amount'!N88)</f>
        <v>0</v>
      </c>
      <c r="O87" s="4">
        <f>SUM('TOTAL VOLUME'!O87*'Side by Side Amount'!O88)</f>
        <v>0</v>
      </c>
      <c r="P87" s="4">
        <f>SUM('TOTAL VOLUME'!P87*'Side by Side Amount'!P88)</f>
        <v>0</v>
      </c>
      <c r="Q87" s="4">
        <f>SUM('TOTAL VOLUME'!Q87*'Side by Side Amount'!Q88)</f>
        <v>0</v>
      </c>
      <c r="R87" s="4">
        <f>SUM('TOTAL VOLUME'!R87*'Side by Side Amount'!R88)</f>
        <v>0</v>
      </c>
      <c r="S87" s="4">
        <f>SUM('TOTAL VOLUME'!S87*'Side by Side Amount'!S88)</f>
        <v>0</v>
      </c>
      <c r="T87" s="4">
        <f>SUM('TOTAL VOLUME'!T87*'Side by Side Amount'!T88)</f>
        <v>0</v>
      </c>
      <c r="U87" s="4">
        <f>SUM('TOTAL VOLUME'!U87*'Side by Side Amount'!U88)</f>
        <v>0</v>
      </c>
      <c r="V87" s="4">
        <f>SUM('TOTAL VOLUME'!V87*'Side by Side Amount'!V88)</f>
        <v>0</v>
      </c>
      <c r="W87" s="4">
        <f>SUM('TOTAL VOLUME'!W87*'Side by Side Amount'!W88)</f>
        <v>0</v>
      </c>
      <c r="X87" s="4">
        <f>SUM('TOTAL VOLUME'!X87*'Side by Side Amount'!X88)</f>
        <v>0</v>
      </c>
      <c r="Y87" s="4">
        <f>SUM('TOTAL VOLUME'!Y87*'Side by Side Amount'!Y88)</f>
        <v>0</v>
      </c>
      <c r="Z87" s="4">
        <f>SUM('TOTAL VOLUME'!Z87*'Side by Side Amount'!Z88)</f>
        <v>0</v>
      </c>
      <c r="AA87" s="4">
        <f>SUM('TOTAL VOLUME'!AA87*'Side by Side Amount'!AA88)</f>
        <v>0</v>
      </c>
      <c r="AB87" s="4">
        <f>SUM('TOTAL VOLUME'!AB87*'Side by Side Amount'!AB88)</f>
        <v>0</v>
      </c>
      <c r="AC87" s="4">
        <f>SUM('TOTAL VOLUME'!AC87*'Side by Side Amount'!AC88)</f>
        <v>0</v>
      </c>
    </row>
    <row r="88" spans="1:29" ht="12" x14ac:dyDescent="0.2">
      <c r="A88" s="2">
        <v>87</v>
      </c>
      <c r="B88" s="4">
        <f>SUM('TOTAL VOLUME'!B88*'Side by Side Amount'!B89)</f>
        <v>0</v>
      </c>
      <c r="C88" s="4">
        <f>SUM('TOTAL VOLUME'!C88*'Side by Side Amount'!C89)</f>
        <v>0</v>
      </c>
      <c r="D88" s="4">
        <f>SUM('TOTAL VOLUME'!D88*'Side by Side Amount'!D89)</f>
        <v>0</v>
      </c>
      <c r="E88" s="4">
        <f>SUM('TOTAL VOLUME'!E88*'Side by Side Amount'!E89)</f>
        <v>0</v>
      </c>
      <c r="F88" s="4">
        <f>SUM('TOTAL VOLUME'!F88*'Side by Side Amount'!F89)</f>
        <v>0</v>
      </c>
      <c r="G88" s="4">
        <f>SUM('TOTAL VOLUME'!G88*'Side by Side Amount'!G89)</f>
        <v>0</v>
      </c>
      <c r="H88" s="4">
        <f>SUM('TOTAL VOLUME'!H88*'Side by Side Amount'!H89)</f>
        <v>0</v>
      </c>
      <c r="I88" s="4">
        <f>SUM('TOTAL VOLUME'!I88*'Side by Side Amount'!I89)</f>
        <v>0</v>
      </c>
      <c r="J88" s="4">
        <f>SUM('TOTAL VOLUME'!J88*'Side by Side Amount'!J89)</f>
        <v>0</v>
      </c>
      <c r="K88" s="4">
        <f>SUM('TOTAL VOLUME'!K88*'Side by Side Amount'!K89)</f>
        <v>0</v>
      </c>
      <c r="L88" s="4">
        <f>SUM('TOTAL VOLUME'!L88*'Side by Side Amount'!L89)</f>
        <v>0</v>
      </c>
      <c r="M88" s="4">
        <f>SUM('TOTAL VOLUME'!M88*'Side by Side Amount'!M89)</f>
        <v>0</v>
      </c>
      <c r="N88" s="4">
        <f>SUM('TOTAL VOLUME'!N88*'Side by Side Amount'!N89)</f>
        <v>0</v>
      </c>
      <c r="O88" s="4">
        <f>SUM('TOTAL VOLUME'!O88*'Side by Side Amount'!O89)</f>
        <v>0</v>
      </c>
      <c r="P88" s="4">
        <f>SUM('TOTAL VOLUME'!P88*'Side by Side Amount'!P89)</f>
        <v>0</v>
      </c>
      <c r="Q88" s="4">
        <f>SUM('TOTAL VOLUME'!Q88*'Side by Side Amount'!Q89)</f>
        <v>0</v>
      </c>
      <c r="R88" s="4">
        <f>SUM('TOTAL VOLUME'!R88*'Side by Side Amount'!R89)</f>
        <v>0</v>
      </c>
      <c r="S88" s="4">
        <f>SUM('TOTAL VOLUME'!S88*'Side by Side Amount'!S89)</f>
        <v>0</v>
      </c>
      <c r="T88" s="4">
        <f>SUM('TOTAL VOLUME'!T88*'Side by Side Amount'!T89)</f>
        <v>0</v>
      </c>
      <c r="U88" s="4">
        <f>SUM('TOTAL VOLUME'!U88*'Side by Side Amount'!U89)</f>
        <v>0</v>
      </c>
      <c r="V88" s="4">
        <f>SUM('TOTAL VOLUME'!V88*'Side by Side Amount'!V89)</f>
        <v>0</v>
      </c>
      <c r="W88" s="4">
        <f>SUM('TOTAL VOLUME'!W88*'Side by Side Amount'!W89)</f>
        <v>0</v>
      </c>
      <c r="X88" s="4">
        <f>SUM('TOTAL VOLUME'!X88*'Side by Side Amount'!X89)</f>
        <v>0</v>
      </c>
      <c r="Y88" s="4">
        <f>SUM('TOTAL VOLUME'!Y88*'Side by Side Amount'!Y89)</f>
        <v>0</v>
      </c>
      <c r="Z88" s="4">
        <f>SUM('TOTAL VOLUME'!Z88*'Side by Side Amount'!Z89)</f>
        <v>0</v>
      </c>
      <c r="AA88" s="4">
        <f>SUM('TOTAL VOLUME'!AA88*'Side by Side Amount'!AA89)</f>
        <v>0</v>
      </c>
      <c r="AB88" s="4">
        <f>SUM('TOTAL VOLUME'!AB88*'Side by Side Amount'!AB89)</f>
        <v>0</v>
      </c>
      <c r="AC88" s="4">
        <f>SUM('TOTAL VOLUME'!AC88*'Side by Side Amount'!AC89)</f>
        <v>0</v>
      </c>
    </row>
    <row r="89" spans="1:29" ht="12" x14ac:dyDescent="0.2">
      <c r="A89" s="2">
        <v>88</v>
      </c>
      <c r="B89" s="4">
        <f>SUM('TOTAL VOLUME'!B89*'Side by Side Amount'!B90)</f>
        <v>0</v>
      </c>
      <c r="C89" s="4">
        <f>SUM('TOTAL VOLUME'!C89*'Side by Side Amount'!C90)</f>
        <v>0</v>
      </c>
      <c r="D89" s="4">
        <f>SUM('TOTAL VOLUME'!D89*'Side by Side Amount'!D90)</f>
        <v>0</v>
      </c>
      <c r="E89" s="4">
        <f>SUM('TOTAL VOLUME'!E89*'Side by Side Amount'!E90)</f>
        <v>0</v>
      </c>
      <c r="F89" s="4">
        <f>SUM('TOTAL VOLUME'!F89*'Side by Side Amount'!F90)</f>
        <v>30.789999999999992</v>
      </c>
      <c r="G89" s="4">
        <f>SUM('TOTAL VOLUME'!G89*'Side by Side Amount'!G90)</f>
        <v>33.379999999999995</v>
      </c>
      <c r="H89" s="4">
        <f>SUM('TOTAL VOLUME'!H89*'Side by Side Amount'!H90)</f>
        <v>0</v>
      </c>
      <c r="I89" s="4">
        <f>SUM('TOTAL VOLUME'!I89*'Side by Side Amount'!I90)</f>
        <v>0</v>
      </c>
      <c r="J89" s="4">
        <f>SUM('TOTAL VOLUME'!J89*'Side by Side Amount'!J90)</f>
        <v>0</v>
      </c>
      <c r="K89" s="4">
        <f>SUM('TOTAL VOLUME'!K89*'Side by Side Amount'!K90)</f>
        <v>0</v>
      </c>
      <c r="L89" s="4">
        <f>SUM('TOTAL VOLUME'!L89*'Side by Side Amount'!L90)</f>
        <v>0</v>
      </c>
      <c r="M89" s="4">
        <f>SUM('TOTAL VOLUME'!M89*'Side by Side Amount'!M90)</f>
        <v>0</v>
      </c>
      <c r="N89" s="4">
        <f>SUM('TOTAL VOLUME'!N89*'Side by Side Amount'!N90)</f>
        <v>0</v>
      </c>
      <c r="O89" s="4">
        <f>SUM('TOTAL VOLUME'!O89*'Side by Side Amount'!O90)</f>
        <v>0</v>
      </c>
      <c r="P89" s="4">
        <f>SUM('TOTAL VOLUME'!P89*'Side by Side Amount'!P90)</f>
        <v>37.44</v>
      </c>
      <c r="Q89" s="4">
        <f>SUM('TOTAL VOLUME'!Q89*'Side by Side Amount'!Q90)</f>
        <v>15.150000000000002</v>
      </c>
      <c r="R89" s="4">
        <f>SUM('TOTAL VOLUME'!R89*'Side by Side Amount'!R90)</f>
        <v>16.71</v>
      </c>
      <c r="S89" s="4">
        <f>SUM('TOTAL VOLUME'!S89*'Side by Side Amount'!S90)</f>
        <v>12.64</v>
      </c>
      <c r="T89" s="4">
        <f>SUM('TOTAL VOLUME'!T89*'Side by Side Amount'!T90)</f>
        <v>14.880000000000003</v>
      </c>
      <c r="U89" s="4">
        <f>SUM('TOTAL VOLUME'!U89*'Side by Side Amount'!U90)</f>
        <v>26.099999999999998</v>
      </c>
      <c r="V89" s="4">
        <f>SUM('TOTAL VOLUME'!V89*'Side by Side Amount'!V90)</f>
        <v>99.990000000000038</v>
      </c>
      <c r="W89" s="4">
        <f>SUM('TOTAL VOLUME'!W89*'Side by Side Amount'!W90)</f>
        <v>71.580000000000013</v>
      </c>
      <c r="X89" s="4">
        <f>SUM('TOTAL VOLUME'!X89*'Side by Side Amount'!X90)</f>
        <v>0</v>
      </c>
      <c r="Y89" s="4">
        <f>SUM('TOTAL VOLUME'!Y89*'Side by Side Amount'!Y90)</f>
        <v>0</v>
      </c>
      <c r="Z89" s="4">
        <f>SUM('TOTAL VOLUME'!Z89*'Side by Side Amount'!Z90)</f>
        <v>0</v>
      </c>
      <c r="AA89" s="4">
        <f>SUM('TOTAL VOLUME'!AA89*'Side by Side Amount'!AA90)</f>
        <v>0</v>
      </c>
      <c r="AB89" s="4">
        <f>SUM('TOTAL VOLUME'!AB89*'Side by Side Amount'!AB90)</f>
        <v>0</v>
      </c>
      <c r="AC89" s="4">
        <f>SUM('TOTAL VOLUME'!AC89*'Side by Side Amount'!AC90)</f>
        <v>147.23999999999998</v>
      </c>
    </row>
    <row r="90" spans="1:29" ht="12" x14ac:dyDescent="0.2">
      <c r="A90" s="2">
        <v>89</v>
      </c>
      <c r="B90" s="4">
        <f>SUM('TOTAL VOLUME'!B90*'Side by Side Amount'!B91)</f>
        <v>0</v>
      </c>
      <c r="C90" s="4">
        <f>SUM('TOTAL VOLUME'!C90*'Side by Side Amount'!C91)</f>
        <v>10.669999999999995</v>
      </c>
      <c r="D90" s="4">
        <f>SUM('TOTAL VOLUME'!D90*'Side by Side Amount'!D91)</f>
        <v>0</v>
      </c>
      <c r="E90" s="4">
        <f>SUM('TOTAL VOLUME'!E90*'Side by Side Amount'!E91)</f>
        <v>0</v>
      </c>
      <c r="F90" s="4">
        <f>SUM('TOTAL VOLUME'!F90*'Side by Side Amount'!F91)</f>
        <v>0</v>
      </c>
      <c r="G90" s="4">
        <f>SUM('TOTAL VOLUME'!G90*'Side by Side Amount'!G91)</f>
        <v>33.449999999999989</v>
      </c>
      <c r="H90" s="4">
        <f>SUM('TOTAL VOLUME'!H90*'Side by Side Amount'!H91)</f>
        <v>34.109999999999985</v>
      </c>
      <c r="I90" s="4">
        <f>SUM('TOTAL VOLUME'!I90*'Side by Side Amount'!I91)</f>
        <v>0</v>
      </c>
      <c r="J90" s="4">
        <f>SUM('TOTAL VOLUME'!J90*'Side by Side Amount'!J91)</f>
        <v>0</v>
      </c>
      <c r="K90" s="4">
        <f>SUM('TOTAL VOLUME'!K90*'Side by Side Amount'!K91)</f>
        <v>0</v>
      </c>
      <c r="L90" s="4">
        <f>SUM('TOTAL VOLUME'!L90*'Side by Side Amount'!L91)</f>
        <v>0</v>
      </c>
      <c r="M90" s="4">
        <f>SUM('TOTAL VOLUME'!M90*'Side by Side Amount'!M91)</f>
        <v>0</v>
      </c>
      <c r="N90" s="4">
        <f>SUM('TOTAL VOLUME'!N90*'Side by Side Amount'!N91)</f>
        <v>0</v>
      </c>
      <c r="O90" s="4">
        <f>SUM('TOTAL VOLUME'!O90*'Side by Side Amount'!O91)</f>
        <v>0</v>
      </c>
      <c r="P90" s="4">
        <f>SUM('TOTAL VOLUME'!P90*'Side by Side Amount'!P91)</f>
        <v>4.8900000000000006</v>
      </c>
      <c r="Q90" s="4">
        <f>SUM('TOTAL VOLUME'!Q90*'Side by Side Amount'!Q91)</f>
        <v>5.18</v>
      </c>
      <c r="R90" s="4">
        <f>SUM('TOTAL VOLUME'!R90*'Side by Side Amount'!R91)</f>
        <v>22.759999999999991</v>
      </c>
      <c r="S90" s="4">
        <f>SUM('TOTAL VOLUME'!S90*'Side by Side Amount'!S91)</f>
        <v>6.3599999999999994</v>
      </c>
      <c r="T90" s="4">
        <f>SUM('TOTAL VOLUME'!T90*'Side by Side Amount'!T91)</f>
        <v>22.800000000000004</v>
      </c>
      <c r="U90" s="4">
        <f>SUM('TOTAL VOLUME'!U90*'Side by Side Amount'!U91)</f>
        <v>26.339999999999982</v>
      </c>
      <c r="V90" s="4">
        <f>SUM('TOTAL VOLUME'!V90*'Side by Side Amount'!V91)</f>
        <v>46.449999999999996</v>
      </c>
      <c r="W90" s="4">
        <f>SUM('TOTAL VOLUME'!W90*'Side by Side Amount'!W91)</f>
        <v>0</v>
      </c>
      <c r="X90" s="4">
        <f>SUM('TOTAL VOLUME'!X90*'Side by Side Amount'!X91)</f>
        <v>67.84</v>
      </c>
      <c r="Y90" s="4">
        <f>SUM('TOTAL VOLUME'!Y90*'Side by Side Amount'!Y91)</f>
        <v>120.8</v>
      </c>
      <c r="Z90" s="4">
        <f>SUM('TOTAL VOLUME'!Z90*'Side by Side Amount'!Z91)</f>
        <v>0</v>
      </c>
      <c r="AA90" s="4">
        <f>SUM('TOTAL VOLUME'!AA90*'Side by Side Amount'!AA91)</f>
        <v>67.97</v>
      </c>
      <c r="AB90" s="4">
        <f>SUM('TOTAL VOLUME'!AB90*'Side by Side Amount'!AB91)</f>
        <v>0</v>
      </c>
      <c r="AC90" s="4">
        <f>SUM('TOTAL VOLUME'!AC90*'Side by Side Amount'!AC91)</f>
        <v>81.199999999999989</v>
      </c>
    </row>
    <row r="91" spans="1:29" ht="12" x14ac:dyDescent="0.2">
      <c r="A91" s="2">
        <v>90</v>
      </c>
      <c r="B91" s="4">
        <f>SUM('TOTAL VOLUME'!B91*'Side by Side Amount'!B92)</f>
        <v>0</v>
      </c>
      <c r="C91" s="4">
        <f>SUM('TOTAL VOLUME'!C91*'Side by Side Amount'!C92)</f>
        <v>10.520000000000003</v>
      </c>
      <c r="D91" s="4">
        <f>SUM('TOTAL VOLUME'!D91*'Side by Side Amount'!D92)</f>
        <v>0</v>
      </c>
      <c r="E91" s="4">
        <f>SUM('TOTAL VOLUME'!E91*'Side by Side Amount'!E92)</f>
        <v>0</v>
      </c>
      <c r="F91" s="4">
        <f>SUM('TOTAL VOLUME'!F91*'Side by Side Amount'!F92)</f>
        <v>0</v>
      </c>
      <c r="G91" s="4">
        <f>SUM('TOTAL VOLUME'!G91*'Side by Side Amount'!G92)</f>
        <v>0</v>
      </c>
      <c r="H91" s="4">
        <f>SUM('TOTAL VOLUME'!H91*'Side by Side Amount'!H92)</f>
        <v>0</v>
      </c>
      <c r="I91" s="4">
        <f>SUM('TOTAL VOLUME'!I91*'Side by Side Amount'!I92)</f>
        <v>0</v>
      </c>
      <c r="J91" s="4">
        <f>SUM('TOTAL VOLUME'!J91*'Side by Side Amount'!J92)</f>
        <v>0</v>
      </c>
      <c r="K91" s="4">
        <f>SUM('TOTAL VOLUME'!K91*'Side by Side Amount'!K92)</f>
        <v>0</v>
      </c>
      <c r="L91" s="4">
        <f>SUM('TOTAL VOLUME'!L91*'Side by Side Amount'!L92)</f>
        <v>0</v>
      </c>
      <c r="M91" s="4">
        <f>SUM('TOTAL VOLUME'!M91*'Side by Side Amount'!M92)</f>
        <v>0</v>
      </c>
      <c r="N91" s="4">
        <f>SUM('TOTAL VOLUME'!N91*'Side by Side Amount'!N92)</f>
        <v>0</v>
      </c>
      <c r="O91" s="4">
        <f>SUM('TOTAL VOLUME'!O91*'Side by Side Amount'!O92)</f>
        <v>0</v>
      </c>
      <c r="P91" s="4">
        <f>SUM('TOTAL VOLUME'!P91*'Side by Side Amount'!P92)</f>
        <v>15.54</v>
      </c>
      <c r="Q91" s="4">
        <f>SUM('TOTAL VOLUME'!Q91*'Side by Side Amount'!Q92)</f>
        <v>0</v>
      </c>
      <c r="R91" s="4">
        <f>SUM('TOTAL VOLUME'!R91*'Side by Side Amount'!R92)</f>
        <v>0</v>
      </c>
      <c r="S91" s="4">
        <f>SUM('TOTAL VOLUME'!S91*'Side by Side Amount'!S92)</f>
        <v>26.159999999999997</v>
      </c>
      <c r="T91" s="4">
        <f>SUM('TOTAL VOLUME'!T91*'Side by Side Amount'!T92)</f>
        <v>7.7199999999999989</v>
      </c>
      <c r="U91" s="4">
        <f>SUM('TOTAL VOLUME'!U91*'Side by Side Amount'!U92)</f>
        <v>0</v>
      </c>
      <c r="V91" s="4">
        <f>SUM('TOTAL VOLUME'!V91*'Side by Side Amount'!V92)</f>
        <v>66.289999999999992</v>
      </c>
      <c r="W91" s="4">
        <f>SUM('TOTAL VOLUME'!W91*'Side by Side Amount'!W92)</f>
        <v>48.1</v>
      </c>
      <c r="X91" s="4">
        <f>SUM('TOTAL VOLUME'!X91*'Side by Side Amount'!X92)</f>
        <v>0</v>
      </c>
      <c r="Y91" s="4">
        <f>SUM('TOTAL VOLUME'!Y91*'Side by Side Amount'!Y92)</f>
        <v>62.099999999999994</v>
      </c>
      <c r="Z91" s="4">
        <f>SUM('TOTAL VOLUME'!Z91*'Side by Side Amount'!Z92)</f>
        <v>0</v>
      </c>
      <c r="AA91" s="4">
        <f>SUM('TOTAL VOLUME'!AA91*'Side by Side Amount'!AA92)</f>
        <v>137.63999999999999</v>
      </c>
      <c r="AB91" s="4">
        <f>SUM('TOTAL VOLUME'!AB91*'Side by Side Amount'!AB92)</f>
        <v>81.300000000000011</v>
      </c>
      <c r="AC91" s="4">
        <f>SUM('TOTAL VOLUME'!AC91*'Side by Side Amount'!AC92)</f>
        <v>165.52</v>
      </c>
    </row>
    <row r="92" spans="1:29" ht="12" x14ac:dyDescent="0.2">
      <c r="A92" s="2">
        <v>91</v>
      </c>
      <c r="B92" s="4">
        <f>SUM('TOTAL VOLUME'!B92*'Side by Side Amount'!B93)</f>
        <v>0</v>
      </c>
      <c r="C92" s="4">
        <f>SUM('TOTAL VOLUME'!C92*'Side by Side Amount'!C93)</f>
        <v>0</v>
      </c>
      <c r="D92" s="4">
        <f>SUM('TOTAL VOLUME'!D92*'Side by Side Amount'!D93)</f>
        <v>0</v>
      </c>
      <c r="E92" s="4">
        <f>SUM('TOTAL VOLUME'!E92*'Side by Side Amount'!E93)</f>
        <v>0</v>
      </c>
      <c r="F92" s="4">
        <f>SUM('TOTAL VOLUME'!F92*'Side by Side Amount'!F93)</f>
        <v>0</v>
      </c>
      <c r="G92" s="4">
        <f>SUM('TOTAL VOLUME'!G92*'Side by Side Amount'!G93)</f>
        <v>0</v>
      </c>
      <c r="H92" s="4">
        <f>SUM('TOTAL VOLUME'!H92*'Side by Side Amount'!H93)</f>
        <v>0</v>
      </c>
      <c r="I92" s="4">
        <f>SUM('TOTAL VOLUME'!I92*'Side by Side Amount'!I93)</f>
        <v>0</v>
      </c>
      <c r="J92" s="4">
        <f>SUM('TOTAL VOLUME'!J92*'Side by Side Amount'!J93)</f>
        <v>0</v>
      </c>
      <c r="K92" s="4">
        <f>SUM('TOTAL VOLUME'!K92*'Side by Side Amount'!K93)</f>
        <v>0</v>
      </c>
      <c r="L92" s="4">
        <f>SUM('TOTAL VOLUME'!L92*'Side by Side Amount'!L93)</f>
        <v>27.36999999999999</v>
      </c>
      <c r="M92" s="4">
        <f>SUM('TOTAL VOLUME'!M92*'Side by Side Amount'!M93)</f>
        <v>0</v>
      </c>
      <c r="N92" s="4">
        <f>SUM('TOTAL VOLUME'!N92*'Side by Side Amount'!N93)</f>
        <v>53.900000000000006</v>
      </c>
      <c r="O92" s="4">
        <f>SUM('TOTAL VOLUME'!O92*'Side by Side Amount'!O93)</f>
        <v>0</v>
      </c>
      <c r="P92" s="4">
        <f>SUM('TOTAL VOLUME'!P92*'Side by Side Amount'!P93)</f>
        <v>0</v>
      </c>
      <c r="Q92" s="4">
        <f>SUM('TOTAL VOLUME'!Q92*'Side by Side Amount'!Q93)</f>
        <v>0</v>
      </c>
      <c r="R92" s="4">
        <f>SUM('TOTAL VOLUME'!R92*'Side by Side Amount'!R93)</f>
        <v>0</v>
      </c>
      <c r="S92" s="4">
        <f>SUM('TOTAL VOLUME'!S92*'Side by Side Amount'!S93)</f>
        <v>0</v>
      </c>
      <c r="T92" s="4">
        <f>SUM('TOTAL VOLUME'!T92*'Side by Side Amount'!T93)</f>
        <v>0</v>
      </c>
      <c r="U92" s="4">
        <f>SUM('TOTAL VOLUME'!U92*'Side by Side Amount'!U93)</f>
        <v>0</v>
      </c>
      <c r="V92" s="4">
        <f>SUM('TOTAL VOLUME'!V92*'Side by Side Amount'!V93)</f>
        <v>0</v>
      </c>
      <c r="W92" s="4">
        <f>SUM('TOTAL VOLUME'!W92*'Side by Side Amount'!W93)</f>
        <v>0</v>
      </c>
      <c r="X92" s="4">
        <f>SUM('TOTAL VOLUME'!X92*'Side by Side Amount'!X93)</f>
        <v>0</v>
      </c>
      <c r="Y92" s="4">
        <f>SUM('TOTAL VOLUME'!Y92*'Side by Side Amount'!Y93)</f>
        <v>0</v>
      </c>
      <c r="Z92" s="4">
        <f>SUM('TOTAL VOLUME'!Z92*'Side by Side Amount'!Z93)</f>
        <v>0</v>
      </c>
      <c r="AA92" s="4">
        <f>SUM('TOTAL VOLUME'!AA92*'Side by Side Amount'!AA93)</f>
        <v>0</v>
      </c>
      <c r="AB92" s="4">
        <f>SUM('TOTAL VOLUME'!AB92*'Side by Side Amount'!AB93)</f>
        <v>0</v>
      </c>
      <c r="AC92" s="4">
        <f>SUM('TOTAL VOLUME'!AC92*'Side by Side Amount'!AC93)</f>
        <v>0</v>
      </c>
    </row>
    <row r="93" spans="1:29" ht="12" x14ac:dyDescent="0.2">
      <c r="A93" s="2">
        <v>92</v>
      </c>
      <c r="B93" s="4">
        <f>SUM('TOTAL VOLUME'!B93*'Side by Side Amount'!B94)</f>
        <v>0</v>
      </c>
      <c r="C93" s="4">
        <f>SUM('TOTAL VOLUME'!C93*'Side by Side Amount'!C94)</f>
        <v>0</v>
      </c>
      <c r="D93" s="4">
        <f>SUM('TOTAL VOLUME'!D93*'Side by Side Amount'!D94)</f>
        <v>0</v>
      </c>
      <c r="E93" s="4">
        <f>SUM('TOTAL VOLUME'!E93*'Side by Side Amount'!E94)</f>
        <v>0</v>
      </c>
      <c r="F93" s="4">
        <f>SUM('TOTAL VOLUME'!F93*'Side by Side Amount'!F94)</f>
        <v>0</v>
      </c>
      <c r="G93" s="4">
        <f>SUM('TOTAL VOLUME'!G93*'Side by Side Amount'!G94)</f>
        <v>0</v>
      </c>
      <c r="H93" s="4">
        <f>SUM('TOTAL VOLUME'!H93*'Side by Side Amount'!H94)</f>
        <v>0</v>
      </c>
      <c r="I93" s="4">
        <f>SUM('TOTAL VOLUME'!I93*'Side by Side Amount'!I94)</f>
        <v>0</v>
      </c>
      <c r="J93" s="4">
        <f>SUM('TOTAL VOLUME'!J93*'Side by Side Amount'!J94)</f>
        <v>0</v>
      </c>
      <c r="K93" s="4">
        <f>SUM('TOTAL VOLUME'!K93*'Side by Side Amount'!K94)</f>
        <v>0</v>
      </c>
      <c r="L93" s="4">
        <f>SUM('TOTAL VOLUME'!L93*'Side by Side Amount'!L94)</f>
        <v>0</v>
      </c>
      <c r="M93" s="4">
        <f>SUM('TOTAL VOLUME'!M93*'Side by Side Amount'!M94)</f>
        <v>0</v>
      </c>
      <c r="N93" s="4">
        <f>SUM('TOTAL VOLUME'!N93*'Side by Side Amount'!N94)</f>
        <v>0</v>
      </c>
      <c r="O93" s="4">
        <f>SUM('TOTAL VOLUME'!O93*'Side by Side Amount'!O94)</f>
        <v>58.91</v>
      </c>
      <c r="P93" s="4">
        <f>SUM('TOTAL VOLUME'!P93*'Side by Side Amount'!P94)</f>
        <v>15.839999999999993</v>
      </c>
      <c r="Q93" s="4">
        <f>SUM('TOTAL VOLUME'!Q93*'Side by Side Amount'!Q94)</f>
        <v>5.4399999999999977</v>
      </c>
      <c r="R93" s="4">
        <f>SUM('TOTAL VOLUME'!R93*'Side by Side Amount'!R94)</f>
        <v>0</v>
      </c>
      <c r="S93" s="4">
        <f>SUM('TOTAL VOLUME'!S93*'Side by Side Amount'!S94)</f>
        <v>6.5599999999999987</v>
      </c>
      <c r="T93" s="4">
        <f>SUM('TOTAL VOLUME'!T93*'Side by Side Amount'!T94)</f>
        <v>15.520000000000003</v>
      </c>
      <c r="U93" s="4">
        <f>SUM('TOTAL VOLUME'!U93*'Side by Side Amount'!U94)</f>
        <v>0</v>
      </c>
      <c r="V93" s="4">
        <f>SUM('TOTAL VOLUME'!V93*'Side by Side Amount'!V94)</f>
        <v>37.759999999999991</v>
      </c>
      <c r="W93" s="4">
        <f>SUM('TOTAL VOLUME'!W93*'Side by Side Amount'!W94)</f>
        <v>0</v>
      </c>
      <c r="X93" s="4">
        <f>SUM('TOTAL VOLUME'!X93*'Side by Side Amount'!X94)</f>
        <v>0</v>
      </c>
      <c r="Y93" s="4">
        <f>SUM('TOTAL VOLUME'!Y93*'Side by Side Amount'!Y94)</f>
        <v>0</v>
      </c>
      <c r="Z93" s="4">
        <f>SUM('TOTAL VOLUME'!Z93*'Side by Side Amount'!Z94)</f>
        <v>0</v>
      </c>
      <c r="AA93" s="4">
        <f>SUM('TOTAL VOLUME'!AA93*'Side by Side Amount'!AA94)</f>
        <v>0</v>
      </c>
      <c r="AB93" s="4">
        <f>SUM('TOTAL VOLUME'!AB93*'Side by Side Amount'!AB94)</f>
        <v>0</v>
      </c>
      <c r="AC93" s="4">
        <f>SUM('TOTAL VOLUME'!AC93*'Side by Side Amount'!AC94)</f>
        <v>0</v>
      </c>
    </row>
    <row r="94" spans="1:29" ht="12" x14ac:dyDescent="0.2">
      <c r="A94" s="2">
        <v>93</v>
      </c>
      <c r="B94" s="4">
        <f>SUM('TOTAL VOLUME'!B94*'Side by Side Amount'!B95)</f>
        <v>0</v>
      </c>
      <c r="C94" s="4">
        <f>SUM('TOTAL VOLUME'!C94*'Side by Side Amount'!C95)</f>
        <v>0</v>
      </c>
      <c r="D94" s="4">
        <f>SUM('TOTAL VOLUME'!D94*'Side by Side Amount'!D95)</f>
        <v>0</v>
      </c>
      <c r="E94" s="4">
        <f>SUM('TOTAL VOLUME'!E94*'Side by Side Amount'!E95)</f>
        <v>0</v>
      </c>
      <c r="F94" s="4">
        <f>SUM('TOTAL VOLUME'!F94*'Side by Side Amount'!F95)</f>
        <v>0</v>
      </c>
      <c r="G94" s="4">
        <f>SUM('TOTAL VOLUME'!G94*'Side by Side Amount'!G95)</f>
        <v>0</v>
      </c>
      <c r="H94" s="4">
        <f>SUM('TOTAL VOLUME'!H94*'Side by Side Amount'!H95)</f>
        <v>34.329999999999984</v>
      </c>
      <c r="I94" s="4">
        <f>SUM('TOTAL VOLUME'!I94*'Side by Side Amount'!I95)</f>
        <v>0</v>
      </c>
      <c r="J94" s="4">
        <f>SUM('TOTAL VOLUME'!J94*'Side by Side Amount'!J95)</f>
        <v>0</v>
      </c>
      <c r="K94" s="4">
        <f>SUM('TOTAL VOLUME'!K94*'Side by Side Amount'!K95)</f>
        <v>0</v>
      </c>
      <c r="L94" s="4">
        <f>SUM('TOTAL VOLUME'!L94*'Side by Side Amount'!L95)</f>
        <v>0</v>
      </c>
      <c r="M94" s="4">
        <f>SUM('TOTAL VOLUME'!M94*'Side by Side Amount'!M95)</f>
        <v>0</v>
      </c>
      <c r="N94" s="4">
        <f>SUM('TOTAL VOLUME'!N94*'Side by Side Amount'!N95)</f>
        <v>0</v>
      </c>
      <c r="O94" s="4">
        <f>SUM('TOTAL VOLUME'!O94*'Side by Side Amount'!O95)</f>
        <v>0</v>
      </c>
      <c r="P94" s="4">
        <f>SUM('TOTAL VOLUME'!P94*'Side by Side Amount'!P95)</f>
        <v>0</v>
      </c>
      <c r="Q94" s="4">
        <f>SUM('TOTAL VOLUME'!Q94*'Side by Side Amount'!Q95)</f>
        <v>0</v>
      </c>
      <c r="R94" s="4">
        <f>SUM('TOTAL VOLUME'!R94*'Side by Side Amount'!R95)</f>
        <v>0</v>
      </c>
      <c r="S94" s="4">
        <f>SUM('TOTAL VOLUME'!S94*'Side by Side Amount'!S95)</f>
        <v>0</v>
      </c>
      <c r="T94" s="4">
        <f>SUM('TOTAL VOLUME'!T94*'Side by Side Amount'!T95)</f>
        <v>0</v>
      </c>
      <c r="U94" s="4">
        <f>SUM('TOTAL VOLUME'!U94*'Side by Side Amount'!U95)</f>
        <v>0</v>
      </c>
      <c r="V94" s="4">
        <f>SUM('TOTAL VOLUME'!V94*'Side by Side Amount'!V95)</f>
        <v>0</v>
      </c>
      <c r="W94" s="4">
        <f>SUM('TOTAL VOLUME'!W94*'Side by Side Amount'!W95)</f>
        <v>0</v>
      </c>
      <c r="X94" s="4">
        <f>SUM('TOTAL VOLUME'!X94*'Side by Side Amount'!X95)</f>
        <v>0</v>
      </c>
      <c r="Y94" s="4">
        <f>SUM('TOTAL VOLUME'!Y94*'Side by Side Amount'!Y95)</f>
        <v>0</v>
      </c>
      <c r="Z94" s="4">
        <f>SUM('TOTAL VOLUME'!Z94*'Side by Side Amount'!Z95)</f>
        <v>0</v>
      </c>
      <c r="AA94" s="4">
        <f>SUM('TOTAL VOLUME'!AA94*'Side by Side Amount'!AA95)</f>
        <v>207.47999999999996</v>
      </c>
      <c r="AB94" s="4">
        <f>SUM('TOTAL VOLUME'!AB94*'Side by Side Amount'!AB95)</f>
        <v>0</v>
      </c>
      <c r="AC94" s="4">
        <f>SUM('TOTAL VOLUME'!AC94*'Side by Side Amount'!AC95)</f>
        <v>0</v>
      </c>
    </row>
    <row r="95" spans="1:29" ht="12" x14ac:dyDescent="0.2">
      <c r="A95" s="2">
        <v>94</v>
      </c>
      <c r="B95" s="4">
        <f>SUM('TOTAL VOLUME'!B95*'Side by Side Amount'!B96)</f>
        <v>0</v>
      </c>
      <c r="C95" s="4">
        <f>SUM('TOTAL VOLUME'!C95*'Side by Side Amount'!C96)</f>
        <v>0</v>
      </c>
      <c r="D95" s="4">
        <f>SUM('TOTAL VOLUME'!D95*'Side by Side Amount'!D96)</f>
        <v>0</v>
      </c>
      <c r="E95" s="4">
        <f>SUM('TOTAL VOLUME'!E95*'Side by Side Amount'!E96)</f>
        <v>0</v>
      </c>
      <c r="F95" s="4">
        <f>SUM('TOTAL VOLUME'!F95*'Side by Side Amount'!F96)</f>
        <v>0</v>
      </c>
      <c r="G95" s="4">
        <f>SUM('TOTAL VOLUME'!G95*'Side by Side Amount'!G96)</f>
        <v>0</v>
      </c>
      <c r="H95" s="4">
        <f>SUM('TOTAL VOLUME'!H95*'Side by Side Amount'!H96)</f>
        <v>0</v>
      </c>
      <c r="I95" s="4">
        <f>SUM('TOTAL VOLUME'!I95*'Side by Side Amount'!I96)</f>
        <v>0</v>
      </c>
      <c r="J95" s="4">
        <f>SUM('TOTAL VOLUME'!J95*'Side by Side Amount'!J96)</f>
        <v>0</v>
      </c>
      <c r="K95" s="4">
        <f>SUM('TOTAL VOLUME'!K95*'Side by Side Amount'!K96)</f>
        <v>0</v>
      </c>
      <c r="L95" s="4">
        <f>SUM('TOTAL VOLUME'!L95*'Side by Side Amount'!L96)</f>
        <v>0</v>
      </c>
      <c r="M95" s="4">
        <f>SUM('TOTAL VOLUME'!M95*'Side by Side Amount'!M96)</f>
        <v>0</v>
      </c>
      <c r="N95" s="4">
        <f>SUM('TOTAL VOLUME'!N95*'Side by Side Amount'!N96)</f>
        <v>0</v>
      </c>
      <c r="O95" s="4">
        <f>SUM('TOTAL VOLUME'!O95*'Side by Side Amount'!O96)</f>
        <v>0</v>
      </c>
      <c r="P95" s="4">
        <f>SUM('TOTAL VOLUME'!P95*'Side by Side Amount'!P96)</f>
        <v>0</v>
      </c>
      <c r="Q95" s="4">
        <f>SUM('TOTAL VOLUME'!Q95*'Side by Side Amount'!Q96)</f>
        <v>0</v>
      </c>
      <c r="R95" s="4">
        <f>SUM('TOTAL VOLUME'!R95*'Side by Side Amount'!R96)</f>
        <v>0</v>
      </c>
      <c r="S95" s="4">
        <f>SUM('TOTAL VOLUME'!S95*'Side by Side Amount'!S96)</f>
        <v>0</v>
      </c>
      <c r="T95" s="4">
        <f>SUM('TOTAL VOLUME'!T95*'Side by Side Amount'!T96)</f>
        <v>0</v>
      </c>
      <c r="U95" s="4">
        <f>SUM('TOTAL VOLUME'!U95*'Side by Side Amount'!U96)</f>
        <v>0</v>
      </c>
      <c r="V95" s="4">
        <f>SUM('TOTAL VOLUME'!V95*'Side by Side Amount'!V96)</f>
        <v>0</v>
      </c>
      <c r="W95" s="4">
        <f>SUM('TOTAL VOLUME'!W95*'Side by Side Amount'!W96)</f>
        <v>0</v>
      </c>
      <c r="X95" s="4">
        <f>SUM('TOTAL VOLUME'!X95*'Side by Side Amount'!X96)</f>
        <v>0</v>
      </c>
      <c r="Y95" s="4">
        <f>SUM('TOTAL VOLUME'!Y95*'Side by Side Amount'!Y96)</f>
        <v>0</v>
      </c>
      <c r="Z95" s="4">
        <f>SUM('TOTAL VOLUME'!Z95*'Side by Side Amount'!Z96)</f>
        <v>0</v>
      </c>
      <c r="AA95" s="4">
        <f>SUM('TOTAL VOLUME'!AA95*'Side by Side Amount'!AA96)</f>
        <v>0</v>
      </c>
      <c r="AB95" s="4">
        <f>SUM('TOTAL VOLUME'!AB95*'Side by Side Amount'!AB96)</f>
        <v>0</v>
      </c>
      <c r="AC95" s="4">
        <f>SUM('TOTAL VOLUME'!AC95*'Side by Side Amount'!AC96)</f>
        <v>0</v>
      </c>
    </row>
    <row r="96" spans="1:29" ht="12" x14ac:dyDescent="0.2">
      <c r="A96" s="2">
        <v>95</v>
      </c>
      <c r="B96" s="4">
        <f>SUM('TOTAL VOLUME'!B96*'Side by Side Amount'!B97)</f>
        <v>0</v>
      </c>
      <c r="C96" s="4">
        <f>SUM('TOTAL VOLUME'!C96*'Side by Side Amount'!C97)</f>
        <v>10.759999999999998</v>
      </c>
      <c r="D96" s="4">
        <f>SUM('TOTAL VOLUME'!D96*'Side by Side Amount'!D97)</f>
        <v>12.899999999999999</v>
      </c>
      <c r="E96" s="4">
        <f>SUM('TOTAL VOLUME'!E96*'Side by Side Amount'!E97)</f>
        <v>0</v>
      </c>
      <c r="F96" s="4">
        <f>SUM('TOTAL VOLUME'!F96*'Side by Side Amount'!F97)</f>
        <v>0</v>
      </c>
      <c r="G96" s="4">
        <f>SUM('TOTAL VOLUME'!G96*'Side by Side Amount'!G97)</f>
        <v>0</v>
      </c>
      <c r="H96" s="4">
        <f>SUM('TOTAL VOLUME'!H96*'Side by Side Amount'!H97)</f>
        <v>34.700000000000003</v>
      </c>
      <c r="I96" s="4">
        <f>SUM('TOTAL VOLUME'!I96*'Side by Side Amount'!I97)</f>
        <v>0</v>
      </c>
      <c r="J96" s="4">
        <f>SUM('TOTAL VOLUME'!J96*'Side by Side Amount'!J97)</f>
        <v>0</v>
      </c>
      <c r="K96" s="4">
        <f>SUM('TOTAL VOLUME'!K96*'Side by Side Amount'!K97)</f>
        <v>0</v>
      </c>
      <c r="L96" s="4">
        <f>SUM('TOTAL VOLUME'!L96*'Side by Side Amount'!L97)</f>
        <v>0</v>
      </c>
      <c r="M96" s="4">
        <f>SUM('TOTAL VOLUME'!M96*'Side by Side Amount'!M97)</f>
        <v>0</v>
      </c>
      <c r="N96" s="4">
        <f>SUM('TOTAL VOLUME'!N96*'Side by Side Amount'!N97)</f>
        <v>59.86999999999999</v>
      </c>
      <c r="O96" s="4">
        <f>SUM('TOTAL VOLUME'!O96*'Side by Side Amount'!O97)</f>
        <v>0</v>
      </c>
      <c r="P96" s="4">
        <f>SUM('TOTAL VOLUME'!P96*'Side by Side Amount'!P97)</f>
        <v>21.92</v>
      </c>
      <c r="Q96" s="4">
        <f>SUM('TOTAL VOLUME'!Q96*'Side by Side Amount'!Q97)</f>
        <v>0</v>
      </c>
      <c r="R96" s="4">
        <f>SUM('TOTAL VOLUME'!R96*'Side by Side Amount'!R97)</f>
        <v>12.280000000000001</v>
      </c>
      <c r="S96" s="4">
        <f>SUM('TOTAL VOLUME'!S96*'Side by Side Amount'!S97)</f>
        <v>13.600000000000001</v>
      </c>
      <c r="T96" s="4">
        <f>SUM('TOTAL VOLUME'!T96*'Side by Side Amount'!T97)</f>
        <v>0</v>
      </c>
      <c r="U96" s="4">
        <f>SUM('TOTAL VOLUME'!U96*'Side by Side Amount'!U97)</f>
        <v>0</v>
      </c>
      <c r="V96" s="4">
        <f>SUM('TOTAL VOLUME'!V96*'Side by Side Amount'!V97)</f>
        <v>29.369999999999997</v>
      </c>
      <c r="W96" s="4">
        <f>SUM('TOTAL VOLUME'!W96*'Side by Side Amount'!W97)</f>
        <v>0</v>
      </c>
      <c r="X96" s="4">
        <f>SUM('TOTAL VOLUME'!X96*'Side by Side Amount'!X97)</f>
        <v>68.739999999999981</v>
      </c>
      <c r="Y96" s="4">
        <f>SUM('TOTAL VOLUME'!Y96*'Side by Side Amount'!Y97)</f>
        <v>0</v>
      </c>
      <c r="Z96" s="4">
        <f>SUM('TOTAL VOLUME'!Z96*'Side by Side Amount'!Z97)</f>
        <v>0</v>
      </c>
      <c r="AA96" s="4">
        <f>SUM('TOTAL VOLUME'!AA96*'Side by Side Amount'!AA97)</f>
        <v>0</v>
      </c>
      <c r="AB96" s="4">
        <f>SUM('TOTAL VOLUME'!AB96*'Side by Side Amount'!AB97)</f>
        <v>0</v>
      </c>
      <c r="AC96" s="4">
        <f>SUM('TOTAL VOLUME'!AC96*'Side by Side Amount'!AC97)</f>
        <v>83.310000000000016</v>
      </c>
    </row>
    <row r="97" spans="1:29" ht="12" x14ac:dyDescent="0.2">
      <c r="A97" s="2">
        <v>96</v>
      </c>
      <c r="B97" s="4">
        <f>SUM('TOTAL VOLUME'!B97*'Side by Side Amount'!B98)</f>
        <v>9.34</v>
      </c>
      <c r="C97" s="4">
        <f>SUM('TOTAL VOLUME'!C97*'Side by Side Amount'!C98)</f>
        <v>0</v>
      </c>
      <c r="D97" s="4">
        <f>SUM('TOTAL VOLUME'!D97*'Side by Side Amount'!D98)</f>
        <v>0</v>
      </c>
      <c r="E97" s="4">
        <f>SUM('TOTAL VOLUME'!E97*'Side by Side Amount'!E98)</f>
        <v>19.449999999999996</v>
      </c>
      <c r="F97" s="4">
        <f>SUM('TOTAL VOLUME'!F97*'Side by Side Amount'!F98)</f>
        <v>0</v>
      </c>
      <c r="G97" s="4">
        <f>SUM('TOTAL VOLUME'!G97*'Side by Side Amount'!G98)</f>
        <v>0</v>
      </c>
      <c r="H97" s="4">
        <f>SUM('TOTAL VOLUME'!H97*'Side by Side Amount'!H98)</f>
        <v>0</v>
      </c>
      <c r="I97" s="4">
        <f>SUM('TOTAL VOLUME'!I97*'Side by Side Amount'!I98)</f>
        <v>0</v>
      </c>
      <c r="J97" s="4">
        <f>SUM('TOTAL VOLUME'!J97*'Side by Side Amount'!J98)</f>
        <v>0</v>
      </c>
      <c r="K97" s="4">
        <f>SUM('TOTAL VOLUME'!K97*'Side by Side Amount'!K98)</f>
        <v>0</v>
      </c>
      <c r="L97" s="4">
        <f>SUM('TOTAL VOLUME'!L97*'Side by Side Amount'!L98)</f>
        <v>0</v>
      </c>
      <c r="M97" s="4">
        <f>SUM('TOTAL VOLUME'!M97*'Side by Side Amount'!M98)</f>
        <v>0</v>
      </c>
      <c r="N97" s="4">
        <f>SUM('TOTAL VOLUME'!N97*'Side by Side Amount'!N98)</f>
        <v>0</v>
      </c>
      <c r="O97" s="4">
        <f>SUM('TOTAL VOLUME'!O97*'Side by Side Amount'!O98)</f>
        <v>0</v>
      </c>
      <c r="P97" s="4">
        <f>SUM('TOTAL VOLUME'!P97*'Side by Side Amount'!P98)</f>
        <v>5.6499999999999986</v>
      </c>
      <c r="Q97" s="4">
        <f>SUM('TOTAL VOLUME'!Q97*'Side by Side Amount'!Q98)</f>
        <v>0</v>
      </c>
      <c r="R97" s="4">
        <f>SUM('TOTAL VOLUME'!R97*'Side by Side Amount'!R98)</f>
        <v>6.3599999999999994</v>
      </c>
      <c r="S97" s="4">
        <f>SUM('TOTAL VOLUME'!S97*'Side by Side Amount'!S98)</f>
        <v>13.760000000000005</v>
      </c>
      <c r="T97" s="4">
        <f>SUM('TOTAL VOLUME'!T97*'Side by Side Amount'!T98)</f>
        <v>16.060000000000002</v>
      </c>
      <c r="U97" s="4">
        <f>SUM('TOTAL VOLUME'!U97*'Side by Side Amount'!U98)</f>
        <v>9.0200000000000031</v>
      </c>
      <c r="V97" s="4">
        <f>SUM('TOTAL VOLUME'!V97*'Side by Side Amount'!V98)</f>
        <v>0</v>
      </c>
      <c r="W97" s="4">
        <f>SUM('TOTAL VOLUME'!W97*'Side by Side Amount'!W98)</f>
        <v>0</v>
      </c>
      <c r="X97" s="4">
        <f>SUM('TOTAL VOLUME'!X97*'Side by Side Amount'!X98)</f>
        <v>0</v>
      </c>
      <c r="Y97" s="4">
        <f>SUM('TOTAL VOLUME'!Y97*'Side by Side Amount'!Y98)</f>
        <v>0</v>
      </c>
      <c r="Z97" s="4">
        <f>SUM('TOTAL VOLUME'!Z97*'Side by Side Amount'!Z98)</f>
        <v>0</v>
      </c>
      <c r="AA97" s="4">
        <f>SUM('TOTAL VOLUME'!AA97*'Side by Side Amount'!AA98)</f>
        <v>209.64</v>
      </c>
      <c r="AB97" s="4">
        <f>SUM('TOTAL VOLUME'!AB97*'Side by Side Amount'!AB98)</f>
        <v>0</v>
      </c>
      <c r="AC97" s="4">
        <f>SUM('TOTAL VOLUME'!AC97*'Side by Side Amount'!AC98)</f>
        <v>83.41</v>
      </c>
    </row>
    <row r="98" spans="1:29" ht="12" x14ac:dyDescent="0.2">
      <c r="A98" s="2">
        <v>97</v>
      </c>
      <c r="B98" s="4">
        <f>SUM('TOTAL VOLUME'!B98*'Side by Side Amount'!B99)</f>
        <v>0</v>
      </c>
      <c r="C98" s="4">
        <f>SUM('TOTAL VOLUME'!C98*'Side by Side Amount'!C99)</f>
        <v>0</v>
      </c>
      <c r="D98" s="4">
        <f>SUM('TOTAL VOLUME'!D98*'Side by Side Amount'!D99)</f>
        <v>0</v>
      </c>
      <c r="E98" s="4">
        <f>SUM('TOTAL VOLUME'!E98*'Side by Side Amount'!E99)</f>
        <v>0</v>
      </c>
      <c r="F98" s="4">
        <f>SUM('TOTAL VOLUME'!F98*'Side by Side Amount'!F99)</f>
        <v>0</v>
      </c>
      <c r="G98" s="4">
        <f>SUM('TOTAL VOLUME'!G98*'Side by Side Amount'!G99)</f>
        <v>0</v>
      </c>
      <c r="H98" s="4">
        <f>SUM('TOTAL VOLUME'!H98*'Side by Side Amount'!H99)</f>
        <v>35.490000000000009</v>
      </c>
      <c r="I98" s="4">
        <f>SUM('TOTAL VOLUME'!I98*'Side by Side Amount'!I99)</f>
        <v>0</v>
      </c>
      <c r="J98" s="4">
        <f>SUM('TOTAL VOLUME'!J98*'Side by Side Amount'!J99)</f>
        <v>0</v>
      </c>
      <c r="K98" s="4">
        <f>SUM('TOTAL VOLUME'!K98*'Side by Side Amount'!K99)</f>
        <v>0</v>
      </c>
      <c r="L98" s="4">
        <f>SUM('TOTAL VOLUME'!L98*'Side by Side Amount'!L99)</f>
        <v>0</v>
      </c>
      <c r="M98" s="4">
        <f>SUM('TOTAL VOLUME'!M98*'Side by Side Amount'!M99)</f>
        <v>95.44</v>
      </c>
      <c r="N98" s="4">
        <f>SUM('TOTAL VOLUME'!N98*'Side by Side Amount'!N99)</f>
        <v>62.370000000000005</v>
      </c>
      <c r="O98" s="4">
        <f>SUM('TOTAL VOLUME'!O98*'Side by Side Amount'!O99)</f>
        <v>0</v>
      </c>
      <c r="P98" s="4">
        <f>SUM('TOTAL VOLUME'!P98*'Side by Side Amount'!P99)</f>
        <v>17.489999999999995</v>
      </c>
      <c r="Q98" s="4">
        <f>SUM('TOTAL VOLUME'!Q98*'Side by Side Amount'!Q99)</f>
        <v>0</v>
      </c>
      <c r="R98" s="4">
        <f>SUM('TOTAL VOLUME'!R98*'Side by Side Amount'!R99)</f>
        <v>0</v>
      </c>
      <c r="S98" s="4">
        <f>SUM('TOTAL VOLUME'!S98*'Side by Side Amount'!S99)</f>
        <v>27.839999999999989</v>
      </c>
      <c r="T98" s="4">
        <f>SUM('TOTAL VOLUME'!T98*'Side by Side Amount'!T99)</f>
        <v>0</v>
      </c>
      <c r="U98" s="4">
        <f>SUM('TOTAL VOLUME'!U98*'Side by Side Amount'!U99)</f>
        <v>18.300000000000011</v>
      </c>
      <c r="V98" s="4">
        <f>SUM('TOTAL VOLUME'!V98*'Side by Side Amount'!V99)</f>
        <v>30.27000000000001</v>
      </c>
      <c r="W98" s="4">
        <f>SUM('TOTAL VOLUME'!W98*'Side by Side Amount'!W99)</f>
        <v>0</v>
      </c>
      <c r="X98" s="4">
        <f>SUM('TOTAL VOLUME'!X98*'Side by Side Amount'!X99)</f>
        <v>0</v>
      </c>
      <c r="Y98" s="4">
        <f>SUM('TOTAL VOLUME'!Y98*'Side by Side Amount'!Y99)</f>
        <v>0</v>
      </c>
      <c r="Z98" s="4">
        <f>SUM('TOTAL VOLUME'!Z98*'Side by Side Amount'!Z99)</f>
        <v>0</v>
      </c>
      <c r="AA98" s="4">
        <f>SUM('TOTAL VOLUME'!AA98*'Side by Side Amount'!AA99)</f>
        <v>0</v>
      </c>
      <c r="AB98" s="4">
        <f>SUM('TOTAL VOLUME'!AB98*'Side by Side Amount'!AB99)</f>
        <v>0</v>
      </c>
      <c r="AC98" s="4">
        <f>SUM('TOTAL VOLUME'!AC98*'Side by Side Amount'!AC99)</f>
        <v>83.52000000000001</v>
      </c>
    </row>
    <row r="99" spans="1:29" ht="12" x14ac:dyDescent="0.2">
      <c r="A99" s="2">
        <v>98</v>
      </c>
      <c r="B99" s="4">
        <f>SUM('TOTAL VOLUME'!B99*'Side by Side Amount'!B100)</f>
        <v>0</v>
      </c>
      <c r="C99" s="4">
        <f>SUM('TOTAL VOLUME'!C99*'Side by Side Amount'!C100)</f>
        <v>0</v>
      </c>
      <c r="D99" s="4">
        <f>SUM('TOTAL VOLUME'!D99*'Side by Side Amount'!D100)</f>
        <v>0</v>
      </c>
      <c r="E99" s="4">
        <f>SUM('TOTAL VOLUME'!E99*'Side by Side Amount'!E100)</f>
        <v>0</v>
      </c>
      <c r="F99" s="4">
        <f>SUM('TOTAL VOLUME'!F99*'Side by Side Amount'!F100)</f>
        <v>0</v>
      </c>
      <c r="G99" s="4">
        <f>SUM('TOTAL VOLUME'!G99*'Side by Side Amount'!G100)</f>
        <v>0</v>
      </c>
      <c r="H99" s="4">
        <f>SUM('TOTAL VOLUME'!H99*'Side by Side Amount'!H100)</f>
        <v>0</v>
      </c>
      <c r="I99" s="4">
        <f>SUM('TOTAL VOLUME'!I99*'Side by Side Amount'!I100)</f>
        <v>0</v>
      </c>
      <c r="J99" s="4">
        <f>SUM('TOTAL VOLUME'!J99*'Side by Side Amount'!J100)</f>
        <v>0</v>
      </c>
      <c r="K99" s="4">
        <f>SUM('TOTAL VOLUME'!K99*'Side by Side Amount'!K100)</f>
        <v>0</v>
      </c>
      <c r="L99" s="4">
        <f>SUM('TOTAL VOLUME'!L99*'Side by Side Amount'!L100)</f>
        <v>0</v>
      </c>
      <c r="M99" s="4">
        <f>SUM('TOTAL VOLUME'!M99*'Side by Side Amount'!M100)</f>
        <v>0</v>
      </c>
      <c r="N99" s="4">
        <f>SUM('TOTAL VOLUME'!N99*'Side by Side Amount'!N100)</f>
        <v>64.209999999999994</v>
      </c>
      <c r="O99" s="4">
        <f>SUM('TOTAL VOLUME'!O99*'Side by Side Amount'!O100)</f>
        <v>0</v>
      </c>
      <c r="P99" s="4">
        <f>SUM('TOTAL VOLUME'!P99*'Side by Side Amount'!P100)</f>
        <v>0</v>
      </c>
      <c r="Q99" s="4">
        <f>SUM('TOTAL VOLUME'!Q99*'Side by Side Amount'!Q100)</f>
        <v>0</v>
      </c>
      <c r="R99" s="4">
        <f>SUM('TOTAL VOLUME'!R99*'Side by Side Amount'!R100)</f>
        <v>0</v>
      </c>
      <c r="S99" s="4">
        <f>SUM('TOTAL VOLUME'!S99*'Side by Side Amount'!S100)</f>
        <v>0</v>
      </c>
      <c r="T99" s="4">
        <f>SUM('TOTAL VOLUME'!T99*'Side by Side Amount'!T100)</f>
        <v>0</v>
      </c>
      <c r="U99" s="4">
        <f>SUM('TOTAL VOLUME'!U99*'Side by Side Amount'!U100)</f>
        <v>0</v>
      </c>
      <c r="V99" s="4">
        <f>SUM('TOTAL VOLUME'!V99*'Side by Side Amount'!V100)</f>
        <v>0</v>
      </c>
      <c r="W99" s="4">
        <f>SUM('TOTAL VOLUME'!W99*'Side by Side Amount'!W100)</f>
        <v>0</v>
      </c>
      <c r="X99" s="4">
        <f>SUM('TOTAL VOLUME'!X99*'Side by Side Amount'!X100)</f>
        <v>0</v>
      </c>
      <c r="Y99" s="4">
        <f>SUM('TOTAL VOLUME'!Y99*'Side by Side Amount'!Y100)</f>
        <v>0</v>
      </c>
      <c r="Z99" s="4">
        <f>SUM('TOTAL VOLUME'!Z99*'Side by Side Amount'!Z100)</f>
        <v>0</v>
      </c>
      <c r="AA99" s="4">
        <f>SUM('TOTAL VOLUME'!AA99*'Side by Side Amount'!AA100)</f>
        <v>0</v>
      </c>
      <c r="AB99" s="4">
        <f>SUM('TOTAL VOLUME'!AB99*'Side by Side Amount'!AB100)</f>
        <v>0</v>
      </c>
      <c r="AC99" s="4">
        <f>SUM('TOTAL VOLUME'!AC99*'Side by Side Amount'!AC100)</f>
        <v>0</v>
      </c>
    </row>
    <row r="100" spans="1:29" ht="12" x14ac:dyDescent="0.2">
      <c r="A100" s="2">
        <v>99</v>
      </c>
      <c r="B100" s="4">
        <f>SUM('TOTAL VOLUME'!B100*'Side by Side Amount'!B101)</f>
        <v>0</v>
      </c>
      <c r="C100" s="4">
        <f>SUM('TOTAL VOLUME'!C100*'Side by Side Amount'!C101)</f>
        <v>0</v>
      </c>
      <c r="D100" s="4">
        <f>SUM('TOTAL VOLUME'!D100*'Side by Side Amount'!D101)</f>
        <v>0</v>
      </c>
      <c r="E100" s="4">
        <f>SUM('TOTAL VOLUME'!E100*'Side by Side Amount'!E101)</f>
        <v>0</v>
      </c>
      <c r="F100" s="4">
        <f>SUM('TOTAL VOLUME'!F100*'Side by Side Amount'!F101)</f>
        <v>0</v>
      </c>
      <c r="G100" s="4">
        <f>SUM('TOTAL VOLUME'!G100*'Side by Side Amount'!G101)</f>
        <v>0</v>
      </c>
      <c r="H100" s="4">
        <f>SUM('TOTAL VOLUME'!H100*'Side by Side Amount'!H101)</f>
        <v>0</v>
      </c>
      <c r="I100" s="4">
        <f>SUM('TOTAL VOLUME'!I100*'Side by Side Amount'!I101)</f>
        <v>0</v>
      </c>
      <c r="J100" s="4">
        <f>SUM('TOTAL VOLUME'!J100*'Side by Side Amount'!J101)</f>
        <v>0</v>
      </c>
      <c r="K100" s="4">
        <f>SUM('TOTAL VOLUME'!K100*'Side by Side Amount'!K101)</f>
        <v>0</v>
      </c>
      <c r="L100" s="4">
        <f>SUM('TOTAL VOLUME'!L100*'Side by Side Amount'!L101)</f>
        <v>0</v>
      </c>
      <c r="M100" s="4">
        <f>SUM('TOTAL VOLUME'!M100*'Side by Side Amount'!M101)</f>
        <v>0</v>
      </c>
      <c r="N100" s="4">
        <f>SUM('TOTAL VOLUME'!N100*'Side by Side Amount'!N101)</f>
        <v>0</v>
      </c>
      <c r="O100" s="4">
        <f>SUM('TOTAL VOLUME'!O100*'Side by Side Amount'!O101)</f>
        <v>0</v>
      </c>
      <c r="P100" s="4">
        <f>SUM('TOTAL VOLUME'!P100*'Side by Side Amount'!P101)</f>
        <v>0</v>
      </c>
      <c r="Q100" s="4">
        <f>SUM('TOTAL VOLUME'!Q100*'Side by Side Amount'!Q101)</f>
        <v>0</v>
      </c>
      <c r="R100" s="4">
        <f>SUM('TOTAL VOLUME'!R100*'Side by Side Amount'!R101)</f>
        <v>0</v>
      </c>
      <c r="S100" s="4">
        <f>SUM('TOTAL VOLUME'!S100*'Side by Side Amount'!S101)</f>
        <v>0</v>
      </c>
      <c r="T100" s="4">
        <f>SUM('TOTAL VOLUME'!T100*'Side by Side Amount'!T101)</f>
        <v>0</v>
      </c>
      <c r="U100" s="4">
        <f>SUM('TOTAL VOLUME'!U100*'Side by Side Amount'!U101)</f>
        <v>0</v>
      </c>
      <c r="V100" s="4">
        <f>SUM('TOTAL VOLUME'!V100*'Side by Side Amount'!V101)</f>
        <v>0</v>
      </c>
      <c r="W100" s="4">
        <f>SUM('TOTAL VOLUME'!W100*'Side by Side Amount'!W101)</f>
        <v>0</v>
      </c>
      <c r="X100" s="4">
        <f>SUM('TOTAL VOLUME'!X100*'Side by Side Amount'!X101)</f>
        <v>0</v>
      </c>
      <c r="Y100" s="4">
        <f>SUM('TOTAL VOLUME'!Y100*'Side by Side Amount'!Y101)</f>
        <v>0</v>
      </c>
      <c r="Z100" s="4">
        <f>SUM('TOTAL VOLUME'!Z100*'Side by Side Amount'!Z101)</f>
        <v>0</v>
      </c>
      <c r="AA100" s="4">
        <f>SUM('TOTAL VOLUME'!AA100*'Side by Side Amount'!AA101)</f>
        <v>0</v>
      </c>
      <c r="AB100" s="4">
        <f>SUM('TOTAL VOLUME'!AB100*'Side by Side Amount'!AB101)</f>
        <v>0</v>
      </c>
      <c r="AC100" s="4">
        <f>SUM('TOTAL VOLUME'!AC100*'Side by Side Amount'!AC101)</f>
        <v>0</v>
      </c>
    </row>
    <row r="101" spans="1:29" ht="12" x14ac:dyDescent="0.2">
      <c r="B101" s="4">
        <f>SUM(B2:B100)</f>
        <v>703.11</v>
      </c>
      <c r="C101" s="4">
        <f t="shared" ref="C101:AC101" si="0">SUM(C2:C100)</f>
        <v>372.2999999999999</v>
      </c>
      <c r="D101" s="4">
        <f t="shared" si="0"/>
        <v>811.81999999999971</v>
      </c>
      <c r="E101" s="4">
        <f t="shared" si="0"/>
        <v>2681.85</v>
      </c>
      <c r="F101" s="4">
        <f t="shared" si="0"/>
        <v>2432.2399999999993</v>
      </c>
      <c r="G101" s="4">
        <f t="shared" si="0"/>
        <v>2152.9599999999996</v>
      </c>
      <c r="H101" s="4">
        <f t="shared" si="0"/>
        <v>7652.939999999996</v>
      </c>
      <c r="I101" s="4">
        <f t="shared" si="0"/>
        <v>112.27000000000001</v>
      </c>
      <c r="J101" s="4">
        <f t="shared" si="0"/>
        <v>46.460000000000008</v>
      </c>
      <c r="K101" s="4">
        <f t="shared" si="0"/>
        <v>124.85000000000001</v>
      </c>
      <c r="L101" s="4">
        <f t="shared" si="0"/>
        <v>673.24999999999989</v>
      </c>
      <c r="M101" s="4">
        <f t="shared" si="0"/>
        <v>959.95999999999981</v>
      </c>
      <c r="N101" s="4">
        <f t="shared" si="0"/>
        <v>1781.3699999999994</v>
      </c>
      <c r="O101" s="4">
        <f t="shared" si="0"/>
        <v>7288.46</v>
      </c>
      <c r="P101" s="4">
        <f t="shared" si="0"/>
        <v>36686.6</v>
      </c>
      <c r="Q101" s="4">
        <f t="shared" si="0"/>
        <v>15104.230000000001</v>
      </c>
      <c r="R101" s="4">
        <f t="shared" si="0"/>
        <v>31215.37</v>
      </c>
      <c r="S101" s="4">
        <f t="shared" si="0"/>
        <v>72356.59</v>
      </c>
      <c r="T101" s="4">
        <f t="shared" si="0"/>
        <v>58904.010000000031</v>
      </c>
      <c r="U101" s="4">
        <f t="shared" si="0"/>
        <v>39570.109999999971</v>
      </c>
      <c r="V101" s="4">
        <f t="shared" si="0"/>
        <v>121389.58</v>
      </c>
      <c r="W101" s="4">
        <f t="shared" si="0"/>
        <v>33804.920000000006</v>
      </c>
      <c r="X101" s="4">
        <f t="shared" si="0"/>
        <v>14975.100000000006</v>
      </c>
      <c r="Y101" s="4">
        <f t="shared" si="0"/>
        <v>44343.310000000012</v>
      </c>
      <c r="Z101" s="4">
        <f t="shared" si="0"/>
        <v>108603.91000000003</v>
      </c>
      <c r="AA101" s="4">
        <f t="shared" si="0"/>
        <v>84735.649999999951</v>
      </c>
      <c r="AB101" s="4">
        <f t="shared" si="0"/>
        <v>53827.19</v>
      </c>
      <c r="AC101" s="4">
        <f t="shared" si="0"/>
        <v>195050.95999999996</v>
      </c>
    </row>
    <row r="102" spans="1:29" ht="12" x14ac:dyDescent="0.2">
      <c r="B102" s="2" t="s">
        <v>29</v>
      </c>
      <c r="P102" s="5" t="e">
        <f>SUM(#REF!)</f>
        <v>#REF!</v>
      </c>
    </row>
    <row r="103" spans="1:29" ht="12" x14ac:dyDescent="0.2">
      <c r="A103" s="2" t="s">
        <v>31</v>
      </c>
      <c r="B103" s="4">
        <f>SUM(B101:AE101)</f>
        <v>938361.36999999988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TOTAL VOLUME</vt:lpstr>
      <vt:lpstr>Sheet1</vt:lpstr>
      <vt:lpstr>UPS RATES</vt:lpstr>
      <vt:lpstr>UPS TOTAL SPEND</vt:lpstr>
      <vt:lpstr>FedEx Rates</vt:lpstr>
      <vt:lpstr>FedEx Total Spend</vt:lpstr>
      <vt:lpstr>Side by Side Amount</vt:lpstr>
      <vt:lpstr>Side by Side Percentage</vt:lpstr>
      <vt:lpstr>Per Cell Savings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TDE</dc:creator>
  <cp:lastModifiedBy>Timothy Kenny</cp:lastModifiedBy>
  <dcterms:created xsi:type="dcterms:W3CDTF">2013-08-01T18:57:55Z</dcterms:created>
  <dcterms:modified xsi:type="dcterms:W3CDTF">2023-01-04T17:48:34Z</dcterms:modified>
</cp:coreProperties>
</file>